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60" yWindow="420" windowWidth="6075" windowHeight="4245" tabRatio="751" activeTab="9"/>
  </bookViews>
  <sheets>
    <sheet name="Swap Curves" sheetId="31" r:id="rId1"/>
    <sheet name="Swaption Volatilities" sheetId="32" r:id="rId2"/>
    <sheet name="CMS Swaps" sheetId="33" r:id="rId3"/>
    <sheet name="Curve" sheetId="23" r:id="rId4"/>
    <sheet name="VolCalculation" sheetId="34" r:id="rId5"/>
    <sheet name="SwaptionVols" sheetId="20" r:id="rId6"/>
    <sheet name="Calibration" sheetId="18" r:id="rId7"/>
    <sheet name="AnnuityMapping" sheetId="29" r:id="rId8"/>
    <sheet name="AffineModel" sheetId="30" r:id="rId9"/>
    <sheet name="CMSCalculation" sheetId="36" r:id="rId10"/>
  </sheets>
  <functionGroups builtInGroupCount="17"/>
  <definedNames>
    <definedName name="__IntlFixup" hidden="1">TRUE</definedName>
    <definedName name="_xlnm._FilterDatabase" localSheetId="4" hidden="1">VolCalculation!$C$3:$AQ$213</definedName>
    <definedName name="BBDate">'Swap Curves'!$W$152</definedName>
    <definedName name="df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RefDate">Curve!$D$6</definedName>
    <definedName name="wrn.EOD.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Graphs." hidden="1">{"BraGraph",#N/A,FALSE,"Graphs"}</definedName>
    <definedName name="wrn.SpreadData." hidden="1">{"ArgSpreadData",#N/A,FALSE,"ArgData";"BraSpreadData",#N/A,FALSE,"BrazilData";"MexSpreadData",#N/A,FALSE,"MexData";"PolSpreadData",#N/A,FALSE,"PolandData";"VenSpreadData",#N/A,FALSE,"VenData"}</definedName>
    <definedName name="wrn.SpreadGraphs." hidden="1">{"ArgGraph",#N/A,FALSE,"Graphs";"BraGraph",#N/A,FALSE,"Graphs";"MexGraph",#N/A,FALSE,"Graphs";"PolGraph",#N/A,FALSE,"Graphs";"VenGraph",#N/A,FALSE,"Graphs"}</definedName>
    <definedName name="wrn.Test." hidden="1">{"Agraph",#N/A,FALSE,"Graphs"}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30" i="36" l="1"/>
  <c r="E30" i="36"/>
  <c r="F29" i="36"/>
  <c r="E29" i="36"/>
  <c r="F28" i="36"/>
  <c r="E28" i="36"/>
  <c r="F27" i="36"/>
  <c r="E27" i="36"/>
  <c r="F25" i="36"/>
  <c r="E25" i="36"/>
  <c r="F24" i="36"/>
  <c r="E24" i="36"/>
  <c r="F23" i="36"/>
  <c r="E23" i="36"/>
  <c r="F22" i="36"/>
  <c r="E22" i="36"/>
  <c r="F20" i="36"/>
  <c r="E20" i="36"/>
  <c r="F19" i="36"/>
  <c r="E19" i="36"/>
  <c r="F18" i="36"/>
  <c r="E18" i="36"/>
  <c r="F17" i="36"/>
  <c r="E17" i="36"/>
  <c r="F15" i="36"/>
  <c r="E15" i="36"/>
  <c r="F14" i="36"/>
  <c r="E14" i="36"/>
  <c r="F13" i="36"/>
  <c r="E13" i="36"/>
  <c r="F12" i="36"/>
  <c r="E12" i="36"/>
  <c r="F10" i="36"/>
  <c r="E10" i="36"/>
  <c r="F9" i="36"/>
  <c r="E9" i="36"/>
  <c r="F8" i="36"/>
  <c r="E8" i="36"/>
  <c r="F7" i="36"/>
  <c r="E7" i="36"/>
  <c r="U3" i="36"/>
  <c r="U2" i="36"/>
  <c r="AC3" i="36"/>
  <c r="AC2" i="36"/>
  <c r="AK3" i="36"/>
  <c r="AK2" i="36"/>
  <c r="AS3" i="36"/>
  <c r="AS2" i="36"/>
  <c r="AO30" i="36"/>
  <c r="AN30" i="36"/>
  <c r="AM30" i="36"/>
  <c r="AO29" i="36"/>
  <c r="AN29" i="36"/>
  <c r="AM29" i="36"/>
  <c r="AO28" i="36"/>
  <c r="AN28" i="36"/>
  <c r="AM28" i="36"/>
  <c r="AO27" i="36"/>
  <c r="AN27" i="36"/>
  <c r="AM27" i="36"/>
  <c r="AO25" i="36"/>
  <c r="AN25" i="36"/>
  <c r="AM25" i="36"/>
  <c r="AO24" i="36"/>
  <c r="AN24" i="36"/>
  <c r="AM24" i="36"/>
  <c r="AO23" i="36"/>
  <c r="AN23" i="36"/>
  <c r="AM23" i="36"/>
  <c r="AO22" i="36"/>
  <c r="AN22" i="36"/>
  <c r="AM22" i="36"/>
  <c r="AO20" i="36"/>
  <c r="AN20" i="36"/>
  <c r="AM20" i="36"/>
  <c r="AO19" i="36"/>
  <c r="AN19" i="36"/>
  <c r="AM19" i="36"/>
  <c r="AO18" i="36"/>
  <c r="AN18" i="36"/>
  <c r="AM18" i="36"/>
  <c r="AO17" i="36"/>
  <c r="AN17" i="36"/>
  <c r="AM17" i="36"/>
  <c r="AO15" i="36"/>
  <c r="AN15" i="36"/>
  <c r="AM15" i="36"/>
  <c r="AO14" i="36"/>
  <c r="AN14" i="36"/>
  <c r="AM14" i="36"/>
  <c r="AO13" i="36"/>
  <c r="AN13" i="36"/>
  <c r="AM13" i="36"/>
  <c r="AO12" i="36"/>
  <c r="AN12" i="36"/>
  <c r="AM12" i="36"/>
  <c r="AO10" i="36"/>
  <c r="AN10" i="36"/>
  <c r="AM10" i="36"/>
  <c r="AO9" i="36"/>
  <c r="AN9" i="36"/>
  <c r="AM9" i="36"/>
  <c r="AO8" i="36"/>
  <c r="AN8" i="36"/>
  <c r="AM8" i="36"/>
  <c r="AO7" i="36"/>
  <c r="AN7" i="36"/>
  <c r="AM7" i="36"/>
  <c r="AP3" i="36"/>
  <c r="AP28" i="36" s="1"/>
  <c r="AG30" i="36"/>
  <c r="AF30" i="36"/>
  <c r="AE30" i="36"/>
  <c r="AG29" i="36"/>
  <c r="AF29" i="36"/>
  <c r="AE29" i="36"/>
  <c r="AG28" i="36"/>
  <c r="AF28" i="36"/>
  <c r="AE28" i="36"/>
  <c r="AG27" i="36"/>
  <c r="AF27" i="36"/>
  <c r="AE27" i="36"/>
  <c r="AG25" i="36"/>
  <c r="AF25" i="36"/>
  <c r="AE25" i="36"/>
  <c r="AG24" i="36"/>
  <c r="AF24" i="36"/>
  <c r="AE24" i="36"/>
  <c r="AG23" i="36"/>
  <c r="AF23" i="36"/>
  <c r="AE23" i="36"/>
  <c r="AG22" i="36"/>
  <c r="AF22" i="36"/>
  <c r="AE22" i="36"/>
  <c r="AG20" i="36"/>
  <c r="AF20" i="36"/>
  <c r="AE20" i="36"/>
  <c r="AG19" i="36"/>
  <c r="AF19" i="36"/>
  <c r="AE19" i="36"/>
  <c r="AG18" i="36"/>
  <c r="AF18" i="36"/>
  <c r="AE18" i="36"/>
  <c r="AG17" i="36"/>
  <c r="AF17" i="36"/>
  <c r="AE17" i="36"/>
  <c r="AG15" i="36"/>
  <c r="AF15" i="36"/>
  <c r="AE15" i="36"/>
  <c r="AG14" i="36"/>
  <c r="AF14" i="36"/>
  <c r="AE14" i="36"/>
  <c r="AG13" i="36"/>
  <c r="AF13" i="36"/>
  <c r="AE13" i="36"/>
  <c r="AG12" i="36"/>
  <c r="AF12" i="36"/>
  <c r="AE12" i="36"/>
  <c r="AG10" i="36"/>
  <c r="AF10" i="36"/>
  <c r="AE10" i="36"/>
  <c r="AG9" i="36"/>
  <c r="AF9" i="36"/>
  <c r="AE9" i="36"/>
  <c r="AG8" i="36"/>
  <c r="AF8" i="36"/>
  <c r="AE8" i="36"/>
  <c r="AG7" i="36"/>
  <c r="AF7" i="36"/>
  <c r="AE7" i="36"/>
  <c r="AH3" i="36"/>
  <c r="AH28" i="36" s="1"/>
  <c r="Y30" i="36"/>
  <c r="X30" i="36"/>
  <c r="W30" i="36"/>
  <c r="Y29" i="36"/>
  <c r="X29" i="36"/>
  <c r="W29" i="36"/>
  <c r="Y28" i="36"/>
  <c r="X28" i="36"/>
  <c r="W28" i="36"/>
  <c r="Y27" i="36"/>
  <c r="X27" i="36"/>
  <c r="W27" i="36"/>
  <c r="Y25" i="36"/>
  <c r="X25" i="36"/>
  <c r="W25" i="36"/>
  <c r="Y24" i="36"/>
  <c r="X24" i="36"/>
  <c r="W24" i="36"/>
  <c r="Y23" i="36"/>
  <c r="X23" i="36"/>
  <c r="W23" i="36"/>
  <c r="Y22" i="36"/>
  <c r="X22" i="36"/>
  <c r="W22" i="36"/>
  <c r="Y20" i="36"/>
  <c r="X20" i="36"/>
  <c r="W20" i="36"/>
  <c r="Y19" i="36"/>
  <c r="X19" i="36"/>
  <c r="W19" i="36"/>
  <c r="Y18" i="36"/>
  <c r="X18" i="36"/>
  <c r="W18" i="36"/>
  <c r="Y17" i="36"/>
  <c r="X17" i="36"/>
  <c r="W17" i="36"/>
  <c r="Y15" i="36"/>
  <c r="X15" i="36"/>
  <c r="W15" i="36"/>
  <c r="Y14" i="36"/>
  <c r="X14" i="36"/>
  <c r="W14" i="36"/>
  <c r="Y13" i="36"/>
  <c r="X13" i="36"/>
  <c r="W13" i="36"/>
  <c r="Y12" i="36"/>
  <c r="X12" i="36"/>
  <c r="W12" i="36"/>
  <c r="Y10" i="36"/>
  <c r="X10" i="36"/>
  <c r="W10" i="36"/>
  <c r="Y9" i="36"/>
  <c r="X9" i="36"/>
  <c r="W9" i="36"/>
  <c r="Y8" i="36"/>
  <c r="X8" i="36"/>
  <c r="W8" i="36"/>
  <c r="Y7" i="36"/>
  <c r="X7" i="36"/>
  <c r="W7" i="36"/>
  <c r="Z3" i="36"/>
  <c r="Z28" i="36" s="1"/>
  <c r="D6" i="23"/>
  <c r="M29" i="36"/>
  <c r="M25" i="36"/>
  <c r="M17" i="36"/>
  <c r="M13" i="36"/>
  <c r="M9" i="36"/>
  <c r="M19" i="36"/>
  <c r="M18" i="36"/>
  <c r="M28" i="36"/>
  <c r="M24" i="36"/>
  <c r="M20" i="36"/>
  <c r="M12" i="36"/>
  <c r="M8" i="36"/>
  <c r="M27" i="36"/>
  <c r="M23" i="36"/>
  <c r="M15" i="36"/>
  <c r="M7" i="36"/>
  <c r="M30" i="36"/>
  <c r="M22" i="36"/>
  <c r="M14" i="36"/>
  <c r="M10" i="36"/>
  <c r="AQ28" i="36"/>
  <c r="AI28" i="36"/>
  <c r="AA28" i="36"/>
  <c r="AP7" i="36" l="1"/>
  <c r="AP12" i="36"/>
  <c r="AP17" i="36"/>
  <c r="AP22" i="36"/>
  <c r="AP27" i="36"/>
  <c r="AP10" i="36"/>
  <c r="AP15" i="36"/>
  <c r="AP20" i="36"/>
  <c r="AP25" i="36"/>
  <c r="AP30" i="36"/>
  <c r="AP9" i="36"/>
  <c r="AP14" i="36"/>
  <c r="AP19" i="36"/>
  <c r="AP24" i="36"/>
  <c r="AP29" i="36"/>
  <c r="AP8" i="36"/>
  <c r="AP13" i="36"/>
  <c r="AP18" i="36"/>
  <c r="AP23" i="36"/>
  <c r="AH17" i="36"/>
  <c r="AH27" i="36"/>
  <c r="AH15" i="36"/>
  <c r="AH20" i="36"/>
  <c r="AH25" i="36"/>
  <c r="AH30" i="36"/>
  <c r="AH9" i="36"/>
  <c r="AH14" i="36"/>
  <c r="AH19" i="36"/>
  <c r="AH24" i="36"/>
  <c r="AH29" i="36"/>
  <c r="AH7" i="36"/>
  <c r="AH12" i="36"/>
  <c r="AH22" i="36"/>
  <c r="AH10" i="36"/>
  <c r="AH8" i="36"/>
  <c r="AH13" i="36"/>
  <c r="AH18" i="36"/>
  <c r="AH23" i="36"/>
  <c r="Z22" i="36"/>
  <c r="Z10" i="36"/>
  <c r="Z15" i="36"/>
  <c r="Z25" i="36"/>
  <c r="Z7" i="36"/>
  <c r="Z12" i="36"/>
  <c r="Z17" i="36"/>
  <c r="Z27" i="36"/>
  <c r="Z20" i="36"/>
  <c r="Z30" i="36"/>
  <c r="Z9" i="36"/>
  <c r="Z14" i="36"/>
  <c r="Z19" i="36"/>
  <c r="Z24" i="36"/>
  <c r="Z29" i="36"/>
  <c r="Z8" i="36"/>
  <c r="Z13" i="36"/>
  <c r="Z18" i="36"/>
  <c r="Z23" i="36"/>
  <c r="Q30" i="36"/>
  <c r="P30" i="36"/>
  <c r="O30" i="36"/>
  <c r="Q29" i="36"/>
  <c r="P29" i="36"/>
  <c r="O29" i="36"/>
  <c r="Q28" i="36"/>
  <c r="P28" i="36"/>
  <c r="O28" i="36"/>
  <c r="Q27" i="36"/>
  <c r="P27" i="36"/>
  <c r="O27" i="36"/>
  <c r="Q25" i="36"/>
  <c r="P25" i="36"/>
  <c r="O25" i="36"/>
  <c r="Q24" i="36"/>
  <c r="P24" i="36"/>
  <c r="O24" i="36"/>
  <c r="Q23" i="36"/>
  <c r="P23" i="36"/>
  <c r="O23" i="36"/>
  <c r="Q22" i="36"/>
  <c r="P22" i="36"/>
  <c r="O22" i="36"/>
  <c r="Q20" i="36"/>
  <c r="P20" i="36"/>
  <c r="O20" i="36"/>
  <c r="Q19" i="36"/>
  <c r="P19" i="36"/>
  <c r="O19" i="36"/>
  <c r="Q18" i="36"/>
  <c r="P18" i="36"/>
  <c r="O18" i="36"/>
  <c r="Q17" i="36"/>
  <c r="P17" i="36"/>
  <c r="O17" i="36"/>
  <c r="Q15" i="36"/>
  <c r="P15" i="36"/>
  <c r="O15" i="36"/>
  <c r="Q14" i="36"/>
  <c r="P14" i="36"/>
  <c r="O14" i="36"/>
  <c r="Q13" i="36"/>
  <c r="P13" i="36"/>
  <c r="O13" i="36"/>
  <c r="Q12" i="36"/>
  <c r="P12" i="36"/>
  <c r="O12" i="36"/>
  <c r="Q10" i="36"/>
  <c r="P10" i="36"/>
  <c r="O10" i="36"/>
  <c r="Q9" i="36"/>
  <c r="P9" i="36"/>
  <c r="O9" i="36"/>
  <c r="Q8" i="36"/>
  <c r="P8" i="36"/>
  <c r="O8" i="36"/>
  <c r="Q7" i="36"/>
  <c r="P7" i="36"/>
  <c r="O7" i="36"/>
  <c r="R3" i="36"/>
  <c r="R7" i="36" s="1"/>
  <c r="B30" i="36"/>
  <c r="B29" i="36"/>
  <c r="B28" i="36"/>
  <c r="B27" i="36"/>
  <c r="B25" i="36"/>
  <c r="B24" i="36"/>
  <c r="B23" i="36"/>
  <c r="B22" i="36"/>
  <c r="B20" i="36"/>
  <c r="B19" i="36"/>
  <c r="B18" i="36"/>
  <c r="B17" i="36"/>
  <c r="B15" i="36"/>
  <c r="B14" i="36"/>
  <c r="B13" i="36"/>
  <c r="B12" i="36"/>
  <c r="B10" i="36"/>
  <c r="B9" i="36"/>
  <c r="B8" i="36"/>
  <c r="B7" i="36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E67" i="20"/>
  <c r="R66" i="20"/>
  <c r="Q66" i="20"/>
  <c r="P66" i="20"/>
  <c r="O66" i="20"/>
  <c r="N66" i="20"/>
  <c r="M66" i="20"/>
  <c r="L66" i="20"/>
  <c r="K66" i="20"/>
  <c r="J66" i="20"/>
  <c r="I66" i="20"/>
  <c r="H66" i="20"/>
  <c r="G66" i="20"/>
  <c r="F66" i="20"/>
  <c r="E66" i="20"/>
  <c r="R65" i="20"/>
  <c r="Q65" i="20"/>
  <c r="P65" i="20"/>
  <c r="O65" i="20"/>
  <c r="N65" i="20"/>
  <c r="M65" i="20"/>
  <c r="L65" i="20"/>
  <c r="K65" i="20"/>
  <c r="J65" i="20"/>
  <c r="I65" i="20"/>
  <c r="H65" i="20"/>
  <c r="G65" i="20"/>
  <c r="F65" i="20"/>
  <c r="E65" i="20"/>
  <c r="R64" i="20"/>
  <c r="Q64" i="20"/>
  <c r="P64" i="20"/>
  <c r="O64" i="20"/>
  <c r="N64" i="20"/>
  <c r="M64" i="20"/>
  <c r="L64" i="20"/>
  <c r="K64" i="20"/>
  <c r="J64" i="20"/>
  <c r="I64" i="20"/>
  <c r="H64" i="20"/>
  <c r="G64" i="20"/>
  <c r="F64" i="20"/>
  <c r="E64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R60" i="20"/>
  <c r="Q60" i="20"/>
  <c r="P60" i="20"/>
  <c r="O60" i="20"/>
  <c r="N60" i="20"/>
  <c r="M60" i="20"/>
  <c r="L60" i="20"/>
  <c r="K60" i="20"/>
  <c r="J60" i="20"/>
  <c r="I60" i="20"/>
  <c r="H60" i="20"/>
  <c r="G60" i="20"/>
  <c r="F60" i="20"/>
  <c r="E60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R58" i="20"/>
  <c r="Q58" i="20"/>
  <c r="P58" i="20"/>
  <c r="O58" i="20"/>
  <c r="N58" i="20"/>
  <c r="M58" i="20"/>
  <c r="L58" i="20"/>
  <c r="K58" i="20"/>
  <c r="J58" i="20"/>
  <c r="I58" i="20"/>
  <c r="H58" i="20"/>
  <c r="G58" i="20"/>
  <c r="F58" i="20"/>
  <c r="E58" i="20"/>
  <c r="R57" i="20"/>
  <c r="Q57" i="20"/>
  <c r="P57" i="20"/>
  <c r="O57" i="20"/>
  <c r="N57" i="20"/>
  <c r="M57" i="20"/>
  <c r="L57" i="20"/>
  <c r="K57" i="20"/>
  <c r="J57" i="20"/>
  <c r="I57" i="20"/>
  <c r="H57" i="20"/>
  <c r="G57" i="20"/>
  <c r="F57" i="20"/>
  <c r="E57" i="20"/>
  <c r="R56" i="20"/>
  <c r="Q56" i="20"/>
  <c r="P56" i="20"/>
  <c r="O56" i="20"/>
  <c r="N56" i="20"/>
  <c r="M56" i="20"/>
  <c r="L56" i="20"/>
  <c r="K56" i="20"/>
  <c r="J56" i="20"/>
  <c r="I56" i="20"/>
  <c r="H56" i="20"/>
  <c r="G56" i="20"/>
  <c r="F56" i="20"/>
  <c r="E56" i="20"/>
  <c r="R55" i="20"/>
  <c r="Q55" i="20"/>
  <c r="P55" i="20"/>
  <c r="O55" i="20"/>
  <c r="N55" i="20"/>
  <c r="M55" i="20"/>
  <c r="L55" i="20"/>
  <c r="K55" i="20"/>
  <c r="J55" i="20"/>
  <c r="I55" i="20"/>
  <c r="H55" i="20"/>
  <c r="G55" i="20"/>
  <c r="F55" i="20"/>
  <c r="E55" i="20"/>
  <c r="R54" i="20"/>
  <c r="Q54" i="20"/>
  <c r="P54" i="20"/>
  <c r="O54" i="20"/>
  <c r="N54" i="20"/>
  <c r="M54" i="20"/>
  <c r="L54" i="20"/>
  <c r="K54" i="20"/>
  <c r="J54" i="20"/>
  <c r="I54" i="20"/>
  <c r="H54" i="20"/>
  <c r="G54" i="20"/>
  <c r="F54" i="20"/>
  <c r="E54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E30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R26" i="20"/>
  <c r="Q26" i="20"/>
  <c r="P26" i="20"/>
  <c r="O26" i="20"/>
  <c r="N26" i="20"/>
  <c r="M26" i="20"/>
  <c r="L26" i="20"/>
  <c r="K26" i="20"/>
  <c r="J26" i="20"/>
  <c r="I26" i="20"/>
  <c r="H26" i="20"/>
  <c r="G26" i="20"/>
  <c r="F26" i="20"/>
  <c r="E26" i="20"/>
  <c r="R25" i="20"/>
  <c r="Q25" i="20"/>
  <c r="P25" i="20"/>
  <c r="O25" i="20"/>
  <c r="N25" i="20"/>
  <c r="M25" i="20"/>
  <c r="L25" i="20"/>
  <c r="K25" i="20"/>
  <c r="J25" i="20"/>
  <c r="I25" i="20"/>
  <c r="H25" i="20"/>
  <c r="G25" i="20"/>
  <c r="F25" i="20"/>
  <c r="E25" i="20"/>
  <c r="R24" i="20"/>
  <c r="Q24" i="20"/>
  <c r="P24" i="20"/>
  <c r="O24" i="20"/>
  <c r="N24" i="20"/>
  <c r="M24" i="20"/>
  <c r="L24" i="20"/>
  <c r="K24" i="20"/>
  <c r="J24" i="20"/>
  <c r="I24" i="20"/>
  <c r="H24" i="20"/>
  <c r="G24" i="20"/>
  <c r="F24" i="20"/>
  <c r="E24" i="20"/>
  <c r="R23" i="20"/>
  <c r="Q23" i="20"/>
  <c r="P23" i="20"/>
  <c r="O23" i="20"/>
  <c r="N23" i="20"/>
  <c r="M23" i="20"/>
  <c r="L23" i="20"/>
  <c r="K23" i="20"/>
  <c r="J23" i="20"/>
  <c r="I23" i="20"/>
  <c r="H23" i="20"/>
  <c r="G23" i="20"/>
  <c r="F23" i="20"/>
  <c r="E23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B213" i="34"/>
  <c r="B212" i="34"/>
  <c r="B211" i="34"/>
  <c r="B210" i="34"/>
  <c r="B209" i="34"/>
  <c r="B208" i="34"/>
  <c r="B207" i="34"/>
  <c r="B206" i="34"/>
  <c r="B205" i="34"/>
  <c r="B204" i="34"/>
  <c r="B203" i="34"/>
  <c r="B202" i="34"/>
  <c r="B201" i="34"/>
  <c r="B200" i="34"/>
  <c r="B199" i="34"/>
  <c r="B198" i="34"/>
  <c r="B197" i="34"/>
  <c r="B196" i="34"/>
  <c r="B195" i="34"/>
  <c r="B194" i="34"/>
  <c r="B193" i="34"/>
  <c r="B192" i="34"/>
  <c r="B191" i="34"/>
  <c r="B190" i="34"/>
  <c r="B189" i="34"/>
  <c r="B188" i="34"/>
  <c r="B187" i="34"/>
  <c r="B186" i="34"/>
  <c r="B185" i="34"/>
  <c r="B184" i="34"/>
  <c r="B183" i="34"/>
  <c r="B182" i="34"/>
  <c r="B181" i="34"/>
  <c r="B180" i="34"/>
  <c r="B179" i="34"/>
  <c r="B178" i="34"/>
  <c r="B177" i="34"/>
  <c r="B176" i="34"/>
  <c r="B175" i="34"/>
  <c r="B174" i="34"/>
  <c r="B173" i="34"/>
  <c r="B172" i="34"/>
  <c r="B171" i="34"/>
  <c r="B170" i="34"/>
  <c r="B169" i="34"/>
  <c r="B168" i="34"/>
  <c r="B167" i="34"/>
  <c r="B166" i="34"/>
  <c r="B165" i="34"/>
  <c r="B164" i="34"/>
  <c r="B163" i="34"/>
  <c r="B162" i="34"/>
  <c r="B161" i="34"/>
  <c r="B160" i="34"/>
  <c r="B159" i="34"/>
  <c r="B158" i="34"/>
  <c r="B157" i="34"/>
  <c r="B156" i="34"/>
  <c r="B155" i="34"/>
  <c r="B154" i="34"/>
  <c r="B153" i="34"/>
  <c r="B152" i="34"/>
  <c r="B151" i="34"/>
  <c r="B150" i="34"/>
  <c r="B149" i="34"/>
  <c r="B148" i="34"/>
  <c r="B147" i="34"/>
  <c r="B146" i="34"/>
  <c r="B145" i="34"/>
  <c r="B144" i="34"/>
  <c r="B143" i="34"/>
  <c r="B142" i="34"/>
  <c r="B141" i="34"/>
  <c r="B140" i="34"/>
  <c r="B139" i="34"/>
  <c r="B138" i="34"/>
  <c r="B137" i="34"/>
  <c r="B136" i="34"/>
  <c r="B135" i="34"/>
  <c r="B134" i="34"/>
  <c r="B133" i="34"/>
  <c r="B132" i="34"/>
  <c r="B131" i="34"/>
  <c r="B130" i="34"/>
  <c r="B129" i="34"/>
  <c r="B128" i="34"/>
  <c r="B127" i="34"/>
  <c r="B126" i="34"/>
  <c r="B125" i="34"/>
  <c r="B124" i="34"/>
  <c r="B123" i="34"/>
  <c r="B122" i="34"/>
  <c r="B121" i="34"/>
  <c r="B120" i="34"/>
  <c r="B119" i="34"/>
  <c r="B118" i="34"/>
  <c r="B117" i="34"/>
  <c r="B116" i="34"/>
  <c r="B115" i="34"/>
  <c r="B114" i="34"/>
  <c r="B113" i="34"/>
  <c r="B112" i="34"/>
  <c r="B111" i="34"/>
  <c r="B110" i="34"/>
  <c r="B109" i="34"/>
  <c r="B108" i="34"/>
  <c r="B107" i="34"/>
  <c r="B106" i="34"/>
  <c r="B105" i="34"/>
  <c r="B104" i="34"/>
  <c r="B103" i="34"/>
  <c r="B102" i="34"/>
  <c r="B101" i="34"/>
  <c r="B100" i="34"/>
  <c r="B99" i="34"/>
  <c r="B98" i="34"/>
  <c r="B97" i="34"/>
  <c r="B96" i="34"/>
  <c r="B95" i="34"/>
  <c r="B94" i="34"/>
  <c r="B93" i="34"/>
  <c r="B92" i="34"/>
  <c r="B91" i="34"/>
  <c r="B90" i="34"/>
  <c r="B89" i="34"/>
  <c r="B88" i="34"/>
  <c r="B87" i="34"/>
  <c r="B86" i="34"/>
  <c r="B85" i="34"/>
  <c r="B84" i="34"/>
  <c r="B83" i="34"/>
  <c r="B82" i="34"/>
  <c r="B81" i="34"/>
  <c r="B80" i="34"/>
  <c r="B79" i="34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B57" i="34"/>
  <c r="B56" i="34"/>
  <c r="B55" i="34"/>
  <c r="B54" i="34"/>
  <c r="B53" i="34"/>
  <c r="B52" i="34"/>
  <c r="B51" i="34"/>
  <c r="B50" i="34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AV60" i="34"/>
  <c r="AU42" i="34"/>
  <c r="G213" i="34"/>
  <c r="F213" i="34"/>
  <c r="G212" i="34"/>
  <c r="F212" i="34"/>
  <c r="AU212" i="34" s="1"/>
  <c r="G211" i="34"/>
  <c r="F211" i="34"/>
  <c r="G210" i="34"/>
  <c r="F210" i="34"/>
  <c r="G209" i="34"/>
  <c r="F209" i="34"/>
  <c r="G208" i="34"/>
  <c r="F208" i="34"/>
  <c r="AU208" i="34" s="1"/>
  <c r="G207" i="34"/>
  <c r="F207" i="34"/>
  <c r="G206" i="34"/>
  <c r="F206" i="34"/>
  <c r="G205" i="34"/>
  <c r="F205" i="34"/>
  <c r="G204" i="34"/>
  <c r="F204" i="34"/>
  <c r="AU204" i="34" s="1"/>
  <c r="G203" i="34"/>
  <c r="F203" i="34"/>
  <c r="G202" i="34"/>
  <c r="F202" i="34"/>
  <c r="G201" i="34"/>
  <c r="F201" i="34"/>
  <c r="G200" i="34"/>
  <c r="F200" i="34"/>
  <c r="AU200" i="34" s="1"/>
  <c r="G199" i="34"/>
  <c r="F199" i="34"/>
  <c r="G198" i="34"/>
  <c r="F198" i="34"/>
  <c r="G197" i="34"/>
  <c r="F197" i="34"/>
  <c r="G196" i="34"/>
  <c r="F196" i="34"/>
  <c r="AU196" i="34" s="1"/>
  <c r="G195" i="34"/>
  <c r="F195" i="34"/>
  <c r="G194" i="34"/>
  <c r="F194" i="34"/>
  <c r="G193" i="34"/>
  <c r="F193" i="34"/>
  <c r="G192" i="34"/>
  <c r="F192" i="34"/>
  <c r="AU192" i="34" s="1"/>
  <c r="G191" i="34"/>
  <c r="F191" i="34"/>
  <c r="G190" i="34"/>
  <c r="F190" i="34"/>
  <c r="G189" i="34"/>
  <c r="F189" i="34"/>
  <c r="G188" i="34"/>
  <c r="F188" i="34"/>
  <c r="G187" i="34"/>
  <c r="F187" i="34"/>
  <c r="G186" i="34"/>
  <c r="F186" i="34"/>
  <c r="G185" i="34"/>
  <c r="F185" i="34"/>
  <c r="G184" i="34"/>
  <c r="F184" i="34"/>
  <c r="AU184" i="34" s="1"/>
  <c r="G183" i="34"/>
  <c r="F183" i="34"/>
  <c r="G182" i="34"/>
  <c r="F182" i="34"/>
  <c r="G181" i="34"/>
  <c r="F181" i="34"/>
  <c r="G180" i="34"/>
  <c r="F180" i="34"/>
  <c r="AU180" i="34" s="1"/>
  <c r="G179" i="34"/>
  <c r="F179" i="34"/>
  <c r="G178" i="34"/>
  <c r="F178" i="34"/>
  <c r="G177" i="34"/>
  <c r="F177" i="34"/>
  <c r="G176" i="34"/>
  <c r="F176" i="34"/>
  <c r="AU176" i="34" s="1"/>
  <c r="G175" i="34"/>
  <c r="F175" i="34"/>
  <c r="G174" i="34"/>
  <c r="F174" i="34"/>
  <c r="G173" i="34"/>
  <c r="F173" i="34"/>
  <c r="G172" i="34"/>
  <c r="F172" i="34"/>
  <c r="AU172" i="34" s="1"/>
  <c r="G171" i="34"/>
  <c r="F171" i="34"/>
  <c r="G170" i="34"/>
  <c r="F170" i="34"/>
  <c r="G169" i="34"/>
  <c r="F169" i="34"/>
  <c r="G168" i="34"/>
  <c r="F168" i="34"/>
  <c r="AU168" i="34" s="1"/>
  <c r="G167" i="34"/>
  <c r="F167" i="34"/>
  <c r="G166" i="34"/>
  <c r="F166" i="34"/>
  <c r="G165" i="34"/>
  <c r="F165" i="34"/>
  <c r="G164" i="34"/>
  <c r="F164" i="34"/>
  <c r="AU164" i="34" s="1"/>
  <c r="G163" i="34"/>
  <c r="F163" i="34"/>
  <c r="G162" i="34"/>
  <c r="F162" i="34"/>
  <c r="G161" i="34"/>
  <c r="F161" i="34"/>
  <c r="G160" i="34"/>
  <c r="F160" i="34"/>
  <c r="AU160" i="34" s="1"/>
  <c r="G159" i="34"/>
  <c r="F159" i="34"/>
  <c r="G158" i="34"/>
  <c r="F158" i="34"/>
  <c r="G157" i="34"/>
  <c r="F157" i="34"/>
  <c r="G156" i="34"/>
  <c r="F156" i="34"/>
  <c r="G155" i="34"/>
  <c r="F155" i="34"/>
  <c r="G154" i="34"/>
  <c r="F154" i="34"/>
  <c r="G153" i="34"/>
  <c r="F153" i="34"/>
  <c r="G152" i="34"/>
  <c r="F152" i="34"/>
  <c r="AU152" i="34" s="1"/>
  <c r="G151" i="34"/>
  <c r="F151" i="34"/>
  <c r="G150" i="34"/>
  <c r="F150" i="34"/>
  <c r="G149" i="34"/>
  <c r="F149" i="34"/>
  <c r="G148" i="34"/>
  <c r="F148" i="34"/>
  <c r="AU148" i="34" s="1"/>
  <c r="G147" i="34"/>
  <c r="F147" i="34"/>
  <c r="G146" i="34"/>
  <c r="F146" i="34"/>
  <c r="G145" i="34"/>
  <c r="F145" i="34"/>
  <c r="G144" i="34"/>
  <c r="F144" i="34"/>
  <c r="AU144" i="34" s="1"/>
  <c r="G143" i="34"/>
  <c r="F143" i="34"/>
  <c r="G142" i="34"/>
  <c r="F142" i="34"/>
  <c r="G141" i="34"/>
  <c r="F141" i="34"/>
  <c r="G140" i="34"/>
  <c r="F140" i="34"/>
  <c r="AU140" i="34" s="1"/>
  <c r="G139" i="34"/>
  <c r="F139" i="34"/>
  <c r="G138" i="34"/>
  <c r="F138" i="34"/>
  <c r="G137" i="34"/>
  <c r="F137" i="34"/>
  <c r="G136" i="34"/>
  <c r="F136" i="34"/>
  <c r="AU136" i="34" s="1"/>
  <c r="G135" i="34"/>
  <c r="F135" i="34"/>
  <c r="G134" i="34"/>
  <c r="F134" i="34"/>
  <c r="G133" i="34"/>
  <c r="F133" i="34"/>
  <c r="G132" i="34"/>
  <c r="F132" i="34"/>
  <c r="AU132" i="34" s="1"/>
  <c r="G131" i="34"/>
  <c r="F131" i="34"/>
  <c r="G130" i="34"/>
  <c r="F130" i="34"/>
  <c r="G129" i="34"/>
  <c r="F129" i="34"/>
  <c r="G128" i="34"/>
  <c r="F128" i="34"/>
  <c r="AU128" i="34" s="1"/>
  <c r="G127" i="34"/>
  <c r="F127" i="34"/>
  <c r="G126" i="34"/>
  <c r="F126" i="34"/>
  <c r="G125" i="34"/>
  <c r="F125" i="34"/>
  <c r="G124" i="34"/>
  <c r="F124" i="34"/>
  <c r="AU124" i="34" s="1"/>
  <c r="G123" i="34"/>
  <c r="F123" i="34"/>
  <c r="G122" i="34"/>
  <c r="F122" i="34"/>
  <c r="AU122" i="34" s="1"/>
  <c r="G121" i="34"/>
  <c r="F121" i="34"/>
  <c r="G120" i="34"/>
  <c r="F120" i="34"/>
  <c r="AU120" i="34" s="1"/>
  <c r="G119" i="34"/>
  <c r="F119" i="34"/>
  <c r="G118" i="34"/>
  <c r="F118" i="34"/>
  <c r="AU118" i="34" s="1"/>
  <c r="G117" i="34"/>
  <c r="F117" i="34"/>
  <c r="G116" i="34"/>
  <c r="F116" i="34"/>
  <c r="AU116" i="34" s="1"/>
  <c r="G115" i="34"/>
  <c r="F115" i="34"/>
  <c r="G114" i="34"/>
  <c r="F114" i="34"/>
  <c r="AU114" i="34" s="1"/>
  <c r="G113" i="34"/>
  <c r="F113" i="34"/>
  <c r="G112" i="34"/>
  <c r="F112" i="34"/>
  <c r="AU112" i="34" s="1"/>
  <c r="G111" i="34"/>
  <c r="F111" i="34"/>
  <c r="G110" i="34"/>
  <c r="F110" i="34"/>
  <c r="AU110" i="34" s="1"/>
  <c r="G109" i="34"/>
  <c r="F109" i="34"/>
  <c r="G108" i="34"/>
  <c r="F108" i="34"/>
  <c r="AU108" i="34" s="1"/>
  <c r="G107" i="34"/>
  <c r="F107" i="34"/>
  <c r="G106" i="34"/>
  <c r="F106" i="34"/>
  <c r="AU106" i="34" s="1"/>
  <c r="G105" i="34"/>
  <c r="F105" i="34"/>
  <c r="G104" i="34"/>
  <c r="F104" i="34"/>
  <c r="AU104" i="34" s="1"/>
  <c r="G103" i="34"/>
  <c r="F103" i="34"/>
  <c r="G102" i="34"/>
  <c r="F102" i="34"/>
  <c r="AU102" i="34" s="1"/>
  <c r="G101" i="34"/>
  <c r="F101" i="34"/>
  <c r="G100" i="34"/>
  <c r="F100" i="34"/>
  <c r="AU100" i="34" s="1"/>
  <c r="G99" i="34"/>
  <c r="F99" i="34"/>
  <c r="G98" i="34"/>
  <c r="F98" i="34"/>
  <c r="AU98" i="34" s="1"/>
  <c r="G97" i="34"/>
  <c r="F97" i="34"/>
  <c r="G96" i="34"/>
  <c r="F96" i="34"/>
  <c r="AU96" i="34" s="1"/>
  <c r="G95" i="34"/>
  <c r="F95" i="34"/>
  <c r="G94" i="34"/>
  <c r="F94" i="34"/>
  <c r="AU94" i="34" s="1"/>
  <c r="G93" i="34"/>
  <c r="F93" i="34"/>
  <c r="G92" i="34"/>
  <c r="F92" i="34"/>
  <c r="G91" i="34"/>
  <c r="F91" i="34"/>
  <c r="G90" i="34"/>
  <c r="F90" i="34"/>
  <c r="AU90" i="34" s="1"/>
  <c r="G89" i="34"/>
  <c r="F89" i="34"/>
  <c r="G88" i="34"/>
  <c r="F88" i="34"/>
  <c r="AU88" i="34" s="1"/>
  <c r="G87" i="34"/>
  <c r="F87" i="34"/>
  <c r="G86" i="34"/>
  <c r="F86" i="34"/>
  <c r="AU86" i="34" s="1"/>
  <c r="G85" i="34"/>
  <c r="F85" i="34"/>
  <c r="G84" i="34"/>
  <c r="F84" i="34"/>
  <c r="AU84" i="34" s="1"/>
  <c r="G83" i="34"/>
  <c r="F83" i="34"/>
  <c r="G82" i="34"/>
  <c r="F82" i="34"/>
  <c r="AU82" i="34" s="1"/>
  <c r="G81" i="34"/>
  <c r="F81" i="34"/>
  <c r="G80" i="34"/>
  <c r="F80" i="34"/>
  <c r="AU80" i="34" s="1"/>
  <c r="G79" i="34"/>
  <c r="F79" i="34"/>
  <c r="G78" i="34"/>
  <c r="F78" i="34"/>
  <c r="AU78" i="34" s="1"/>
  <c r="G77" i="34"/>
  <c r="F77" i="34"/>
  <c r="G76" i="34"/>
  <c r="F76" i="34"/>
  <c r="G75" i="34"/>
  <c r="F75" i="34"/>
  <c r="G74" i="34"/>
  <c r="F74" i="34"/>
  <c r="AU74" i="34" s="1"/>
  <c r="G73" i="34"/>
  <c r="F73" i="34"/>
  <c r="G72" i="34"/>
  <c r="F72" i="34"/>
  <c r="AU72" i="34" s="1"/>
  <c r="G71" i="34"/>
  <c r="F71" i="34"/>
  <c r="G70" i="34"/>
  <c r="F70" i="34"/>
  <c r="AU70" i="34" s="1"/>
  <c r="G69" i="34"/>
  <c r="F69" i="34"/>
  <c r="G68" i="34"/>
  <c r="F68" i="34"/>
  <c r="AU68" i="34" s="1"/>
  <c r="G67" i="34"/>
  <c r="F67" i="34"/>
  <c r="G66" i="34"/>
  <c r="F66" i="34"/>
  <c r="AU66" i="34" s="1"/>
  <c r="G65" i="34"/>
  <c r="F65" i="34"/>
  <c r="G64" i="34"/>
  <c r="F64" i="34"/>
  <c r="AU64" i="34" s="1"/>
  <c r="G63" i="34"/>
  <c r="F63" i="34"/>
  <c r="G62" i="34"/>
  <c r="F62" i="34"/>
  <c r="AU62" i="34" s="1"/>
  <c r="G61" i="34"/>
  <c r="F61" i="34"/>
  <c r="G60" i="34"/>
  <c r="F60" i="34"/>
  <c r="AU60" i="34" s="1"/>
  <c r="G59" i="34"/>
  <c r="F59" i="34"/>
  <c r="G58" i="34"/>
  <c r="F58" i="34"/>
  <c r="AU58" i="34" s="1"/>
  <c r="G57" i="34"/>
  <c r="F57" i="34"/>
  <c r="G56" i="34"/>
  <c r="F56" i="34"/>
  <c r="AU56" i="34" s="1"/>
  <c r="G55" i="34"/>
  <c r="F55" i="34"/>
  <c r="G54" i="34"/>
  <c r="F54" i="34"/>
  <c r="AU54" i="34" s="1"/>
  <c r="G53" i="34"/>
  <c r="F53" i="34"/>
  <c r="G52" i="34"/>
  <c r="F52" i="34"/>
  <c r="AU52" i="34" s="1"/>
  <c r="G51" i="34"/>
  <c r="F51" i="34"/>
  <c r="AV51" i="34" s="1"/>
  <c r="G50" i="34"/>
  <c r="F50" i="34"/>
  <c r="G49" i="34"/>
  <c r="F49" i="34"/>
  <c r="AU49" i="34" s="1"/>
  <c r="G48" i="34"/>
  <c r="F48" i="34"/>
  <c r="AU48" i="34" s="1"/>
  <c r="G47" i="34"/>
  <c r="F47" i="34"/>
  <c r="AV47" i="34" s="1"/>
  <c r="G46" i="34"/>
  <c r="F46" i="34"/>
  <c r="G45" i="34"/>
  <c r="F45" i="34"/>
  <c r="AU45" i="34" s="1"/>
  <c r="G44" i="34"/>
  <c r="F44" i="34"/>
  <c r="AU44" i="34" s="1"/>
  <c r="G43" i="34"/>
  <c r="F43" i="34"/>
  <c r="AV43" i="34" s="1"/>
  <c r="G42" i="34"/>
  <c r="F42" i="34"/>
  <c r="AV42" i="34" s="1"/>
  <c r="G41" i="34"/>
  <c r="F41" i="34"/>
  <c r="AV41" i="34" s="1"/>
  <c r="G40" i="34"/>
  <c r="G39" i="34"/>
  <c r="F39" i="34"/>
  <c r="AV39" i="34" s="1"/>
  <c r="G38" i="34"/>
  <c r="F38" i="34"/>
  <c r="AV38" i="34" s="1"/>
  <c r="G37" i="34"/>
  <c r="F37" i="34"/>
  <c r="AV37" i="34" s="1"/>
  <c r="G36" i="34"/>
  <c r="F36" i="34"/>
  <c r="G35" i="34"/>
  <c r="F35" i="34"/>
  <c r="AV35" i="34" s="1"/>
  <c r="G34" i="34"/>
  <c r="F34" i="34"/>
  <c r="AV34" i="34" s="1"/>
  <c r="G33" i="34"/>
  <c r="F33" i="34"/>
  <c r="AV33" i="34" s="1"/>
  <c r="G32" i="34"/>
  <c r="F32" i="34"/>
  <c r="G31" i="34"/>
  <c r="F31" i="34"/>
  <c r="AV31" i="34" s="1"/>
  <c r="G30" i="34"/>
  <c r="F30" i="34"/>
  <c r="AV30" i="34" s="1"/>
  <c r="G29" i="34"/>
  <c r="F29" i="34"/>
  <c r="AV29" i="34" s="1"/>
  <c r="G28" i="34"/>
  <c r="F28" i="34"/>
  <c r="G27" i="34"/>
  <c r="F27" i="34"/>
  <c r="AV27" i="34" s="1"/>
  <c r="G26" i="34"/>
  <c r="F26" i="34"/>
  <c r="AV26" i="34" s="1"/>
  <c r="G25" i="34"/>
  <c r="G24" i="34"/>
  <c r="F24" i="34"/>
  <c r="AV24" i="34" s="1"/>
  <c r="G23" i="34"/>
  <c r="F23" i="34"/>
  <c r="AV23" i="34" s="1"/>
  <c r="G22" i="34"/>
  <c r="F22" i="34"/>
  <c r="AV22" i="34" s="1"/>
  <c r="G21" i="34"/>
  <c r="F21" i="34"/>
  <c r="AV21" i="34" s="1"/>
  <c r="G20" i="34"/>
  <c r="F20" i="34"/>
  <c r="AV20" i="34" s="1"/>
  <c r="G19" i="34"/>
  <c r="F19" i="34"/>
  <c r="AV19" i="34" s="1"/>
  <c r="G18" i="34"/>
  <c r="F18" i="34"/>
  <c r="AV18" i="34" s="1"/>
  <c r="G17" i="34"/>
  <c r="F17" i="34"/>
  <c r="AV17" i="34" s="1"/>
  <c r="G16" i="34"/>
  <c r="F16" i="34"/>
  <c r="AV16" i="34" s="1"/>
  <c r="G15" i="34"/>
  <c r="F15" i="34"/>
  <c r="AV15" i="34" s="1"/>
  <c r="G14" i="34"/>
  <c r="F14" i="34"/>
  <c r="AV14" i="34" s="1"/>
  <c r="G13" i="34"/>
  <c r="F13" i="34"/>
  <c r="AV13" i="34" s="1"/>
  <c r="G12" i="34"/>
  <c r="F12" i="34"/>
  <c r="AV12" i="34" s="1"/>
  <c r="G11" i="34"/>
  <c r="F11" i="34"/>
  <c r="AV11" i="34" s="1"/>
  <c r="G10" i="34"/>
  <c r="F10" i="34"/>
  <c r="AV10" i="34" s="1"/>
  <c r="G9" i="34"/>
  <c r="F9" i="34"/>
  <c r="AV9" i="34" s="1"/>
  <c r="G8" i="34"/>
  <c r="F8" i="34"/>
  <c r="AV8" i="34" s="1"/>
  <c r="G7" i="34"/>
  <c r="F7" i="34"/>
  <c r="AV7" i="34" s="1"/>
  <c r="G6" i="34"/>
  <c r="F6" i="34"/>
  <c r="AV6" i="34" s="1"/>
  <c r="G5" i="34"/>
  <c r="F5" i="34"/>
  <c r="AV5" i="34" s="1"/>
  <c r="C213" i="34"/>
  <c r="C212" i="34"/>
  <c r="C211" i="34"/>
  <c r="C210" i="34"/>
  <c r="C209" i="34"/>
  <c r="C208" i="34"/>
  <c r="C207" i="34"/>
  <c r="C206" i="34"/>
  <c r="C205" i="34"/>
  <c r="C204" i="34"/>
  <c r="C203" i="34"/>
  <c r="C202" i="34"/>
  <c r="C201" i="34"/>
  <c r="C200" i="34"/>
  <c r="C199" i="34"/>
  <c r="C198" i="34"/>
  <c r="C197" i="34"/>
  <c r="C196" i="34"/>
  <c r="C195" i="34"/>
  <c r="C194" i="34"/>
  <c r="C193" i="34"/>
  <c r="C192" i="34"/>
  <c r="C191" i="34"/>
  <c r="C190" i="34"/>
  <c r="C189" i="34"/>
  <c r="C188" i="34"/>
  <c r="C187" i="34"/>
  <c r="C186" i="34"/>
  <c r="C185" i="34"/>
  <c r="C184" i="34"/>
  <c r="C183" i="34"/>
  <c r="C182" i="34"/>
  <c r="C181" i="34"/>
  <c r="C180" i="34"/>
  <c r="C179" i="34"/>
  <c r="C178" i="34"/>
  <c r="C177" i="34"/>
  <c r="C176" i="34"/>
  <c r="C175" i="34"/>
  <c r="C174" i="34"/>
  <c r="C173" i="34"/>
  <c r="C172" i="34"/>
  <c r="C171" i="34"/>
  <c r="C170" i="34"/>
  <c r="C169" i="34"/>
  <c r="C168" i="34"/>
  <c r="C167" i="34"/>
  <c r="C166" i="34"/>
  <c r="C165" i="34"/>
  <c r="C164" i="34"/>
  <c r="C163" i="34"/>
  <c r="C162" i="34"/>
  <c r="C161" i="34"/>
  <c r="C160" i="34"/>
  <c r="C159" i="34"/>
  <c r="C158" i="34"/>
  <c r="C157" i="34"/>
  <c r="C156" i="34"/>
  <c r="C155" i="34"/>
  <c r="C154" i="34"/>
  <c r="C153" i="34"/>
  <c r="C152" i="34"/>
  <c r="C151" i="34"/>
  <c r="C150" i="34"/>
  <c r="C149" i="34"/>
  <c r="C148" i="34"/>
  <c r="C147" i="34"/>
  <c r="C146" i="34"/>
  <c r="C145" i="34"/>
  <c r="C144" i="34"/>
  <c r="C143" i="34"/>
  <c r="C142" i="34"/>
  <c r="C141" i="34"/>
  <c r="C140" i="34"/>
  <c r="C139" i="34"/>
  <c r="C138" i="34"/>
  <c r="C137" i="34"/>
  <c r="C136" i="34"/>
  <c r="C135" i="34"/>
  <c r="C134" i="34"/>
  <c r="C133" i="34"/>
  <c r="C132" i="34"/>
  <c r="C131" i="34"/>
  <c r="C130" i="34"/>
  <c r="C129" i="34"/>
  <c r="C128" i="34"/>
  <c r="C127" i="34"/>
  <c r="C126" i="34"/>
  <c r="C125" i="34"/>
  <c r="C124" i="34"/>
  <c r="C123" i="34"/>
  <c r="C122" i="34"/>
  <c r="C121" i="34"/>
  <c r="C120" i="34"/>
  <c r="C119" i="34"/>
  <c r="C118" i="34"/>
  <c r="C117" i="34"/>
  <c r="C116" i="34"/>
  <c r="C115" i="34"/>
  <c r="C114" i="34"/>
  <c r="C113" i="34"/>
  <c r="C112" i="34"/>
  <c r="C111" i="34"/>
  <c r="C110" i="34"/>
  <c r="C109" i="34"/>
  <c r="C108" i="34"/>
  <c r="C107" i="34"/>
  <c r="C106" i="34"/>
  <c r="C105" i="34"/>
  <c r="C104" i="34"/>
  <c r="C103" i="34"/>
  <c r="C102" i="34"/>
  <c r="C101" i="34"/>
  <c r="C100" i="34"/>
  <c r="C99" i="34"/>
  <c r="C98" i="34"/>
  <c r="C97" i="34"/>
  <c r="C96" i="34"/>
  <c r="C95" i="34"/>
  <c r="C94" i="34"/>
  <c r="C93" i="34"/>
  <c r="C92" i="34"/>
  <c r="C91" i="34"/>
  <c r="C90" i="34"/>
  <c r="C89" i="34"/>
  <c r="C88" i="34"/>
  <c r="C87" i="34"/>
  <c r="C86" i="34"/>
  <c r="C85" i="34"/>
  <c r="C84" i="34"/>
  <c r="C83" i="34"/>
  <c r="C82" i="34"/>
  <c r="C81" i="34"/>
  <c r="C80" i="34"/>
  <c r="C79" i="34"/>
  <c r="C78" i="34"/>
  <c r="C77" i="34"/>
  <c r="C76" i="34"/>
  <c r="C75" i="34"/>
  <c r="C74" i="34"/>
  <c r="C73" i="34"/>
  <c r="C72" i="34"/>
  <c r="C71" i="34"/>
  <c r="C70" i="34"/>
  <c r="C69" i="34"/>
  <c r="C68" i="34"/>
  <c r="C67" i="34"/>
  <c r="C66" i="34"/>
  <c r="C65" i="34"/>
  <c r="C64" i="34"/>
  <c r="C63" i="34"/>
  <c r="C62" i="34"/>
  <c r="C61" i="34"/>
  <c r="C60" i="34"/>
  <c r="C59" i="34"/>
  <c r="C58" i="34"/>
  <c r="C57" i="34"/>
  <c r="C56" i="34"/>
  <c r="C55" i="34"/>
  <c r="C54" i="34"/>
  <c r="C53" i="34"/>
  <c r="C52" i="34"/>
  <c r="C51" i="34"/>
  <c r="C50" i="34"/>
  <c r="C49" i="34"/>
  <c r="C48" i="34"/>
  <c r="C47" i="34"/>
  <c r="C46" i="34"/>
  <c r="C45" i="34"/>
  <c r="C44" i="34"/>
  <c r="C43" i="34"/>
  <c r="C42" i="34"/>
  <c r="C41" i="34"/>
  <c r="C40" i="34"/>
  <c r="C39" i="34"/>
  <c r="C38" i="34"/>
  <c r="C37" i="34"/>
  <c r="C36" i="34"/>
  <c r="C35" i="34"/>
  <c r="C34" i="34"/>
  <c r="C33" i="34"/>
  <c r="C32" i="34"/>
  <c r="C31" i="34"/>
  <c r="C30" i="34"/>
  <c r="C29" i="34"/>
  <c r="C28" i="34"/>
  <c r="C27" i="34"/>
  <c r="C26" i="34"/>
  <c r="C25" i="34"/>
  <c r="C24" i="34"/>
  <c r="C23" i="34"/>
  <c r="C22" i="34"/>
  <c r="C21" i="34"/>
  <c r="C20" i="34"/>
  <c r="C19" i="34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G4" i="34"/>
  <c r="F4" i="34"/>
  <c r="AV4" i="34" s="1"/>
  <c r="AQ7" i="36"/>
  <c r="AQ27" i="36"/>
  <c r="AQ25" i="36"/>
  <c r="AQ19" i="36"/>
  <c r="AQ13" i="36"/>
  <c r="AQ20" i="36"/>
  <c r="AQ8" i="36"/>
  <c r="AQ12" i="36"/>
  <c r="AQ10" i="36"/>
  <c r="AQ30" i="36"/>
  <c r="AQ24" i="36"/>
  <c r="AQ18" i="36"/>
  <c r="AQ14" i="36"/>
  <c r="AQ17" i="36"/>
  <c r="AQ15" i="36"/>
  <c r="AQ9" i="36"/>
  <c r="AQ29" i="36"/>
  <c r="AQ23" i="36"/>
  <c r="AQ22" i="36"/>
  <c r="AI17" i="36"/>
  <c r="AI25" i="36"/>
  <c r="AI19" i="36"/>
  <c r="AI12" i="36"/>
  <c r="AI13" i="36"/>
  <c r="AI14" i="36"/>
  <c r="AI27" i="36"/>
  <c r="AI30" i="36"/>
  <c r="AI24" i="36"/>
  <c r="AI22" i="36"/>
  <c r="AI18" i="36"/>
  <c r="AI7" i="36"/>
  <c r="AI15" i="36"/>
  <c r="AI9" i="36"/>
  <c r="AI29" i="36"/>
  <c r="AI10" i="36"/>
  <c r="AI23" i="36"/>
  <c r="AI20" i="36"/>
  <c r="AI8" i="36"/>
  <c r="AA10" i="36"/>
  <c r="AA12" i="36"/>
  <c r="AA30" i="36"/>
  <c r="AA24" i="36"/>
  <c r="AA18" i="36"/>
  <c r="AA25" i="36"/>
  <c r="AA22" i="36"/>
  <c r="AA20" i="36"/>
  <c r="AA13" i="36"/>
  <c r="AA15" i="36"/>
  <c r="AA17" i="36"/>
  <c r="AA9" i="36"/>
  <c r="AA29" i="36"/>
  <c r="AA23" i="36"/>
  <c r="AA27" i="36"/>
  <c r="AA14" i="36"/>
  <c r="AA8" i="36"/>
  <c r="AA7" i="36"/>
  <c r="AA19" i="36"/>
  <c r="F38" i="20"/>
  <c r="F39" i="20"/>
  <c r="F4" i="20"/>
  <c r="J210" i="34"/>
  <c r="J202" i="34"/>
  <c r="J194" i="34"/>
  <c r="J212" i="34"/>
  <c r="J204" i="34"/>
  <c r="J196" i="34"/>
  <c r="AK187" i="34"/>
  <c r="J207" i="34"/>
  <c r="J191" i="34"/>
  <c r="J181" i="34"/>
  <c r="J173" i="34"/>
  <c r="J209" i="34"/>
  <c r="J193" i="34"/>
  <c r="AK180" i="34"/>
  <c r="AK172" i="34"/>
  <c r="AK164" i="34"/>
  <c r="AK186" i="34"/>
  <c r="AK171" i="34"/>
  <c r="J163" i="34"/>
  <c r="J155" i="34"/>
  <c r="AK179" i="34"/>
  <c r="AK165" i="34"/>
  <c r="J158" i="34"/>
  <c r="AK152" i="34"/>
  <c r="AK148" i="34"/>
  <c r="AK144" i="34"/>
  <c r="AK140" i="34"/>
  <c r="AK136" i="34"/>
  <c r="AK132" i="34"/>
  <c r="AK128" i="34"/>
  <c r="AK124" i="34"/>
  <c r="AK120" i="34"/>
  <c r="J182" i="34"/>
  <c r="AK157" i="34"/>
  <c r="J151" i="34"/>
  <c r="J147" i="34"/>
  <c r="J143" i="34"/>
  <c r="J139" i="34"/>
  <c r="AK160" i="34"/>
  <c r="J183" i="34"/>
  <c r="J133" i="34"/>
  <c r="AK69" i="34"/>
  <c r="AK61" i="34"/>
  <c r="AK53" i="34"/>
  <c r="AK45" i="34"/>
  <c r="AK37" i="34"/>
  <c r="AK33" i="34"/>
  <c r="AK22" i="34"/>
  <c r="AK14" i="34"/>
  <c r="AK6" i="34"/>
  <c r="J116" i="34"/>
  <c r="J109" i="34"/>
  <c r="J101" i="34"/>
  <c r="J96" i="34"/>
  <c r="J87" i="34"/>
  <c r="J134" i="34"/>
  <c r="AK119" i="34"/>
  <c r="AK115" i="34"/>
  <c r="AK111" i="34"/>
  <c r="AK107" i="34"/>
  <c r="AK103" i="34"/>
  <c r="AK99" i="34"/>
  <c r="AK95" i="34"/>
  <c r="AK91" i="34"/>
  <c r="AK87" i="34"/>
  <c r="AK83" i="34"/>
  <c r="AK79" i="34"/>
  <c r="AK75" i="34"/>
  <c r="AK71" i="34"/>
  <c r="AK64" i="34"/>
  <c r="AK56" i="34"/>
  <c r="AK48" i="34"/>
  <c r="J40" i="34"/>
  <c r="J35" i="34"/>
  <c r="J31" i="34"/>
  <c r="J27" i="34"/>
  <c r="J23" i="34"/>
  <c r="J19" i="34"/>
  <c r="J15" i="34"/>
  <c r="J11" i="34"/>
  <c r="J7" i="34"/>
  <c r="AK30" i="34"/>
  <c r="AK23" i="34"/>
  <c r="AK15" i="34"/>
  <c r="AK7" i="34"/>
  <c r="J170" i="34"/>
  <c r="J124" i="34"/>
  <c r="J117" i="34"/>
  <c r="J107" i="34"/>
  <c r="J97" i="34"/>
  <c r="J92" i="34"/>
  <c r="J84" i="34"/>
  <c r="AK66" i="34"/>
  <c r="J164" i="34"/>
  <c r="J74" i="34"/>
  <c r="AK54" i="34"/>
  <c r="AK38" i="34"/>
  <c r="J81" i="34"/>
  <c r="AK47" i="34"/>
  <c r="AH31" i="34"/>
  <c r="J79" i="34"/>
  <c r="J50" i="34"/>
  <c r="AK55" i="34"/>
  <c r="J39" i="34"/>
  <c r="AK67" i="34"/>
  <c r="AK39" i="34"/>
  <c r="K27" i="34"/>
  <c r="AK202" i="34"/>
  <c r="AK190" i="34"/>
  <c r="J208" i="34"/>
  <c r="AK196" i="34"/>
  <c r="J211" i="34"/>
  <c r="J199" i="34"/>
  <c r="AK181" i="34"/>
  <c r="J213" i="34"/>
  <c r="J201" i="34"/>
  <c r="J184" i="34"/>
  <c r="J172" i="34"/>
  <c r="J197" i="34"/>
  <c r="J178" i="34"/>
  <c r="AK159" i="34"/>
  <c r="J195" i="34"/>
  <c r="AK166" i="34"/>
  <c r="AK154" i="34"/>
  <c r="AK150" i="34"/>
  <c r="AK145" i="34"/>
  <c r="AK139" i="34"/>
  <c r="AK134" i="34"/>
  <c r="AK129" i="34"/>
  <c r="AK123" i="34"/>
  <c r="J189" i="34"/>
  <c r="J167" i="34"/>
  <c r="J150" i="34"/>
  <c r="AH150" i="34" s="1"/>
  <c r="J145" i="34"/>
  <c r="J140" i="34"/>
  <c r="AH140" i="34" s="1"/>
  <c r="J160" i="34"/>
  <c r="AH151" i="34"/>
  <c r="AH143" i="34"/>
  <c r="AK161" i="34"/>
  <c r="J121" i="34"/>
  <c r="J61" i="34"/>
  <c r="AK49" i="34"/>
  <c r="J41" i="34"/>
  <c r="AK31" i="34"/>
  <c r="AK18" i="34"/>
  <c r="AK8" i="34"/>
  <c r="J112" i="34"/>
  <c r="J105" i="34"/>
  <c r="J98" i="34"/>
  <c r="AK195" i="34"/>
  <c r="J126" i="34"/>
  <c r="AK116" i="34"/>
  <c r="AK110" i="34"/>
  <c r="AK105" i="34"/>
  <c r="AK100" i="34"/>
  <c r="AK94" i="34"/>
  <c r="AK89" i="34"/>
  <c r="AK84" i="34"/>
  <c r="AK78" i="34"/>
  <c r="AK73" i="34"/>
  <c r="J68" i="34"/>
  <c r="J56" i="34"/>
  <c r="AK44" i="34"/>
  <c r="J36" i="34"/>
  <c r="J30" i="34"/>
  <c r="J25" i="34"/>
  <c r="J20" i="34"/>
  <c r="J14" i="34"/>
  <c r="AH14" i="34" s="1"/>
  <c r="J9" i="34"/>
  <c r="AK32" i="34"/>
  <c r="AK20" i="34"/>
  <c r="AK11" i="34"/>
  <c r="J174" i="34"/>
  <c r="J120" i="34"/>
  <c r="J114" i="34"/>
  <c r="J102" i="34"/>
  <c r="J91" i="34"/>
  <c r="J76" i="34"/>
  <c r="J58" i="34"/>
  <c r="J70" i="34"/>
  <c r="AK46" i="34"/>
  <c r="J73" i="34"/>
  <c r="AH36" i="34"/>
  <c r="AK156" i="34"/>
  <c r="AK59" i="34"/>
  <c r="J51" i="34"/>
  <c r="K14" i="34"/>
  <c r="J83" i="34"/>
  <c r="J47" i="34"/>
  <c r="AH23" i="34"/>
  <c r="L14" i="34"/>
  <c r="AK42" i="34"/>
  <c r="K31" i="34"/>
  <c r="K15" i="34"/>
  <c r="K210" i="34"/>
  <c r="K202" i="34"/>
  <c r="K194" i="34"/>
  <c r="K212" i="34"/>
  <c r="K204" i="34"/>
  <c r="K196" i="34"/>
  <c r="K211" i="34"/>
  <c r="K199" i="34"/>
  <c r="K213" i="34"/>
  <c r="K201" i="34"/>
  <c r="K172" i="34"/>
  <c r="K197" i="34"/>
  <c r="K178" i="34"/>
  <c r="K195" i="34"/>
  <c r="K158" i="34"/>
  <c r="K189" i="34"/>
  <c r="K160" i="34"/>
  <c r="AH183" i="34"/>
  <c r="AH133" i="34"/>
  <c r="AH61" i="34"/>
  <c r="K112" i="34"/>
  <c r="K98" i="34"/>
  <c r="AH134" i="34"/>
  <c r="AH126" i="34"/>
  <c r="AH68" i="34"/>
  <c r="AH174" i="34"/>
  <c r="AH120" i="34"/>
  <c r="K102" i="34"/>
  <c r="K91" i="34"/>
  <c r="AH58" i="34"/>
  <c r="K70" i="34"/>
  <c r="K81" i="34"/>
  <c r="K50" i="34"/>
  <c r="K51" i="34"/>
  <c r="R14" i="34"/>
  <c r="AH47" i="34"/>
  <c r="L27" i="34"/>
  <c r="L211" i="34"/>
  <c r="L213" i="34"/>
  <c r="L178" i="34"/>
  <c r="L195" i="34"/>
  <c r="L160" i="34"/>
  <c r="L112" i="34"/>
  <c r="AK198" i="34"/>
  <c r="AK213" i="34"/>
  <c r="J200" i="34"/>
  <c r="AK210" i="34"/>
  <c r="AK185" i="34"/>
  <c r="AK173" i="34"/>
  <c r="AK193" i="34"/>
  <c r="AK176" i="34"/>
  <c r="AK205" i="34"/>
  <c r="AK170" i="34"/>
  <c r="AK155" i="34"/>
  <c r="AK167" i="34"/>
  <c r="J154" i="34"/>
  <c r="AK147" i="34"/>
  <c r="AK141" i="34"/>
  <c r="AK133" i="34"/>
  <c r="AK126" i="34"/>
  <c r="AK197" i="34"/>
  <c r="J157" i="34"/>
  <c r="K157" i="34" s="1"/>
  <c r="J148" i="34"/>
  <c r="AH148" i="34" s="1"/>
  <c r="J141" i="34"/>
  <c r="K141" i="34" s="1"/>
  <c r="K150" i="34"/>
  <c r="K147" i="34"/>
  <c r="L147" i="34" s="1"/>
  <c r="K143" i="34"/>
  <c r="L143" i="34" s="1"/>
  <c r="AH139" i="34"/>
  <c r="AK182" i="34"/>
  <c r="J69" i="34"/>
  <c r="AH69" i="34" s="1"/>
  <c r="J57" i="34"/>
  <c r="AK41" i="34"/>
  <c r="AK29" i="34"/>
  <c r="AK12" i="34"/>
  <c r="J165" i="34"/>
  <c r="AH165" i="34" s="1"/>
  <c r="J104" i="34"/>
  <c r="K104" i="34" s="1"/>
  <c r="J89" i="34"/>
  <c r="J130" i="34"/>
  <c r="AK114" i="34"/>
  <c r="AK108" i="34"/>
  <c r="AK101" i="34"/>
  <c r="AK93" i="34"/>
  <c r="AK86" i="34"/>
  <c r="AK80" i="34"/>
  <c r="AK72" i="34"/>
  <c r="AK60" i="34"/>
  <c r="J48" i="34"/>
  <c r="J34" i="34"/>
  <c r="J28" i="34"/>
  <c r="J21" i="34"/>
  <c r="K21" i="34" s="1"/>
  <c r="L21" i="34" s="1"/>
  <c r="J13" i="34"/>
  <c r="J6" i="34"/>
  <c r="AH6" i="34" s="1"/>
  <c r="AK24" i="34"/>
  <c r="AK9" i="34"/>
  <c r="J132" i="34"/>
  <c r="J115" i="34"/>
  <c r="K115" i="34" s="1"/>
  <c r="J95" i="34"/>
  <c r="K95" i="34" s="1"/>
  <c r="J135" i="34"/>
  <c r="AH135" i="34" s="1"/>
  <c r="AK58" i="34"/>
  <c r="AK62" i="34"/>
  <c r="J123" i="34"/>
  <c r="K35" i="34"/>
  <c r="K20" i="34"/>
  <c r="J161" i="34"/>
  <c r="J85" i="34"/>
  <c r="AK43" i="34"/>
  <c r="J59" i="34"/>
  <c r="K11" i="34"/>
  <c r="AH21" i="34"/>
  <c r="K9" i="34"/>
  <c r="J43" i="34"/>
  <c r="K43" i="34" s="1"/>
  <c r="K28" i="34"/>
  <c r="L28" i="34" s="1"/>
  <c r="AH194" i="34"/>
  <c r="K208" i="34"/>
  <c r="L208" i="34" s="1"/>
  <c r="AH200" i="34"/>
  <c r="AH211" i="34"/>
  <c r="K191" i="34"/>
  <c r="AH181" i="34"/>
  <c r="AH213" i="34"/>
  <c r="K193" i="34"/>
  <c r="AH184" i="34"/>
  <c r="AH172" i="34"/>
  <c r="AH163" i="34"/>
  <c r="AH195" i="34"/>
  <c r="AH154" i="34"/>
  <c r="L141" i="34"/>
  <c r="K183" i="34"/>
  <c r="AH121" i="34"/>
  <c r="K61" i="34"/>
  <c r="AH41" i="34"/>
  <c r="K165" i="34"/>
  <c r="K109" i="34"/>
  <c r="AH104" i="34"/>
  <c r="K96" i="34"/>
  <c r="AH130" i="34"/>
  <c r="K68" i="34"/>
  <c r="L68" i="34" s="1"/>
  <c r="K56" i="34"/>
  <c r="AH48" i="34"/>
  <c r="K174" i="34"/>
  <c r="K132" i="34"/>
  <c r="AH124" i="34"/>
  <c r="AH114" i="34"/>
  <c r="K107" i="34"/>
  <c r="AH102" i="34"/>
  <c r="K92" i="34"/>
  <c r="K135" i="34"/>
  <c r="AH76" i="34"/>
  <c r="AH74" i="34"/>
  <c r="K123" i="34"/>
  <c r="K73" i="34"/>
  <c r="AH161" i="34"/>
  <c r="AH85" i="34"/>
  <c r="X14" i="34"/>
  <c r="AH83" i="34"/>
  <c r="AH59" i="34"/>
  <c r="L9" i="34"/>
  <c r="R9" i="34" s="1"/>
  <c r="L210" i="34"/>
  <c r="L199" i="34"/>
  <c r="L193" i="34"/>
  <c r="L172" i="34"/>
  <c r="R172" i="34" s="1"/>
  <c r="L197" i="34"/>
  <c r="R147" i="34"/>
  <c r="L61" i="34"/>
  <c r="L98" i="34"/>
  <c r="L56" i="34"/>
  <c r="L132" i="34"/>
  <c r="L123" i="34"/>
  <c r="AB14" i="34"/>
  <c r="L43" i="34"/>
  <c r="R211" i="34"/>
  <c r="X199" i="34"/>
  <c r="R213" i="34"/>
  <c r="R160" i="34"/>
  <c r="J206" i="34"/>
  <c r="AH206" i="34" s="1"/>
  <c r="AK208" i="34"/>
  <c r="J192" i="34"/>
  <c r="AK191" i="34"/>
  <c r="AK212" i="34"/>
  <c r="AK184" i="34"/>
  <c r="J168" i="34"/>
  <c r="AK169" i="34"/>
  <c r="J187" i="34"/>
  <c r="AK158" i="34"/>
  <c r="AK146" i="34"/>
  <c r="AK137" i="34"/>
  <c r="AK127" i="34"/>
  <c r="AK183" i="34"/>
  <c r="J152" i="34"/>
  <c r="AH152" i="34" s="1"/>
  <c r="J142" i="34"/>
  <c r="AH142" i="34" s="1"/>
  <c r="K148" i="34"/>
  <c r="K139" i="34"/>
  <c r="J129" i="34"/>
  <c r="K129" i="34" s="1"/>
  <c r="AK57" i="34"/>
  <c r="AK36" i="34"/>
  <c r="AK21" i="34"/>
  <c r="J203" i="34"/>
  <c r="J100" i="34"/>
  <c r="K100" i="34" s="1"/>
  <c r="L100" i="34" s="1"/>
  <c r="J171" i="34"/>
  <c r="AH171" i="34" s="1"/>
  <c r="AK117" i="34"/>
  <c r="AK106" i="34"/>
  <c r="AK97" i="34"/>
  <c r="AK88" i="34"/>
  <c r="AK77" i="34"/>
  <c r="AK68" i="34"/>
  <c r="J52" i="34"/>
  <c r="AH52" i="34" s="1"/>
  <c r="J33" i="34"/>
  <c r="J24" i="34"/>
  <c r="J16" i="34"/>
  <c r="K16" i="34" s="1"/>
  <c r="J5" i="34"/>
  <c r="AK16" i="34"/>
  <c r="J136" i="34"/>
  <c r="AH136" i="34" s="1"/>
  <c r="J113" i="34"/>
  <c r="K113" i="34" s="1"/>
  <c r="J93" i="34"/>
  <c r="K93" i="34" s="1"/>
  <c r="J66" i="34"/>
  <c r="AH66" i="34" s="1"/>
  <c r="J62" i="34"/>
  <c r="AH62" i="34" s="1"/>
  <c r="J42" i="34"/>
  <c r="AH16" i="34"/>
  <c r="J71" i="34"/>
  <c r="AK50" i="34"/>
  <c r="K6" i="34"/>
  <c r="L35" i="34"/>
  <c r="AH7" i="34"/>
  <c r="AH13" i="34"/>
  <c r="AH27" i="34"/>
  <c r="AH202" i="34"/>
  <c r="K200" i="34"/>
  <c r="K207" i="34"/>
  <c r="AH173" i="34"/>
  <c r="AH193" i="34"/>
  <c r="AH197" i="34"/>
  <c r="AH187" i="34"/>
  <c r="K154" i="34"/>
  <c r="K167" i="34"/>
  <c r="AH160" i="34"/>
  <c r="L148" i="34"/>
  <c r="X148" i="34" s="1"/>
  <c r="K121" i="34"/>
  <c r="K57" i="34"/>
  <c r="AH203" i="34"/>
  <c r="AH105" i="34"/>
  <c r="AH100" i="34"/>
  <c r="K87" i="34"/>
  <c r="K130" i="34"/>
  <c r="L130" i="34" s="1"/>
  <c r="K52" i="34"/>
  <c r="AH40" i="34"/>
  <c r="AH132" i="34"/>
  <c r="AH115" i="34"/>
  <c r="K97" i="34"/>
  <c r="AH92" i="34"/>
  <c r="AH84" i="34"/>
  <c r="AH164" i="34"/>
  <c r="K74" i="34"/>
  <c r="L74" i="34" s="1"/>
  <c r="K47" i="34"/>
  <c r="L47" i="34" s="1"/>
  <c r="R27" i="34"/>
  <c r="X9" i="34"/>
  <c r="L15" i="34"/>
  <c r="X15" i="34" s="1"/>
  <c r="X21" i="34"/>
  <c r="L212" i="34"/>
  <c r="L207" i="34"/>
  <c r="X197" i="34"/>
  <c r="J198" i="34"/>
  <c r="AK204" i="34"/>
  <c r="AK188" i="34"/>
  <c r="J185" i="34"/>
  <c r="AK209" i="34"/>
  <c r="J180" i="34"/>
  <c r="K180" i="34" s="1"/>
  <c r="AK189" i="34"/>
  <c r="AK163" i="34"/>
  <c r="J179" i="34"/>
  <c r="K179" i="34" s="1"/>
  <c r="L179" i="34" s="1"/>
  <c r="AK153" i="34"/>
  <c r="AK143" i="34"/>
  <c r="AK135" i="34"/>
  <c r="AK125" i="34"/>
  <c r="J175" i="34"/>
  <c r="J149" i="34"/>
  <c r="K149" i="34" s="1"/>
  <c r="J138" i="34"/>
  <c r="K152" i="34"/>
  <c r="AH147" i="34"/>
  <c r="K142" i="34"/>
  <c r="J125" i="34"/>
  <c r="AH125" i="34" s="1"/>
  <c r="J53" i="34"/>
  <c r="AH53" i="34" s="1"/>
  <c r="AK35" i="34"/>
  <c r="AK17" i="34"/>
  <c r="J111" i="34"/>
  <c r="J99" i="34"/>
  <c r="AH99" i="34" s="1"/>
  <c r="J169" i="34"/>
  <c r="K169" i="34" s="1"/>
  <c r="AK113" i="34"/>
  <c r="AK104" i="34"/>
  <c r="AK96" i="34"/>
  <c r="AK85" i="34"/>
  <c r="AK76" i="34"/>
  <c r="J64" i="34"/>
  <c r="K64" i="34" s="1"/>
  <c r="L64" i="34" s="1"/>
  <c r="J44" i="34"/>
  <c r="AH44" i="34" s="1"/>
  <c r="J32" i="34"/>
  <c r="J22" i="34"/>
  <c r="J12" i="34"/>
  <c r="AH12" i="34" s="1"/>
  <c r="AK28" i="34"/>
  <c r="AK13" i="34"/>
  <c r="J128" i="34"/>
  <c r="AH128" i="34" s="1"/>
  <c r="J106" i="34"/>
  <c r="J86" i="34"/>
  <c r="J127" i="34"/>
  <c r="J54" i="34"/>
  <c r="AH54" i="34" s="1"/>
  <c r="K30" i="34"/>
  <c r="K12" i="34"/>
  <c r="J67" i="34"/>
  <c r="AH67" i="34" s="1"/>
  <c r="J75" i="34"/>
  <c r="K75" i="34" s="1"/>
  <c r="L6" i="34"/>
  <c r="L12" i="34"/>
  <c r="X12" i="34" s="1"/>
  <c r="AH35" i="34"/>
  <c r="K23" i="34"/>
  <c r="K7" i="34"/>
  <c r="AK4" i="34"/>
  <c r="K198" i="34"/>
  <c r="AH212" i="34"/>
  <c r="AH196" i="34"/>
  <c r="AH207" i="34"/>
  <c r="K181" i="34"/>
  <c r="K209" i="34"/>
  <c r="L209" i="34" s="1"/>
  <c r="K155" i="34"/>
  <c r="AH179" i="34"/>
  <c r="AH189" i="34"/>
  <c r="AH167" i="34"/>
  <c r="K133" i="34"/>
  <c r="L133" i="34" s="1"/>
  <c r="K69" i="34"/>
  <c r="AH57" i="34"/>
  <c r="K41" i="34"/>
  <c r="AH116" i="34"/>
  <c r="K105" i="34"/>
  <c r="K99" i="34"/>
  <c r="AH89" i="34"/>
  <c r="K171" i="34"/>
  <c r="L171" i="34" s="1"/>
  <c r="K126" i="34"/>
  <c r="AH64" i="34"/>
  <c r="K48" i="34"/>
  <c r="L48" i="34" s="1"/>
  <c r="K170" i="34"/>
  <c r="L170" i="34" s="1"/>
  <c r="K128" i="34"/>
  <c r="K114" i="34"/>
  <c r="L114" i="34" s="1"/>
  <c r="AH95" i="34"/>
  <c r="AH91" i="34"/>
  <c r="K84" i="34"/>
  <c r="K66" i="34"/>
  <c r="AH70" i="34"/>
  <c r="AH123" i="34"/>
  <c r="K42" i="34"/>
  <c r="R12" i="34"/>
  <c r="AB12" i="34" s="1"/>
  <c r="AC12" i="34" s="1"/>
  <c r="AH79" i="34"/>
  <c r="AH50" i="34"/>
  <c r="AH51" i="34"/>
  <c r="K83" i="34"/>
  <c r="AH43" i="34"/>
  <c r="R28" i="34"/>
  <c r="R15" i="34"/>
  <c r="R21" i="34"/>
  <c r="L194" i="34"/>
  <c r="R194" i="34" s="1"/>
  <c r="R208" i="34"/>
  <c r="L196" i="34"/>
  <c r="L191" i="34"/>
  <c r="X209" i="34"/>
  <c r="X172" i="34"/>
  <c r="L158" i="34"/>
  <c r="L157" i="34"/>
  <c r="R141" i="34"/>
  <c r="L57" i="34"/>
  <c r="R57" i="34" s="1"/>
  <c r="L109" i="34"/>
  <c r="X109" i="34" s="1"/>
  <c r="L96" i="34"/>
  <c r="X96" i="34" s="1"/>
  <c r="X171" i="34"/>
  <c r="X68" i="34"/>
  <c r="X56" i="34"/>
  <c r="X48" i="34"/>
  <c r="L174" i="34"/>
  <c r="R174" i="34" s="1"/>
  <c r="L128" i="34"/>
  <c r="X128" i="34" s="1"/>
  <c r="L93" i="34"/>
  <c r="X93" i="34" s="1"/>
  <c r="L84" i="34"/>
  <c r="L70" i="34"/>
  <c r="X70" i="34" s="1"/>
  <c r="AB9" i="34"/>
  <c r="R43" i="34"/>
  <c r="AB15" i="34"/>
  <c r="R212" i="34"/>
  <c r="R199" i="34"/>
  <c r="X178" i="34"/>
  <c r="X160" i="34"/>
  <c r="AB160" i="34" s="1"/>
  <c r="AC160" i="34" s="1"/>
  <c r="R133" i="34"/>
  <c r="X112" i="34"/>
  <c r="R109" i="34"/>
  <c r="AB109" i="34" s="1"/>
  <c r="X100" i="34"/>
  <c r="R96" i="34"/>
  <c r="AB96" i="34" s="1"/>
  <c r="X130" i="34"/>
  <c r="AD12" i="34"/>
  <c r="AC15" i="34"/>
  <c r="AK194" i="34"/>
  <c r="AK207" i="34"/>
  <c r="AK201" i="34"/>
  <c r="J186" i="34"/>
  <c r="AK162" i="34"/>
  <c r="AK142" i="34"/>
  <c r="AK122" i="34"/>
  <c r="J146" i="34"/>
  <c r="K151" i="34"/>
  <c r="L151" i="34" s="1"/>
  <c r="AH141" i="34"/>
  <c r="AK65" i="34"/>
  <c r="AK34" i="34"/>
  <c r="J110" i="34"/>
  <c r="J122" i="34"/>
  <c r="AK102" i="34"/>
  <c r="AK82" i="34"/>
  <c r="J60" i="34"/>
  <c r="AH60" i="34" s="1"/>
  <c r="J29" i="34"/>
  <c r="J10" i="34"/>
  <c r="AH10" i="34" s="1"/>
  <c r="AK5" i="34"/>
  <c r="J103" i="34"/>
  <c r="AH103" i="34" s="1"/>
  <c r="J82" i="34"/>
  <c r="AH82" i="34" s="1"/>
  <c r="AK63" i="34"/>
  <c r="AH34" i="34"/>
  <c r="AK51" i="34"/>
  <c r="K25" i="34"/>
  <c r="K34" i="34"/>
  <c r="AH25" i="34"/>
  <c r="AH198" i="34"/>
  <c r="K192" i="34"/>
  <c r="K184" i="34"/>
  <c r="AH178" i="34"/>
  <c r="AH157" i="34"/>
  <c r="AH129" i="34"/>
  <c r="K53" i="34"/>
  <c r="K116" i="34"/>
  <c r="AH101" i="34"/>
  <c r="K89" i="34"/>
  <c r="K122" i="34"/>
  <c r="K44" i="34"/>
  <c r="K124" i="34"/>
  <c r="AH113" i="34"/>
  <c r="K82" i="34"/>
  <c r="AH42" i="34"/>
  <c r="K85" i="34"/>
  <c r="L85" i="34" s="1"/>
  <c r="AH75" i="34"/>
  <c r="L11" i="34"/>
  <c r="X11" i="34" s="1"/>
  <c r="X28" i="34"/>
  <c r="L204" i="34"/>
  <c r="L181" i="34"/>
  <c r="R181" i="34" s="1"/>
  <c r="L180" i="34"/>
  <c r="L53" i="34"/>
  <c r="R53" i="34" s="1"/>
  <c r="L99" i="34"/>
  <c r="X99" i="34" s="1"/>
  <c r="L169" i="34"/>
  <c r="X169" i="34" s="1"/>
  <c r="R48" i="34"/>
  <c r="X170" i="34"/>
  <c r="L107" i="34"/>
  <c r="R107" i="34" s="1"/>
  <c r="L92" i="34"/>
  <c r="R92" i="34" s="1"/>
  <c r="L42" i="34"/>
  <c r="R42" i="34" s="1"/>
  <c r="X47" i="34"/>
  <c r="X210" i="34"/>
  <c r="X212" i="34"/>
  <c r="X211" i="34"/>
  <c r="AB211" i="34" s="1"/>
  <c r="R191" i="34"/>
  <c r="R61" i="34"/>
  <c r="R100" i="34"/>
  <c r="AB100" i="34" s="1"/>
  <c r="AC100" i="34" s="1"/>
  <c r="R130" i="34"/>
  <c r="X174" i="34"/>
  <c r="R128" i="34"/>
  <c r="AB128" i="34" s="1"/>
  <c r="AC128" i="34" s="1"/>
  <c r="X114" i="34"/>
  <c r="X84" i="34"/>
  <c r="R70" i="34"/>
  <c r="AB70" i="34" s="1"/>
  <c r="X123" i="34"/>
  <c r="X42" i="34"/>
  <c r="AC14" i="34"/>
  <c r="AD14" i="34" s="1"/>
  <c r="AB212" i="34"/>
  <c r="AG12" i="34"/>
  <c r="AC70" i="34"/>
  <c r="J190" i="34"/>
  <c r="AH190" i="34" s="1"/>
  <c r="AK199" i="34"/>
  <c r="J188" i="34"/>
  <c r="AK178" i="34"/>
  <c r="J162" i="34"/>
  <c r="AK138" i="34"/>
  <c r="AK121" i="34"/>
  <c r="J144" i="34"/>
  <c r="AH149" i="34"/>
  <c r="K140" i="34"/>
  <c r="J65" i="34"/>
  <c r="AK27" i="34"/>
  <c r="J108" i="34"/>
  <c r="K108" i="34" s="1"/>
  <c r="AK118" i="34"/>
  <c r="AK98" i="34"/>
  <c r="AK81" i="34"/>
  <c r="AK52" i="34"/>
  <c r="J26" i="34"/>
  <c r="J8" i="34"/>
  <c r="AK175" i="34"/>
  <c r="J94" i="34"/>
  <c r="J78" i="34"/>
  <c r="K78" i="34" s="1"/>
  <c r="J55" i="34"/>
  <c r="J131" i="34"/>
  <c r="AH28" i="34"/>
  <c r="K36" i="34"/>
  <c r="L20" i="34"/>
  <c r="AH30" i="34"/>
  <c r="K190" i="34"/>
  <c r="AH192" i="34"/>
  <c r="K173" i="34"/>
  <c r="AH180" i="34"/>
  <c r="K163" i="34"/>
  <c r="AH158" i="34"/>
  <c r="L142" i="34"/>
  <c r="K125" i="34"/>
  <c r="AH112" i="34"/>
  <c r="K101" i="34"/>
  <c r="AH87" i="34"/>
  <c r="AH122" i="34"/>
  <c r="K40" i="34"/>
  <c r="K120" i="34"/>
  <c r="AH107" i="34"/>
  <c r="AH93" i="34"/>
  <c r="K76" i="34"/>
  <c r="L76" i="34" s="1"/>
  <c r="AH78" i="34"/>
  <c r="L30" i="34"/>
  <c r="K161" i="34"/>
  <c r="K59" i="34"/>
  <c r="R11" i="34"/>
  <c r="L23" i="34"/>
  <c r="L202" i="34"/>
  <c r="L200" i="34"/>
  <c r="L155" i="34"/>
  <c r="X158" i="34"/>
  <c r="L167" i="34"/>
  <c r="R148" i="34"/>
  <c r="R143" i="34"/>
  <c r="L125" i="34"/>
  <c r="L89" i="34"/>
  <c r="X89" i="34" s="1"/>
  <c r="L126" i="34"/>
  <c r="R126" i="34" s="1"/>
  <c r="L44" i="34"/>
  <c r="R170" i="34"/>
  <c r="L102" i="34"/>
  <c r="X102" i="34" s="1"/>
  <c r="L91" i="34"/>
  <c r="L66" i="34"/>
  <c r="L81" i="34"/>
  <c r="X81" i="34" s="1"/>
  <c r="L51" i="34"/>
  <c r="X51" i="34" s="1"/>
  <c r="L83" i="34"/>
  <c r="X83" i="34" s="1"/>
  <c r="R47" i="34"/>
  <c r="AB28" i="34"/>
  <c r="R210" i="34"/>
  <c r="AB210" i="34" s="1"/>
  <c r="X207" i="34"/>
  <c r="X213" i="34"/>
  <c r="AB213" i="34" s="1"/>
  <c r="AC213" i="34" s="1"/>
  <c r="R178" i="34"/>
  <c r="AB178" i="34" s="1"/>
  <c r="X195" i="34"/>
  <c r="AB148" i="34"/>
  <c r="AC148" i="34" s="1"/>
  <c r="X61" i="34"/>
  <c r="R99" i="34"/>
  <c r="X126" i="34"/>
  <c r="AB170" i="34"/>
  <c r="AC170" i="34" s="1"/>
  <c r="R102" i="34"/>
  <c r="R76" i="34"/>
  <c r="R81" i="34"/>
  <c r="AC9" i="34"/>
  <c r="AD9" i="34" s="1"/>
  <c r="AB199" i="34"/>
  <c r="AB42" i="34"/>
  <c r="AG14" i="34"/>
  <c r="AG9" i="34"/>
  <c r="AK200" i="34"/>
  <c r="J176" i="34"/>
  <c r="AK151" i="34"/>
  <c r="AK174" i="34"/>
  <c r="AH145" i="34"/>
  <c r="J49" i="34"/>
  <c r="J90" i="34"/>
  <c r="AK92" i="34"/>
  <c r="J38" i="34"/>
  <c r="AK26" i="34"/>
  <c r="J80" i="34"/>
  <c r="K13" i="34"/>
  <c r="AH210" i="34"/>
  <c r="AH199" i="34"/>
  <c r="K168" i="34"/>
  <c r="K182" i="34"/>
  <c r="AH98" i="34"/>
  <c r="K60" i="34"/>
  <c r="AH117" i="34"/>
  <c r="AH86" i="34"/>
  <c r="K62" i="34"/>
  <c r="R20" i="34"/>
  <c r="K39" i="34"/>
  <c r="X194" i="34"/>
  <c r="L201" i="34"/>
  <c r="X179" i="34"/>
  <c r="X167" i="34"/>
  <c r="X147" i="34"/>
  <c r="AB147" i="34" s="1"/>
  <c r="AC147" i="34" s="1"/>
  <c r="L52" i="34"/>
  <c r="L97" i="34"/>
  <c r="L73" i="34"/>
  <c r="R73" i="34" s="1"/>
  <c r="R51" i="34"/>
  <c r="AB51" i="34" s="1"/>
  <c r="L59" i="34"/>
  <c r="X59" i="34" s="1"/>
  <c r="R207" i="34"/>
  <c r="X133" i="34"/>
  <c r="AB133" i="34" s="1"/>
  <c r="X57" i="34"/>
  <c r="AB57" i="34" s="1"/>
  <c r="AC57" i="34" s="1"/>
  <c r="R89" i="34"/>
  <c r="R132" i="34"/>
  <c r="R97" i="34"/>
  <c r="X73" i="34"/>
  <c r="AB73" i="34" s="1"/>
  <c r="R85" i="34"/>
  <c r="AB47" i="34"/>
  <c r="AD15" i="34"/>
  <c r="AB174" i="34"/>
  <c r="AG15" i="34"/>
  <c r="AC211" i="34"/>
  <c r="AK211" i="34"/>
  <c r="AK177" i="34"/>
  <c r="AK131" i="34"/>
  <c r="J137" i="34"/>
  <c r="AH137" i="34" s="1"/>
  <c r="K137" i="34"/>
  <c r="AK10" i="34"/>
  <c r="AK112" i="34"/>
  <c r="AK74" i="34"/>
  <c r="J18" i="34"/>
  <c r="J119" i="34"/>
  <c r="J46" i="34"/>
  <c r="K19" i="34"/>
  <c r="AH19" i="34"/>
  <c r="AH209" i="34"/>
  <c r="L150" i="34"/>
  <c r="AH109" i="34"/>
  <c r="AH170" i="34"/>
  <c r="K58" i="34"/>
  <c r="K79" i="34"/>
  <c r="L192" i="34"/>
  <c r="X143" i="34"/>
  <c r="L104" i="34"/>
  <c r="L40" i="34"/>
  <c r="L135" i="34"/>
  <c r="X181" i="34"/>
  <c r="R195" i="34"/>
  <c r="AB195" i="34" s="1"/>
  <c r="AC195" i="34" s="1"/>
  <c r="R98" i="34"/>
  <c r="AB48" i="34"/>
  <c r="AC48" i="34" s="1"/>
  <c r="X107" i="34"/>
  <c r="X76" i="34"/>
  <c r="AB76" i="34" s="1"/>
  <c r="AC76" i="34" s="1"/>
  <c r="AB181" i="34"/>
  <c r="AC181" i="34" s="1"/>
  <c r="AB99" i="34"/>
  <c r="AC99" i="34"/>
  <c r="J177" i="34"/>
  <c r="AK130" i="34"/>
  <c r="J156" i="34"/>
  <c r="AH156" i="34" s="1"/>
  <c r="AK109" i="34"/>
  <c r="J17" i="34"/>
  <c r="J118" i="34"/>
  <c r="J63" i="34"/>
  <c r="AH11" i="34"/>
  <c r="AH201" i="34"/>
  <c r="L149" i="34"/>
  <c r="AH108" i="34"/>
  <c r="K136" i="34"/>
  <c r="K164" i="34"/>
  <c r="K67" i="34"/>
  <c r="R192" i="34"/>
  <c r="L189" i="34"/>
  <c r="X141" i="34"/>
  <c r="AB141" i="34" s="1"/>
  <c r="AC141" i="34" s="1"/>
  <c r="L101" i="34"/>
  <c r="X101" i="34" s="1"/>
  <c r="X40" i="34"/>
  <c r="AB21" i="34"/>
  <c r="X98" i="34"/>
  <c r="R123" i="34"/>
  <c r="R83" i="34"/>
  <c r="AC28" i="34"/>
  <c r="AD28" i="34" s="1"/>
  <c r="AG28" i="34" s="1"/>
  <c r="AC133" i="34"/>
  <c r="AC96" i="34"/>
  <c r="AC73" i="34"/>
  <c r="AK192" i="34"/>
  <c r="AK168" i="34"/>
  <c r="AK149" i="34"/>
  <c r="J153" i="34"/>
  <c r="K145" i="34"/>
  <c r="J45" i="34"/>
  <c r="J88" i="34"/>
  <c r="AK90" i="34"/>
  <c r="J37" i="34"/>
  <c r="AH37" i="34" s="1"/>
  <c r="AK19" i="34"/>
  <c r="J72" i="34"/>
  <c r="AH20" i="34"/>
  <c r="K10" i="34"/>
  <c r="L10" i="34" s="1"/>
  <c r="AH9" i="34"/>
  <c r="K206" i="34"/>
  <c r="AH191" i="34"/>
  <c r="AH168" i="34"/>
  <c r="AH182" i="34"/>
  <c r="K156" i="34"/>
  <c r="K203" i="34"/>
  <c r="AH96" i="34"/>
  <c r="AH56" i="34"/>
  <c r="K117" i="34"/>
  <c r="K86" i="34"/>
  <c r="K54" i="34"/>
  <c r="X20" i="34"/>
  <c r="AB20" i="34" s="1"/>
  <c r="AH39" i="34"/>
  <c r="X27" i="34"/>
  <c r="AB27" i="34" s="1"/>
  <c r="L31" i="34"/>
  <c r="L190" i="34"/>
  <c r="X193" i="34"/>
  <c r="R179" i="34"/>
  <c r="L183" i="34"/>
  <c r="L165" i="34"/>
  <c r="R171" i="34"/>
  <c r="X52" i="34"/>
  <c r="L124" i="34"/>
  <c r="L95" i="34"/>
  <c r="L82" i="34"/>
  <c r="L79" i="34"/>
  <c r="R59" i="34"/>
  <c r="X43" i="34"/>
  <c r="AB43" i="34" s="1"/>
  <c r="AC43" i="34" s="1"/>
  <c r="AB194" i="34"/>
  <c r="AC194" i="34" s="1"/>
  <c r="X191" i="34"/>
  <c r="X53" i="34"/>
  <c r="AB53" i="34" s="1"/>
  <c r="R112" i="34"/>
  <c r="R101" i="34"/>
  <c r="X132" i="34"/>
  <c r="R114" i="34"/>
  <c r="X97" i="34"/>
  <c r="R84" i="34"/>
  <c r="X85" i="34"/>
  <c r="AC27" i="34"/>
  <c r="AD27" i="34" s="1"/>
  <c r="AG27" i="34" s="1"/>
  <c r="AB61" i="34"/>
  <c r="AC61" i="34" s="1"/>
  <c r="AB102" i="34"/>
  <c r="AC102" i="34" s="1"/>
  <c r="AB81" i="34"/>
  <c r="AC210" i="34"/>
  <c r="AD195" i="34"/>
  <c r="AD160" i="34"/>
  <c r="AG160" i="34" s="1"/>
  <c r="AC53" i="34"/>
  <c r="AC109" i="34"/>
  <c r="AG195" i="34"/>
  <c r="J159" i="34"/>
  <c r="J77" i="34"/>
  <c r="AH208" i="34"/>
  <c r="AH155" i="34"/>
  <c r="K65" i="34"/>
  <c r="AH169" i="34"/>
  <c r="K103" i="34"/>
  <c r="AH81" i="34"/>
  <c r="X10" i="34"/>
  <c r="L7" i="34"/>
  <c r="R7" i="34" s="1"/>
  <c r="L168" i="34"/>
  <c r="R168" i="34" s="1"/>
  <c r="R151" i="34"/>
  <c r="L121" i="34"/>
  <c r="L122" i="34"/>
  <c r="L115" i="34"/>
  <c r="L54" i="34"/>
  <c r="L50" i="34"/>
  <c r="AB172" i="34"/>
  <c r="AC172" i="34" s="1"/>
  <c r="R169" i="34"/>
  <c r="R93" i="34"/>
  <c r="R74" i="34"/>
  <c r="AC81" i="34"/>
  <c r="AK206" i="34"/>
  <c r="AK203" i="34"/>
  <c r="J166" i="34"/>
  <c r="J205" i="34"/>
  <c r="AK70" i="34"/>
  <c r="K37" i="34"/>
  <c r="AH15" i="34"/>
  <c r="AH204" i="34"/>
  <c r="K187" i="34"/>
  <c r="AH65" i="34"/>
  <c r="K134" i="34"/>
  <c r="AH97" i="34"/>
  <c r="AH73" i="34"/>
  <c r="R10" i="34"/>
  <c r="X7" i="34"/>
  <c r="X168" i="34"/>
  <c r="X151" i="34"/>
  <c r="L69" i="34"/>
  <c r="R69" i="34" s="1"/>
  <c r="X64" i="34"/>
  <c r="L113" i="34"/>
  <c r="AB11" i="34"/>
  <c r="X69" i="34"/>
  <c r="X92" i="34"/>
  <c r="AB92" i="34" s="1"/>
  <c r="AC92" i="34" s="1"/>
  <c r="X74" i="34"/>
  <c r="AB98" i="34"/>
  <c r="AC98" i="34" s="1"/>
  <c r="AC212" i="34"/>
  <c r="G30" i="36"/>
  <c r="H30" i="36" s="1"/>
  <c r="G10" i="36"/>
  <c r="H10" i="36" s="1"/>
  <c r="G13" i="36"/>
  <c r="H13" i="36" s="1"/>
  <c r="G20" i="36"/>
  <c r="H20" i="36" s="1"/>
  <c r="G23" i="36"/>
  <c r="H23" i="36" s="1"/>
  <c r="G25" i="36"/>
  <c r="H25" i="36" s="1"/>
  <c r="G15" i="36"/>
  <c r="H15" i="36" s="1"/>
  <c r="G14" i="36"/>
  <c r="H14" i="36" s="1"/>
  <c r="G17" i="36"/>
  <c r="H17" i="36" s="1"/>
  <c r="G27" i="36"/>
  <c r="H27" i="36" s="1"/>
  <c r="G22" i="36"/>
  <c r="H22" i="36" s="1"/>
  <c r="G29" i="36"/>
  <c r="H29" i="36" s="1"/>
  <c r="G9" i="36"/>
  <c r="H9" i="36" s="1"/>
  <c r="G12" i="36"/>
  <c r="H12" i="36" s="1"/>
  <c r="G19" i="36"/>
  <c r="H19" i="36" s="1"/>
  <c r="G18" i="36"/>
  <c r="H18" i="36" s="1"/>
  <c r="G28" i="36"/>
  <c r="H28" i="36" s="1"/>
  <c r="G8" i="36"/>
  <c r="H8" i="36" s="1"/>
  <c r="S7" i="36"/>
  <c r="G24" i="36"/>
  <c r="H24" i="36" s="1"/>
  <c r="G7" i="36"/>
  <c r="H7" i="36" s="1"/>
  <c r="L139" i="34"/>
  <c r="L129" i="34"/>
  <c r="AH33" i="34"/>
  <c r="K33" i="34"/>
  <c r="AH24" i="34"/>
  <c r="K24" i="34"/>
  <c r="L16" i="34"/>
  <c r="X16" i="34" s="1"/>
  <c r="R16" i="34"/>
  <c r="K5" i="34"/>
  <c r="AH5" i="34"/>
  <c r="K71" i="34"/>
  <c r="AH71" i="34"/>
  <c r="X35" i="34"/>
  <c r="R35" i="34"/>
  <c r="L154" i="34"/>
  <c r="L87" i="34"/>
  <c r="AH185" i="34"/>
  <c r="K185" i="34"/>
  <c r="AH175" i="34"/>
  <c r="K175" i="34"/>
  <c r="K138" i="34"/>
  <c r="AH138" i="34"/>
  <c r="L152" i="34"/>
  <c r="R152" i="34" s="1"/>
  <c r="X152" i="34"/>
  <c r="R142" i="34"/>
  <c r="X142" i="34"/>
  <c r="K111" i="34"/>
  <c r="AH111" i="34"/>
  <c r="AH32" i="34"/>
  <c r="K32" i="34"/>
  <c r="K22" i="34"/>
  <c r="AH22" i="34"/>
  <c r="AH106" i="34"/>
  <c r="K106" i="34"/>
  <c r="K127" i="34"/>
  <c r="AH127" i="34"/>
  <c r="L75" i="34"/>
  <c r="X6" i="34"/>
  <c r="R6" i="34"/>
  <c r="X23" i="34"/>
  <c r="R23" i="34"/>
  <c r="L198" i="34"/>
  <c r="L41" i="34"/>
  <c r="L105" i="34"/>
  <c r="R196" i="34"/>
  <c r="X196" i="34"/>
  <c r="R157" i="34"/>
  <c r="X157" i="34"/>
  <c r="AH186" i="34"/>
  <c r="K186" i="34"/>
  <c r="K146" i="34"/>
  <c r="AH146" i="34"/>
  <c r="AH110" i="34"/>
  <c r="K110" i="34"/>
  <c r="K29" i="34"/>
  <c r="AH29" i="34"/>
  <c r="L25" i="34"/>
  <c r="R25" i="34" s="1"/>
  <c r="X25" i="34"/>
  <c r="L34" i="34"/>
  <c r="X34" i="34" s="1"/>
  <c r="R34" i="34"/>
  <c r="L184" i="34"/>
  <c r="X184" i="34"/>
  <c r="L116" i="34"/>
  <c r="X204" i="34"/>
  <c r="R204" i="34"/>
  <c r="X180" i="34"/>
  <c r="AB107" i="34"/>
  <c r="AC107" i="34" s="1"/>
  <c r="AB191" i="34"/>
  <c r="AB130" i="34"/>
  <c r="AC130" i="34" s="1"/>
  <c r="AH188" i="34"/>
  <c r="K188" i="34"/>
  <c r="AH162" i="34"/>
  <c r="K162" i="34"/>
  <c r="K144" i="34"/>
  <c r="AH144" i="34"/>
  <c r="L140" i="34"/>
  <c r="R140" i="34" s="1"/>
  <c r="X140" i="34"/>
  <c r="L108" i="34"/>
  <c r="AH26" i="34"/>
  <c r="K26" i="34"/>
  <c r="AH8" i="34"/>
  <c r="K8" i="34"/>
  <c r="K94" i="34"/>
  <c r="AH94" i="34"/>
  <c r="L78" i="34"/>
  <c r="R78" i="34"/>
  <c r="X78" i="34"/>
  <c r="K55" i="34"/>
  <c r="AH55" i="34"/>
  <c r="AH131" i="34"/>
  <c r="K131" i="34"/>
  <c r="L36" i="34"/>
  <c r="X36" i="34" s="1"/>
  <c r="R36" i="34"/>
  <c r="L173" i="34"/>
  <c r="L163" i="34"/>
  <c r="R163" i="34" s="1"/>
  <c r="X163" i="34"/>
  <c r="R125" i="34"/>
  <c r="X125" i="34"/>
  <c r="L120" i="34"/>
  <c r="R120" i="34" s="1"/>
  <c r="X120" i="34"/>
  <c r="X30" i="34"/>
  <c r="R30" i="34"/>
  <c r="L161" i="34"/>
  <c r="X161" i="34" s="1"/>
  <c r="R161" i="34"/>
  <c r="R202" i="34"/>
  <c r="R200" i="34"/>
  <c r="R155" i="34"/>
  <c r="X155" i="34"/>
  <c r="AB143" i="34"/>
  <c r="AC143" i="34" s="1"/>
  <c r="AB126" i="34"/>
  <c r="AC126" i="34" s="1"/>
  <c r="X44" i="34"/>
  <c r="R91" i="34"/>
  <c r="X91" i="34"/>
  <c r="X66" i="34"/>
  <c r="R66" i="34"/>
  <c r="AC178" i="34"/>
  <c r="AD178" i="34" s="1"/>
  <c r="AG178" i="34" s="1"/>
  <c r="AC199" i="34"/>
  <c r="AD199" i="34" s="1"/>
  <c r="AG199" i="34" s="1"/>
  <c r="AC42" i="34"/>
  <c r="AD42" i="34" s="1"/>
  <c r="AG42" i="34" s="1"/>
  <c r="AH176" i="34"/>
  <c r="K176" i="34"/>
  <c r="AH49" i="34"/>
  <c r="K49" i="34"/>
  <c r="AH90" i="34"/>
  <c r="K90" i="34"/>
  <c r="K38" i="34"/>
  <c r="AH80" i="34"/>
  <c r="K80" i="34"/>
  <c r="L13" i="34"/>
  <c r="R13" i="34" s="1"/>
  <c r="X13" i="34"/>
  <c r="L182" i="34"/>
  <c r="L60" i="34"/>
  <c r="L62" i="34"/>
  <c r="X62" i="34" s="1"/>
  <c r="R62" i="34"/>
  <c r="L39" i="34"/>
  <c r="X201" i="34"/>
  <c r="AC51" i="34"/>
  <c r="AD51" i="34"/>
  <c r="AG51" i="34" s="1"/>
  <c r="AB207" i="34"/>
  <c r="AB89" i="34"/>
  <c r="AC89" i="34" s="1"/>
  <c r="AB132" i="34"/>
  <c r="AC132" i="34" s="1"/>
  <c r="AB97" i="34"/>
  <c r="AC97" i="34" s="1"/>
  <c r="AB85" i="34"/>
  <c r="AC85" i="34" s="1"/>
  <c r="AC47" i="34"/>
  <c r="AD47" i="34"/>
  <c r="AG47" i="34" s="1"/>
  <c r="AC174" i="34"/>
  <c r="AD174" i="34"/>
  <c r="AG174" i="34" s="1"/>
  <c r="L137" i="34"/>
  <c r="R137" i="34" s="1"/>
  <c r="X137" i="34"/>
  <c r="K18" i="34"/>
  <c r="AH18" i="34"/>
  <c r="K119" i="34"/>
  <c r="AH119" i="34"/>
  <c r="AH46" i="34"/>
  <c r="K46" i="34"/>
  <c r="L19" i="34"/>
  <c r="X19" i="34"/>
  <c r="R19" i="34"/>
  <c r="R150" i="34"/>
  <c r="X150" i="34"/>
  <c r="L58" i="34"/>
  <c r="R58" i="34" s="1"/>
  <c r="X58" i="34"/>
  <c r="X104" i="34"/>
  <c r="R104" i="34"/>
  <c r="R135" i="34"/>
  <c r="X135" i="34"/>
  <c r="AH177" i="34"/>
  <c r="K177" i="34"/>
  <c r="AH17" i="34"/>
  <c r="K17" i="34"/>
  <c r="AH118" i="34"/>
  <c r="K118" i="34"/>
  <c r="K63" i="34"/>
  <c r="AH63" i="34"/>
  <c r="R149" i="34"/>
  <c r="X149" i="34"/>
  <c r="L136" i="34"/>
  <c r="R136" i="34"/>
  <c r="X136" i="34"/>
  <c r="L164" i="34"/>
  <c r="L67" i="34"/>
  <c r="X189" i="34"/>
  <c r="AC21" i="34"/>
  <c r="AD21" i="34"/>
  <c r="AG21" i="34" s="1"/>
  <c r="AB123" i="34"/>
  <c r="AC123" i="34" s="1"/>
  <c r="AB83" i="34"/>
  <c r="AC83" i="34" s="1"/>
  <c r="K153" i="34"/>
  <c r="AH153" i="34"/>
  <c r="L145" i="34"/>
  <c r="R145" i="34" s="1"/>
  <c r="X145" i="34"/>
  <c r="K45" i="34"/>
  <c r="AH45" i="34"/>
  <c r="AH88" i="34"/>
  <c r="K88" i="34"/>
  <c r="AH72" i="34"/>
  <c r="K72" i="34"/>
  <c r="L206" i="34"/>
  <c r="L156" i="34"/>
  <c r="X156" i="34" s="1"/>
  <c r="R156" i="34"/>
  <c r="L203" i="34"/>
  <c r="X203" i="34" s="1"/>
  <c r="R203" i="34"/>
  <c r="L117" i="34"/>
  <c r="L86" i="34"/>
  <c r="R54" i="34"/>
  <c r="X54" i="34"/>
  <c r="AC20" i="34"/>
  <c r="AD20" i="34" s="1"/>
  <c r="AG20" i="34" s="1"/>
  <c r="X31" i="34"/>
  <c r="R31" i="34"/>
  <c r="R190" i="34"/>
  <c r="AB179" i="34"/>
  <c r="R183" i="34"/>
  <c r="X183" i="34"/>
  <c r="X165" i="34"/>
  <c r="R165" i="34"/>
  <c r="AB171" i="34"/>
  <c r="AC171" i="34" s="1"/>
  <c r="X124" i="34"/>
  <c r="R124" i="34"/>
  <c r="R95" i="34"/>
  <c r="X95" i="34"/>
  <c r="X82" i="34"/>
  <c r="R82" i="34"/>
  <c r="R79" i="34"/>
  <c r="X79" i="34"/>
  <c r="AB59" i="34"/>
  <c r="AB112" i="34"/>
  <c r="AC112" i="34" s="1"/>
  <c r="AB101" i="34"/>
  <c r="AC101" i="34" s="1"/>
  <c r="AB114" i="34"/>
  <c r="AC114" i="34" s="1"/>
  <c r="AB84" i="34"/>
  <c r="AC84" i="34" s="1"/>
  <c r="AH159" i="34"/>
  <c r="K159" i="34"/>
  <c r="K77" i="34"/>
  <c r="AH77" i="34"/>
  <c r="L65" i="34"/>
  <c r="L103" i="34"/>
  <c r="AB7" i="34"/>
  <c r="AB168" i="34"/>
  <c r="AC168" i="34" s="1"/>
  <c r="AB151" i="34"/>
  <c r="AC151" i="34" s="1"/>
  <c r="X121" i="34"/>
  <c r="R121" i="34"/>
  <c r="X122" i="34"/>
  <c r="R122" i="34"/>
  <c r="R115" i="34"/>
  <c r="X115" i="34"/>
  <c r="X50" i="34"/>
  <c r="R50" i="34"/>
  <c r="AB169" i="34"/>
  <c r="AB93" i="34"/>
  <c r="AC93" i="34" s="1"/>
  <c r="AB74" i="34"/>
  <c r="AC74" i="34" s="1"/>
  <c r="AH166" i="34"/>
  <c r="K166" i="34"/>
  <c r="K205" i="34"/>
  <c r="AH205" i="34"/>
  <c r="L37" i="34"/>
  <c r="L187" i="34"/>
  <c r="X187" i="34" s="1"/>
  <c r="R187" i="34"/>
  <c r="L134" i="34"/>
  <c r="AB10" i="34"/>
  <c r="AB69" i="34"/>
  <c r="AC69" i="34" s="1"/>
  <c r="R113" i="34"/>
  <c r="X113" i="34"/>
  <c r="AC11" i="34"/>
  <c r="AD11" i="34" s="1"/>
  <c r="AG11" i="34" s="1"/>
  <c r="R139" i="34"/>
  <c r="X139" i="34"/>
  <c r="R129" i="34"/>
  <c r="X129" i="34"/>
  <c r="L33" i="34"/>
  <c r="L24" i="34"/>
  <c r="X24" i="34"/>
  <c r="R24" i="34"/>
  <c r="AB16" i="34"/>
  <c r="L5" i="34"/>
  <c r="L71" i="34"/>
  <c r="AB35" i="34"/>
  <c r="X154" i="34"/>
  <c r="R154" i="34"/>
  <c r="X87" i="34"/>
  <c r="R87" i="34"/>
  <c r="L185" i="34"/>
  <c r="L175" i="34"/>
  <c r="X175" i="34"/>
  <c r="R175" i="34"/>
  <c r="L138" i="34"/>
  <c r="R138" i="34" s="1"/>
  <c r="X138" i="34"/>
  <c r="AB152" i="34"/>
  <c r="AC152" i="34" s="1"/>
  <c r="AB142" i="34"/>
  <c r="AC142" i="34" s="1"/>
  <c r="L111" i="34"/>
  <c r="R111" i="34" s="1"/>
  <c r="X111" i="34"/>
  <c r="L32" i="34"/>
  <c r="R32" i="34" s="1"/>
  <c r="X32" i="34"/>
  <c r="L22" i="34"/>
  <c r="X22" i="34" s="1"/>
  <c r="R22" i="34"/>
  <c r="L106" i="34"/>
  <c r="R106" i="34" s="1"/>
  <c r="X106" i="34"/>
  <c r="L127" i="34"/>
  <c r="R127" i="34" s="1"/>
  <c r="X127" i="34"/>
  <c r="X75" i="34"/>
  <c r="R75" i="34"/>
  <c r="AB6" i="34"/>
  <c r="AB23" i="34"/>
  <c r="R198" i="34"/>
  <c r="X41" i="34"/>
  <c r="R41" i="34"/>
  <c r="X105" i="34"/>
  <c r="R105" i="34"/>
  <c r="AB196" i="34"/>
  <c r="AC196" i="34" s="1"/>
  <c r="AB157" i="34"/>
  <c r="AC157" i="34" s="1"/>
  <c r="L186" i="34"/>
  <c r="X186" i="34" s="1"/>
  <c r="R186" i="34"/>
  <c r="L146" i="34"/>
  <c r="R146" i="34" s="1"/>
  <c r="X146" i="34"/>
  <c r="L110" i="34"/>
  <c r="L29" i="34"/>
  <c r="X29" i="34"/>
  <c r="R29" i="34"/>
  <c r="AB25" i="34"/>
  <c r="AB34" i="34"/>
  <c r="X116" i="34"/>
  <c r="R116" i="34"/>
  <c r="AB204" i="34"/>
  <c r="AC204" i="34" s="1"/>
  <c r="AC191" i="34"/>
  <c r="AD191" i="34" s="1"/>
  <c r="AG191" i="34" s="1"/>
  <c r="L188" i="34"/>
  <c r="R188" i="34"/>
  <c r="L162" i="34"/>
  <c r="X162" i="34"/>
  <c r="R162" i="34"/>
  <c r="L144" i="34"/>
  <c r="R144" i="34" s="1"/>
  <c r="X144" i="34"/>
  <c r="AB140" i="34"/>
  <c r="AC140" i="34" s="1"/>
  <c r="X108" i="34"/>
  <c r="R108" i="34"/>
  <c r="L26" i="34"/>
  <c r="L8" i="34"/>
  <c r="R8" i="34" s="1"/>
  <c r="X8" i="34"/>
  <c r="L94" i="34"/>
  <c r="AB78" i="34"/>
  <c r="AC78" i="34" s="1"/>
  <c r="L55" i="34"/>
  <c r="R55" i="34" s="1"/>
  <c r="X55" i="34"/>
  <c r="L131" i="34"/>
  <c r="R131" i="34"/>
  <c r="X131" i="34"/>
  <c r="AB36" i="34"/>
  <c r="X173" i="34"/>
  <c r="R173" i="34"/>
  <c r="AB163" i="34"/>
  <c r="AC163" i="34" s="1"/>
  <c r="AB125" i="34"/>
  <c r="AC125" i="34" s="1"/>
  <c r="AB120" i="34"/>
  <c r="AC120" i="34" s="1"/>
  <c r="AB30" i="34"/>
  <c r="AB161" i="34"/>
  <c r="AC161" i="34" s="1"/>
  <c r="AB155" i="34"/>
  <c r="AC155" i="34" s="1"/>
  <c r="AB91" i="34"/>
  <c r="AC91" i="34" s="1"/>
  <c r="AB66" i="34"/>
  <c r="L176" i="34"/>
  <c r="X176" i="34"/>
  <c r="L49" i="34"/>
  <c r="L90" i="34"/>
  <c r="L38" i="34"/>
  <c r="L80" i="34"/>
  <c r="R80" i="34"/>
  <c r="X80" i="34"/>
  <c r="AB13" i="34"/>
  <c r="X182" i="34"/>
  <c r="R182" i="34"/>
  <c r="X60" i="34"/>
  <c r="AB62" i="34"/>
  <c r="R39" i="34"/>
  <c r="X39" i="34"/>
  <c r="AC207" i="34"/>
  <c r="AD207" i="34"/>
  <c r="AG207" i="34" s="1"/>
  <c r="AB137" i="34"/>
  <c r="AC137" i="34" s="1"/>
  <c r="L18" i="34"/>
  <c r="L119" i="34"/>
  <c r="L46" i="34"/>
  <c r="AB19" i="34"/>
  <c r="AB150" i="34"/>
  <c r="AC150" i="34" s="1"/>
  <c r="AB58" i="34"/>
  <c r="AB104" i="34"/>
  <c r="AC104" i="34" s="1"/>
  <c r="AB135" i="34"/>
  <c r="AC135" i="34" s="1"/>
  <c r="L177" i="34"/>
  <c r="X177" i="34" s="1"/>
  <c r="R177" i="34"/>
  <c r="L17" i="34"/>
  <c r="L118" i="34"/>
  <c r="R118" i="34"/>
  <c r="X118" i="34"/>
  <c r="L63" i="34"/>
  <c r="X63" i="34"/>
  <c r="R63" i="34"/>
  <c r="AB149" i="34"/>
  <c r="AC149" i="34" s="1"/>
  <c r="AB136" i="34"/>
  <c r="AC136" i="34" s="1"/>
  <c r="X164" i="34"/>
  <c r="R164" i="34"/>
  <c r="X67" i="34"/>
  <c r="R67" i="34"/>
  <c r="L153" i="34"/>
  <c r="R153" i="34" s="1"/>
  <c r="X153" i="34"/>
  <c r="AB145" i="34"/>
  <c r="AC145" i="34" s="1"/>
  <c r="L45" i="34"/>
  <c r="R45" i="34" s="1"/>
  <c r="X45" i="34"/>
  <c r="L88" i="34"/>
  <c r="X88" i="34" s="1"/>
  <c r="R88" i="34"/>
  <c r="L72" i="34"/>
  <c r="R72" i="34" s="1"/>
  <c r="X72" i="34"/>
  <c r="R206" i="34"/>
  <c r="AB156" i="34"/>
  <c r="AB203" i="34"/>
  <c r="R117" i="34"/>
  <c r="X117" i="34"/>
  <c r="X86" i="34"/>
  <c r="R86" i="34"/>
  <c r="AB54" i="34"/>
  <c r="AB31" i="34"/>
  <c r="AC179" i="34"/>
  <c r="AD179" i="34" s="1"/>
  <c r="AG179" i="34" s="1"/>
  <c r="AB183" i="34"/>
  <c r="AC183" i="34" s="1"/>
  <c r="AB165" i="34"/>
  <c r="AB124" i="34"/>
  <c r="AC124" i="34" s="1"/>
  <c r="AB95" i="34"/>
  <c r="AC95" i="34" s="1"/>
  <c r="AB82" i="34"/>
  <c r="AC82" i="34" s="1"/>
  <c r="AB79" i="34"/>
  <c r="AC79" i="34" s="1"/>
  <c r="AC59" i="34"/>
  <c r="AD59" i="34" s="1"/>
  <c r="AG59" i="34" s="1"/>
  <c r="L159" i="34"/>
  <c r="L77" i="34"/>
  <c r="X77" i="34" s="1"/>
  <c r="R77" i="34"/>
  <c r="R65" i="34"/>
  <c r="X65" i="34"/>
  <c r="X103" i="34"/>
  <c r="R103" i="34"/>
  <c r="AC7" i="34"/>
  <c r="AD7" i="34" s="1"/>
  <c r="AG7" i="34" s="1"/>
  <c r="AB121" i="34"/>
  <c r="AC121" i="34" s="1"/>
  <c r="AB122" i="34"/>
  <c r="AC122" i="34" s="1"/>
  <c r="AB115" i="34"/>
  <c r="AC115" i="34" s="1"/>
  <c r="AB50" i="34"/>
  <c r="AC169" i="34"/>
  <c r="AD169" i="34" s="1"/>
  <c r="AG169" i="34" s="1"/>
  <c r="L166" i="34"/>
  <c r="R166" i="34"/>
  <c r="L205" i="34"/>
  <c r="X205" i="34"/>
  <c r="R37" i="34"/>
  <c r="X37" i="34"/>
  <c r="AB187" i="34"/>
  <c r="R134" i="34"/>
  <c r="X134" i="34"/>
  <c r="AC10" i="34"/>
  <c r="AD10" i="34" s="1"/>
  <c r="AG10" i="34" s="1"/>
  <c r="AB113" i="34"/>
  <c r="AC113" i="34" s="1"/>
  <c r="AB139" i="34"/>
  <c r="AC139" i="34" s="1"/>
  <c r="AB129" i="34"/>
  <c r="AC129" i="34" s="1"/>
  <c r="X33" i="34"/>
  <c r="R33" i="34"/>
  <c r="AB24" i="34"/>
  <c r="AC16" i="34"/>
  <c r="AD16" i="34" s="1"/>
  <c r="AG16" i="34" s="1"/>
  <c r="X5" i="34"/>
  <c r="R5" i="34"/>
  <c r="X71" i="34"/>
  <c r="R71" i="34"/>
  <c r="AC35" i="34"/>
  <c r="AD35" i="34" s="1"/>
  <c r="AG35" i="34" s="1"/>
  <c r="AB154" i="34"/>
  <c r="AC154" i="34" s="1"/>
  <c r="AB87" i="34"/>
  <c r="AC87" i="34" s="1"/>
  <c r="R185" i="34"/>
  <c r="X185" i="34"/>
  <c r="AB175" i="34"/>
  <c r="AC175" i="34" s="1"/>
  <c r="AB138" i="34"/>
  <c r="AC138" i="34" s="1"/>
  <c r="AB111" i="34"/>
  <c r="AC111" i="34" s="1"/>
  <c r="AB32" i="34"/>
  <c r="AB22" i="34"/>
  <c r="AB106" i="34"/>
  <c r="AC106" i="34" s="1"/>
  <c r="AB127" i="34"/>
  <c r="AC127" i="34" s="1"/>
  <c r="AB75" i="34"/>
  <c r="AC75" i="34" s="1"/>
  <c r="AC6" i="34"/>
  <c r="AD6" i="34"/>
  <c r="AG6" i="34" s="1"/>
  <c r="AC23" i="34"/>
  <c r="AD23" i="34" s="1"/>
  <c r="AG23" i="34" s="1"/>
  <c r="AB41" i="34"/>
  <c r="AC41" i="34" s="1"/>
  <c r="AB105" i="34"/>
  <c r="AC105" i="34" s="1"/>
  <c r="AB186" i="34"/>
  <c r="AB146" i="34"/>
  <c r="AC146" i="34" s="1"/>
  <c r="R110" i="34"/>
  <c r="X110" i="34"/>
  <c r="AB29" i="34"/>
  <c r="AC25" i="34"/>
  <c r="AD25" i="34"/>
  <c r="AG25" i="34" s="1"/>
  <c r="AC34" i="34"/>
  <c r="AD34" i="34" s="1"/>
  <c r="AG34" i="34" s="1"/>
  <c r="AB116" i="34"/>
  <c r="AC116" i="34" s="1"/>
  <c r="AB162" i="34"/>
  <c r="AC162" i="34" s="1"/>
  <c r="AB144" i="34"/>
  <c r="AC144" i="34" s="1"/>
  <c r="AB108" i="34"/>
  <c r="AC108" i="34" s="1"/>
  <c r="X26" i="34"/>
  <c r="R26" i="34"/>
  <c r="AB8" i="34"/>
  <c r="R94" i="34"/>
  <c r="X94" i="34"/>
  <c r="AB55" i="34"/>
  <c r="AB131" i="34"/>
  <c r="AC131" i="34" s="1"/>
  <c r="AC36" i="34"/>
  <c r="AD36" i="34"/>
  <c r="AG36" i="34" s="1"/>
  <c r="AB173" i="34"/>
  <c r="AC173" i="34" s="1"/>
  <c r="AC30" i="34"/>
  <c r="AD30" i="34" s="1"/>
  <c r="AG30" i="34" s="1"/>
  <c r="AC66" i="34"/>
  <c r="AD66" i="34"/>
  <c r="AG66" i="34" s="1"/>
  <c r="R49" i="34"/>
  <c r="X49" i="34"/>
  <c r="R90" i="34"/>
  <c r="X90" i="34"/>
  <c r="X38" i="34"/>
  <c r="R38" i="34"/>
  <c r="AB80" i="34"/>
  <c r="AC80" i="34" s="1"/>
  <c r="AC13" i="34"/>
  <c r="AD13" i="34" s="1"/>
  <c r="AG13" i="34" s="1"/>
  <c r="AB182" i="34"/>
  <c r="AC62" i="34"/>
  <c r="AD62" i="34"/>
  <c r="AG62" i="34" s="1"/>
  <c r="AB39" i="34"/>
  <c r="X18" i="34"/>
  <c r="R18" i="34"/>
  <c r="X119" i="34"/>
  <c r="R119" i="34"/>
  <c r="X46" i="34"/>
  <c r="R46" i="34"/>
  <c r="AC19" i="34"/>
  <c r="AD19" i="34"/>
  <c r="AG19" i="34" s="1"/>
  <c r="AC58" i="34"/>
  <c r="AD58" i="34"/>
  <c r="AG58" i="34" s="1"/>
  <c r="AB177" i="34"/>
  <c r="AC177" i="34" s="1"/>
  <c r="X17" i="34"/>
  <c r="R17" i="34"/>
  <c r="AB118" i="34"/>
  <c r="AC118" i="34" s="1"/>
  <c r="AB63" i="34"/>
  <c r="AB164" i="34"/>
  <c r="AC164" i="34" s="1"/>
  <c r="AB67" i="34"/>
  <c r="AB153" i="34"/>
  <c r="AC153" i="34" s="1"/>
  <c r="AB45" i="34"/>
  <c r="AC45" i="34" s="1"/>
  <c r="AB88" i="34"/>
  <c r="AC88" i="34" s="1"/>
  <c r="AB72" i="34"/>
  <c r="AC72" i="34" s="1"/>
  <c r="AC156" i="34"/>
  <c r="AD156" i="34" s="1"/>
  <c r="AG156" i="34" s="1"/>
  <c r="AC203" i="34"/>
  <c r="AD203" i="34"/>
  <c r="AG203" i="34" s="1"/>
  <c r="AB117" i="34"/>
  <c r="AC117" i="34" s="1"/>
  <c r="AB86" i="34"/>
  <c r="AC86" i="34" s="1"/>
  <c r="AC54" i="34"/>
  <c r="AD54" i="34"/>
  <c r="AG54" i="34" s="1"/>
  <c r="AC31" i="34"/>
  <c r="AD31" i="34" s="1"/>
  <c r="AG31" i="34" s="1"/>
  <c r="AC165" i="34"/>
  <c r="AD165" i="34"/>
  <c r="AG165" i="34" s="1"/>
  <c r="X159" i="34"/>
  <c r="R159" i="34"/>
  <c r="AB77" i="34"/>
  <c r="AC77" i="34" s="1"/>
  <c r="AB65" i="34"/>
  <c r="AC65" i="34" s="1"/>
  <c r="AB103" i="34"/>
  <c r="AC103" i="34" s="1"/>
  <c r="AC50" i="34"/>
  <c r="AD50" i="34" s="1"/>
  <c r="AG50" i="34" s="1"/>
  <c r="AB37" i="34"/>
  <c r="AC187" i="34"/>
  <c r="AD187" i="34" s="1"/>
  <c r="AG187" i="34" s="1"/>
  <c r="AB134" i="34"/>
  <c r="AC134" i="34" s="1"/>
  <c r="AB33" i="34"/>
  <c r="AC24" i="34"/>
  <c r="AD24" i="34"/>
  <c r="AG24" i="34" s="1"/>
  <c r="AB5" i="34"/>
  <c r="AB71" i="34"/>
  <c r="AC71" i="34" s="1"/>
  <c r="AB185" i="34"/>
  <c r="AC185" i="34" s="1"/>
  <c r="AC32" i="34"/>
  <c r="AD32" i="34"/>
  <c r="AG32" i="34" s="1"/>
  <c r="AC22" i="34"/>
  <c r="AD22" i="34"/>
  <c r="AG22" i="34" s="1"/>
  <c r="AC186" i="34"/>
  <c r="AD186" i="34"/>
  <c r="AG186" i="34" s="1"/>
  <c r="AB110" i="34"/>
  <c r="AC110" i="34" s="1"/>
  <c r="AC29" i="34"/>
  <c r="AD29" i="34"/>
  <c r="AG29" i="34" s="1"/>
  <c r="AB26" i="34"/>
  <c r="AC8" i="34"/>
  <c r="AD8" i="34"/>
  <c r="AG8" i="34" s="1"/>
  <c r="AB94" i="34"/>
  <c r="AC94" i="34" s="1"/>
  <c r="AC55" i="34"/>
  <c r="AD55" i="34"/>
  <c r="AG55" i="34" s="1"/>
  <c r="AB49" i="34"/>
  <c r="AC49" i="34" s="1"/>
  <c r="AB90" i="34"/>
  <c r="AC90" i="34" s="1"/>
  <c r="AB38" i="34"/>
  <c r="AC182" i="34"/>
  <c r="AD182" i="34"/>
  <c r="AG182" i="34" s="1"/>
  <c r="AC39" i="34"/>
  <c r="AD39" i="34" s="1"/>
  <c r="AG39" i="34" s="1"/>
  <c r="AB18" i="34"/>
  <c r="AB119" i="34"/>
  <c r="AC119" i="34" s="1"/>
  <c r="AB46" i="34"/>
  <c r="AB17" i="34"/>
  <c r="AC63" i="34"/>
  <c r="AD63" i="34" s="1"/>
  <c r="AG63" i="34" s="1"/>
  <c r="AC67" i="34"/>
  <c r="AD67" i="34"/>
  <c r="AG67" i="34" s="1"/>
  <c r="AB159" i="34"/>
  <c r="AC159" i="34" s="1"/>
  <c r="AC37" i="34"/>
  <c r="AD37" i="34"/>
  <c r="AG37" i="34" s="1"/>
  <c r="AC33" i="34"/>
  <c r="AD33" i="34" s="1"/>
  <c r="AG33" i="34" s="1"/>
  <c r="AC5" i="34"/>
  <c r="AD5" i="34"/>
  <c r="AG5" i="34" s="1"/>
  <c r="AC26" i="34"/>
  <c r="AD26" i="34" s="1"/>
  <c r="AG26" i="34" s="1"/>
  <c r="AC38" i="34"/>
  <c r="AD38" i="34"/>
  <c r="AG38" i="34" s="1"/>
  <c r="AC18" i="34"/>
  <c r="AD18" i="34" s="1"/>
  <c r="AG18" i="34" s="1"/>
  <c r="AC46" i="34"/>
  <c r="AD46" i="34"/>
  <c r="AG46" i="34" s="1"/>
  <c r="AC17" i="34"/>
  <c r="AD17" i="34"/>
  <c r="AG17" i="34" s="1"/>
  <c r="AV28" i="34" l="1"/>
  <c r="AU28" i="34"/>
  <c r="AV32" i="34"/>
  <c r="AU32" i="34"/>
  <c r="AV36" i="34"/>
  <c r="AU36" i="34"/>
  <c r="AU76" i="34"/>
  <c r="AV76" i="34"/>
  <c r="AU92" i="34"/>
  <c r="AV92" i="34"/>
  <c r="AU156" i="34"/>
  <c r="AV156" i="34"/>
  <c r="AU188" i="34"/>
  <c r="AV188" i="34"/>
  <c r="AU19" i="34"/>
  <c r="AV108" i="34"/>
  <c r="AV124" i="34"/>
  <c r="R10" i="36"/>
  <c r="R28" i="36"/>
  <c r="R8" i="36"/>
  <c r="R20" i="36"/>
  <c r="R12" i="36"/>
  <c r="R18" i="36"/>
  <c r="R24" i="36"/>
  <c r="R14" i="36"/>
  <c r="R22" i="36"/>
  <c r="R30" i="36"/>
  <c r="R9" i="36"/>
  <c r="R13" i="36"/>
  <c r="R17" i="36"/>
  <c r="R25" i="36"/>
  <c r="R29" i="36"/>
  <c r="R15" i="36"/>
  <c r="R19" i="36"/>
  <c r="R23" i="36"/>
  <c r="R27" i="36"/>
  <c r="AU23" i="34"/>
  <c r="AU33" i="34"/>
  <c r="AV48" i="34"/>
  <c r="AV78" i="34"/>
  <c r="AV94" i="34"/>
  <c r="AV110" i="34"/>
  <c r="AV128" i="34"/>
  <c r="AV192" i="34"/>
  <c r="AU11" i="34"/>
  <c r="AU26" i="34"/>
  <c r="AU30" i="34"/>
  <c r="AU34" i="34"/>
  <c r="AU38" i="34"/>
  <c r="AV52" i="34"/>
  <c r="AV68" i="34"/>
  <c r="AV84" i="34"/>
  <c r="AV100" i="34"/>
  <c r="AV116" i="34"/>
  <c r="AV140" i="34"/>
  <c r="AV172" i="34"/>
  <c r="AV204" i="34"/>
  <c r="AU7" i="34"/>
  <c r="AU29" i="34"/>
  <c r="AU37" i="34"/>
  <c r="AV62" i="34"/>
  <c r="AV160" i="34"/>
  <c r="AU15" i="34"/>
  <c r="AU27" i="34"/>
  <c r="AU31" i="34"/>
  <c r="AU35" i="34"/>
  <c r="AU39" i="34"/>
  <c r="AV54" i="34"/>
  <c r="AV70" i="34"/>
  <c r="AV86" i="34"/>
  <c r="AV102" i="34"/>
  <c r="AV118" i="34"/>
  <c r="AV144" i="34"/>
  <c r="AV176" i="34"/>
  <c r="AV208" i="34"/>
  <c r="AV53" i="34"/>
  <c r="AU53" i="34"/>
  <c r="AV57" i="34"/>
  <c r="AU57" i="34"/>
  <c r="AV61" i="34"/>
  <c r="AU61" i="34"/>
  <c r="AV63" i="34"/>
  <c r="AU63" i="34"/>
  <c r="AV67" i="34"/>
  <c r="AU67" i="34"/>
  <c r="AV71" i="34"/>
  <c r="AU71" i="34"/>
  <c r="AV75" i="34"/>
  <c r="AU75" i="34"/>
  <c r="AV77" i="34"/>
  <c r="AU77" i="34"/>
  <c r="AV81" i="34"/>
  <c r="AU81" i="34"/>
  <c r="AV85" i="34"/>
  <c r="AU85" i="34"/>
  <c r="AV89" i="34"/>
  <c r="AU89" i="34"/>
  <c r="AV95" i="34"/>
  <c r="AU95" i="34"/>
  <c r="AV99" i="34"/>
  <c r="AU99" i="34"/>
  <c r="AV103" i="34"/>
  <c r="AU103" i="34"/>
  <c r="AV109" i="34"/>
  <c r="AU109" i="34"/>
  <c r="AV113" i="34"/>
  <c r="AU113" i="34"/>
  <c r="AV117" i="34"/>
  <c r="AU117" i="34"/>
  <c r="AV121" i="34"/>
  <c r="AU121" i="34"/>
  <c r="AV125" i="34"/>
  <c r="AU125" i="34"/>
  <c r="AV129" i="34"/>
  <c r="AU129" i="34"/>
  <c r="AV133" i="34"/>
  <c r="AU133" i="34"/>
  <c r="AV137" i="34"/>
  <c r="AU137" i="34"/>
  <c r="AV141" i="34"/>
  <c r="AU141" i="34"/>
  <c r="AV145" i="34"/>
  <c r="AU145" i="34"/>
  <c r="AV149" i="34"/>
  <c r="AU149" i="34"/>
  <c r="AV151" i="34"/>
  <c r="AU151" i="34"/>
  <c r="AV153" i="34"/>
  <c r="AU153" i="34"/>
  <c r="AV157" i="34"/>
  <c r="AU157" i="34"/>
  <c r="AV161" i="34"/>
  <c r="AU161" i="34"/>
  <c r="AV165" i="34"/>
  <c r="AU165" i="34"/>
  <c r="AV167" i="34"/>
  <c r="AU167" i="34"/>
  <c r="AV171" i="34"/>
  <c r="AU171" i="34"/>
  <c r="AV175" i="34"/>
  <c r="AU175" i="34"/>
  <c r="AV179" i="34"/>
  <c r="AU179" i="34"/>
  <c r="AV185" i="34"/>
  <c r="AU185" i="34"/>
  <c r="AV189" i="34"/>
  <c r="AU189" i="34"/>
  <c r="AV193" i="34"/>
  <c r="AU193" i="34"/>
  <c r="AV199" i="34"/>
  <c r="AU199" i="34"/>
  <c r="AV203" i="34"/>
  <c r="AU203" i="34"/>
  <c r="AV207" i="34"/>
  <c r="AU207" i="34"/>
  <c r="AV213" i="34"/>
  <c r="AU213" i="34"/>
  <c r="AU10" i="34"/>
  <c r="AU22" i="34"/>
  <c r="AU46" i="34"/>
  <c r="AV46" i="34"/>
  <c r="AU154" i="34"/>
  <c r="AV154" i="34"/>
  <c r="AU158" i="34"/>
  <c r="AV158" i="34"/>
  <c r="AU162" i="34"/>
  <c r="AV162" i="34"/>
  <c r="AU166" i="34"/>
  <c r="AV166" i="34"/>
  <c r="AU170" i="34"/>
  <c r="AV170" i="34"/>
  <c r="AU174" i="34"/>
  <c r="AV174" i="34"/>
  <c r="AU178" i="34"/>
  <c r="AV178" i="34"/>
  <c r="AU198" i="34"/>
  <c r="AV198" i="34"/>
  <c r="AU202" i="34"/>
  <c r="AV202" i="34"/>
  <c r="AU206" i="34"/>
  <c r="AV206" i="34"/>
  <c r="AU5" i="34"/>
  <c r="AU9" i="34"/>
  <c r="AU13" i="34"/>
  <c r="AU17" i="34"/>
  <c r="AU21" i="34"/>
  <c r="AU41" i="34"/>
  <c r="AV45" i="34"/>
  <c r="AU51" i="34"/>
  <c r="AV58" i="34"/>
  <c r="AV66" i="34"/>
  <c r="AV74" i="34"/>
  <c r="AV82" i="34"/>
  <c r="AV90" i="34"/>
  <c r="AV98" i="34"/>
  <c r="AV106" i="34"/>
  <c r="AV114" i="34"/>
  <c r="AV122" i="34"/>
  <c r="AV136" i="34"/>
  <c r="AV152" i="34"/>
  <c r="AV168" i="34"/>
  <c r="AV184" i="34"/>
  <c r="AV200" i="34"/>
  <c r="AV55" i="34"/>
  <c r="AU55" i="34"/>
  <c r="AV59" i="34"/>
  <c r="AU59" i="34"/>
  <c r="AV65" i="34"/>
  <c r="AU65" i="34"/>
  <c r="AV69" i="34"/>
  <c r="AU69" i="34"/>
  <c r="AV73" i="34"/>
  <c r="AU73" i="34"/>
  <c r="AV79" i="34"/>
  <c r="AU79" i="34"/>
  <c r="AV83" i="34"/>
  <c r="AU83" i="34"/>
  <c r="AV87" i="34"/>
  <c r="AU87" i="34"/>
  <c r="AV91" i="34"/>
  <c r="AU91" i="34"/>
  <c r="AV93" i="34"/>
  <c r="AU93" i="34"/>
  <c r="AV97" i="34"/>
  <c r="AU97" i="34"/>
  <c r="AV101" i="34"/>
  <c r="AU101" i="34"/>
  <c r="AV105" i="34"/>
  <c r="AU105" i="34"/>
  <c r="AV107" i="34"/>
  <c r="AU107" i="34"/>
  <c r="AV111" i="34"/>
  <c r="AU111" i="34"/>
  <c r="AV115" i="34"/>
  <c r="AU115" i="34"/>
  <c r="AV119" i="34"/>
  <c r="AU119" i="34"/>
  <c r="AV123" i="34"/>
  <c r="AU123" i="34"/>
  <c r="AV127" i="34"/>
  <c r="AU127" i="34"/>
  <c r="AV131" i="34"/>
  <c r="AU131" i="34"/>
  <c r="AV135" i="34"/>
  <c r="AU135" i="34"/>
  <c r="AV139" i="34"/>
  <c r="AU139" i="34"/>
  <c r="AV143" i="34"/>
  <c r="AU143" i="34"/>
  <c r="AV147" i="34"/>
  <c r="AU147" i="34"/>
  <c r="AV155" i="34"/>
  <c r="AU155" i="34"/>
  <c r="AV159" i="34"/>
  <c r="AU159" i="34"/>
  <c r="AV163" i="34"/>
  <c r="AU163" i="34"/>
  <c r="AV169" i="34"/>
  <c r="AU169" i="34"/>
  <c r="AV173" i="34"/>
  <c r="AU173" i="34"/>
  <c r="AV177" i="34"/>
  <c r="AU177" i="34"/>
  <c r="AV181" i="34"/>
  <c r="AU181" i="34"/>
  <c r="AV183" i="34"/>
  <c r="AU183" i="34"/>
  <c r="AV187" i="34"/>
  <c r="AU187" i="34"/>
  <c r="AV191" i="34"/>
  <c r="AU191" i="34"/>
  <c r="AV195" i="34"/>
  <c r="AU195" i="34"/>
  <c r="AV197" i="34"/>
  <c r="AU197" i="34"/>
  <c r="AV201" i="34"/>
  <c r="AU201" i="34"/>
  <c r="AV205" i="34"/>
  <c r="AU205" i="34"/>
  <c r="AV209" i="34"/>
  <c r="AU209" i="34"/>
  <c r="AV211" i="34"/>
  <c r="AU211" i="34"/>
  <c r="AU6" i="34"/>
  <c r="AU14" i="34"/>
  <c r="AU18" i="34"/>
  <c r="AU47" i="34"/>
  <c r="AU43" i="34"/>
  <c r="AU50" i="34"/>
  <c r="AV50" i="34"/>
  <c r="AU126" i="34"/>
  <c r="AV126" i="34"/>
  <c r="AU130" i="34"/>
  <c r="AV130" i="34"/>
  <c r="AU134" i="34"/>
  <c r="AV134" i="34"/>
  <c r="AU138" i="34"/>
  <c r="AV138" i="34"/>
  <c r="AU142" i="34"/>
  <c r="AV142" i="34"/>
  <c r="AU146" i="34"/>
  <c r="AV146" i="34"/>
  <c r="AU150" i="34"/>
  <c r="AV150" i="34"/>
  <c r="AU182" i="34"/>
  <c r="AV182" i="34"/>
  <c r="AU186" i="34"/>
  <c r="AV186" i="34"/>
  <c r="AU190" i="34"/>
  <c r="AV190" i="34"/>
  <c r="AU194" i="34"/>
  <c r="AV194" i="34"/>
  <c r="AU210" i="34"/>
  <c r="AV210" i="34"/>
  <c r="AU4" i="34"/>
  <c r="AU8" i="34"/>
  <c r="AU12" i="34"/>
  <c r="AU16" i="34"/>
  <c r="AU20" i="34"/>
  <c r="AU24" i="34"/>
  <c r="AV44" i="34"/>
  <c r="AV49" i="34"/>
  <c r="AV56" i="34"/>
  <c r="AV64" i="34"/>
  <c r="AV72" i="34"/>
  <c r="AV80" i="34"/>
  <c r="AV88" i="34"/>
  <c r="AV96" i="34"/>
  <c r="AV104" i="34"/>
  <c r="AV112" i="34"/>
  <c r="AV120" i="34"/>
  <c r="AV132" i="34"/>
  <c r="AV148" i="34"/>
  <c r="AV164" i="34"/>
  <c r="AV180" i="34"/>
  <c r="AV196" i="34"/>
  <c r="AV212" i="34"/>
  <c r="F25" i="34"/>
  <c r="F40" i="34"/>
  <c r="C4" i="34"/>
  <c r="D81" i="23"/>
  <c r="D83" i="23"/>
  <c r="D82" i="23"/>
  <c r="D84" i="23"/>
  <c r="D85" i="23"/>
  <c r="D86" i="23"/>
  <c r="D87" i="23"/>
  <c r="D88" i="23"/>
  <c r="D89" i="23"/>
  <c r="D90" i="23"/>
  <c r="D91" i="23"/>
  <c r="D92" i="23"/>
  <c r="D99" i="23"/>
  <c r="D98" i="23"/>
  <c r="D97" i="23"/>
  <c r="D96" i="23"/>
  <c r="D95" i="23"/>
  <c r="D94" i="23"/>
  <c r="D93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52" i="23"/>
  <c r="D53" i="23" s="1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V28" i="33"/>
  <c r="U28" i="33"/>
  <c r="T28" i="33"/>
  <c r="S28" i="33"/>
  <c r="R28" i="33"/>
  <c r="Q28" i="33"/>
  <c r="V27" i="33"/>
  <c r="U27" i="33"/>
  <c r="T27" i="33"/>
  <c r="S27" i="33"/>
  <c r="R27" i="33"/>
  <c r="Q27" i="33"/>
  <c r="V26" i="33"/>
  <c r="U26" i="33"/>
  <c r="T26" i="33"/>
  <c r="S26" i="33"/>
  <c r="R26" i="33"/>
  <c r="Q26" i="33"/>
  <c r="V25" i="33"/>
  <c r="U25" i="33"/>
  <c r="T25" i="33"/>
  <c r="S25" i="33"/>
  <c r="R25" i="33"/>
  <c r="Q25" i="33"/>
  <c r="V23" i="33"/>
  <c r="U23" i="33"/>
  <c r="T23" i="33"/>
  <c r="S23" i="33"/>
  <c r="R23" i="33"/>
  <c r="Q23" i="33"/>
  <c r="V22" i="33"/>
  <c r="U22" i="33"/>
  <c r="T22" i="33"/>
  <c r="S22" i="33"/>
  <c r="R22" i="33"/>
  <c r="Q22" i="33"/>
  <c r="V21" i="33"/>
  <c r="U21" i="33"/>
  <c r="T21" i="33"/>
  <c r="S21" i="33"/>
  <c r="R21" i="33"/>
  <c r="Q21" i="33"/>
  <c r="V20" i="33"/>
  <c r="U20" i="33"/>
  <c r="T20" i="33"/>
  <c r="S20" i="33"/>
  <c r="R20" i="33"/>
  <c r="Q20" i="33"/>
  <c r="V18" i="33"/>
  <c r="U18" i="33"/>
  <c r="T18" i="33"/>
  <c r="S18" i="33"/>
  <c r="R18" i="33"/>
  <c r="Q18" i="33"/>
  <c r="V17" i="33"/>
  <c r="U17" i="33"/>
  <c r="T17" i="33"/>
  <c r="S17" i="33"/>
  <c r="R17" i="33"/>
  <c r="Q17" i="33"/>
  <c r="V16" i="33"/>
  <c r="U16" i="33"/>
  <c r="T16" i="33"/>
  <c r="S16" i="33"/>
  <c r="R16" i="33"/>
  <c r="Q16" i="33"/>
  <c r="V15" i="33"/>
  <c r="U15" i="33"/>
  <c r="T15" i="33"/>
  <c r="S15" i="33"/>
  <c r="R15" i="33"/>
  <c r="Q15" i="33"/>
  <c r="V13" i="33"/>
  <c r="U13" i="33"/>
  <c r="T13" i="33"/>
  <c r="S13" i="33"/>
  <c r="R13" i="33"/>
  <c r="Q13" i="33"/>
  <c r="V12" i="33"/>
  <c r="U12" i="33"/>
  <c r="T12" i="33"/>
  <c r="S12" i="33"/>
  <c r="R12" i="33"/>
  <c r="Q12" i="33"/>
  <c r="V11" i="33"/>
  <c r="U11" i="33"/>
  <c r="T11" i="33"/>
  <c r="S11" i="33"/>
  <c r="R11" i="33"/>
  <c r="Q11" i="33"/>
  <c r="V10" i="33"/>
  <c r="U10" i="33"/>
  <c r="T10" i="33"/>
  <c r="S10" i="33"/>
  <c r="R10" i="33"/>
  <c r="Q10" i="33"/>
  <c r="V8" i="33"/>
  <c r="U8" i="33"/>
  <c r="T8" i="33"/>
  <c r="S8" i="33"/>
  <c r="R8" i="33"/>
  <c r="Q8" i="33"/>
  <c r="V7" i="33"/>
  <c r="U7" i="33"/>
  <c r="T7" i="33"/>
  <c r="S7" i="33"/>
  <c r="R7" i="33"/>
  <c r="Q7" i="33"/>
  <c r="V6" i="33"/>
  <c r="U6" i="33"/>
  <c r="T6" i="33"/>
  <c r="S6" i="33"/>
  <c r="R6" i="33"/>
  <c r="Q6" i="33"/>
  <c r="V5" i="33"/>
  <c r="U5" i="33"/>
  <c r="T5" i="33"/>
  <c r="S5" i="33"/>
  <c r="R5" i="33"/>
  <c r="Q5" i="33"/>
  <c r="T426" i="32"/>
  <c r="S426" i="32"/>
  <c r="R426" i="32"/>
  <c r="Q426" i="32"/>
  <c r="T425" i="32"/>
  <c r="S425" i="32"/>
  <c r="R425" i="32"/>
  <c r="Q425" i="32"/>
  <c r="T424" i="32"/>
  <c r="S424" i="32"/>
  <c r="R424" i="32"/>
  <c r="Q424" i="32"/>
  <c r="T423" i="32"/>
  <c r="S423" i="32"/>
  <c r="R423" i="32"/>
  <c r="Q423" i="32"/>
  <c r="T422" i="32"/>
  <c r="S422" i="32"/>
  <c r="R422" i="32"/>
  <c r="Q422" i="32"/>
  <c r="T421" i="32"/>
  <c r="S421" i="32"/>
  <c r="R421" i="32"/>
  <c r="Q421" i="32"/>
  <c r="T420" i="32"/>
  <c r="S420" i="32"/>
  <c r="R420" i="32"/>
  <c r="Q420" i="32"/>
  <c r="T419" i="32"/>
  <c r="S419" i="32"/>
  <c r="R419" i="32"/>
  <c r="Q419" i="32"/>
  <c r="T418" i="32"/>
  <c r="S418" i="32"/>
  <c r="R418" i="32"/>
  <c r="Q418" i="32"/>
  <c r="T417" i="32"/>
  <c r="S417" i="32"/>
  <c r="R417" i="32"/>
  <c r="Q417" i="32"/>
  <c r="T416" i="32"/>
  <c r="S416" i="32"/>
  <c r="R416" i="32"/>
  <c r="Q416" i="32"/>
  <c r="T415" i="32"/>
  <c r="S415" i="32"/>
  <c r="R415" i="32"/>
  <c r="Q415" i="32"/>
  <c r="T414" i="32"/>
  <c r="S414" i="32"/>
  <c r="R414" i="32"/>
  <c r="Q414" i="32"/>
  <c r="T413" i="32"/>
  <c r="S413" i="32"/>
  <c r="R413" i="32"/>
  <c r="Q413" i="32"/>
  <c r="T412" i="32"/>
  <c r="S412" i="32"/>
  <c r="R412" i="32"/>
  <c r="Q412" i="32"/>
  <c r="T411" i="32"/>
  <c r="S411" i="32"/>
  <c r="R411" i="32"/>
  <c r="Q411" i="32"/>
  <c r="T410" i="32"/>
  <c r="S410" i="32"/>
  <c r="R410" i="32"/>
  <c r="Q410" i="32"/>
  <c r="T409" i="32"/>
  <c r="S409" i="32"/>
  <c r="R409" i="32"/>
  <c r="Q409" i="32"/>
  <c r="T408" i="32"/>
  <c r="S408" i="32"/>
  <c r="R408" i="32"/>
  <c r="Q408" i="32"/>
  <c r="T407" i="32"/>
  <c r="S407" i="32"/>
  <c r="R407" i="32"/>
  <c r="Q407" i="32"/>
  <c r="T406" i="32"/>
  <c r="S406" i="32"/>
  <c r="R406" i="32"/>
  <c r="Q406" i="32"/>
  <c r="T405" i="32"/>
  <c r="S405" i="32"/>
  <c r="R405" i="32"/>
  <c r="Q405" i="32"/>
  <c r="T404" i="32"/>
  <c r="S404" i="32"/>
  <c r="R404" i="32"/>
  <c r="Q404" i="32"/>
  <c r="T403" i="32"/>
  <c r="S403" i="32"/>
  <c r="R403" i="32"/>
  <c r="Q403" i="32"/>
  <c r="T402" i="32"/>
  <c r="S402" i="32"/>
  <c r="R402" i="32"/>
  <c r="Q402" i="32"/>
  <c r="T401" i="32"/>
  <c r="S401" i="32"/>
  <c r="R401" i="32"/>
  <c r="Q401" i="32"/>
  <c r="T400" i="32"/>
  <c r="S400" i="32"/>
  <c r="R400" i="32"/>
  <c r="Q400" i="32"/>
  <c r="T399" i="32"/>
  <c r="S399" i="32"/>
  <c r="R399" i="32"/>
  <c r="Q399" i="32"/>
  <c r="T398" i="32"/>
  <c r="S398" i="32"/>
  <c r="R398" i="32"/>
  <c r="Q398" i="32"/>
  <c r="T397" i="32"/>
  <c r="S397" i="32"/>
  <c r="R397" i="32"/>
  <c r="Q397" i="32"/>
  <c r="T396" i="32"/>
  <c r="S396" i="32"/>
  <c r="R396" i="32"/>
  <c r="Q396" i="32"/>
  <c r="T395" i="32"/>
  <c r="S395" i="32"/>
  <c r="R395" i="32"/>
  <c r="Q395" i="32"/>
  <c r="T394" i="32"/>
  <c r="S394" i="32"/>
  <c r="R394" i="32"/>
  <c r="Q394" i="32"/>
  <c r="T393" i="32"/>
  <c r="S393" i="32"/>
  <c r="R393" i="32"/>
  <c r="Q393" i="32"/>
  <c r="T392" i="32"/>
  <c r="S392" i="32"/>
  <c r="R392" i="32"/>
  <c r="Q392" i="32"/>
  <c r="T391" i="32"/>
  <c r="S391" i="32"/>
  <c r="R391" i="32"/>
  <c r="Q391" i="32"/>
  <c r="T390" i="32"/>
  <c r="S390" i="32"/>
  <c r="R390" i="32"/>
  <c r="Q390" i="32"/>
  <c r="T389" i="32"/>
  <c r="S389" i="32"/>
  <c r="R389" i="32"/>
  <c r="Q389" i="32"/>
  <c r="T388" i="32"/>
  <c r="S388" i="32"/>
  <c r="R388" i="32"/>
  <c r="Q388" i="32"/>
  <c r="T387" i="32"/>
  <c r="S387" i="32"/>
  <c r="R387" i="32"/>
  <c r="Q387" i="32"/>
  <c r="T386" i="32"/>
  <c r="S386" i="32"/>
  <c r="R386" i="32"/>
  <c r="Q386" i="32"/>
  <c r="T385" i="32"/>
  <c r="S385" i="32"/>
  <c r="R385" i="32"/>
  <c r="Q385" i="32"/>
  <c r="T384" i="32"/>
  <c r="S384" i="32"/>
  <c r="R384" i="32"/>
  <c r="Q384" i="32"/>
  <c r="T383" i="32"/>
  <c r="S383" i="32"/>
  <c r="R383" i="32"/>
  <c r="Q383" i="32"/>
  <c r="T382" i="32"/>
  <c r="S382" i="32"/>
  <c r="R382" i="32"/>
  <c r="Q382" i="32"/>
  <c r="T381" i="32"/>
  <c r="S381" i="32"/>
  <c r="R381" i="32"/>
  <c r="Q381" i="32"/>
  <c r="T380" i="32"/>
  <c r="S380" i="32"/>
  <c r="R380" i="32"/>
  <c r="Q380" i="32"/>
  <c r="T379" i="32"/>
  <c r="S379" i="32"/>
  <c r="R379" i="32"/>
  <c r="Q379" i="32"/>
  <c r="T378" i="32"/>
  <c r="S378" i="32"/>
  <c r="R378" i="32"/>
  <c r="Q378" i="32"/>
  <c r="T377" i="32"/>
  <c r="S377" i="32"/>
  <c r="R377" i="32"/>
  <c r="Q377" i="32"/>
  <c r="T376" i="32"/>
  <c r="S376" i="32"/>
  <c r="R376" i="32"/>
  <c r="Q376" i="32"/>
  <c r="T375" i="32"/>
  <c r="S375" i="32"/>
  <c r="R375" i="32"/>
  <c r="Q375" i="32"/>
  <c r="T374" i="32"/>
  <c r="S374" i="32"/>
  <c r="R374" i="32"/>
  <c r="Q374" i="32"/>
  <c r="T373" i="32"/>
  <c r="S373" i="32"/>
  <c r="R373" i="32"/>
  <c r="Q373" i="32"/>
  <c r="T372" i="32"/>
  <c r="S372" i="32"/>
  <c r="R372" i="32"/>
  <c r="Q372" i="32"/>
  <c r="T371" i="32"/>
  <c r="S371" i="32"/>
  <c r="R371" i="32"/>
  <c r="Q371" i="32"/>
  <c r="T370" i="32"/>
  <c r="S370" i="32"/>
  <c r="R370" i="32"/>
  <c r="Q370" i="32"/>
  <c r="T369" i="32"/>
  <c r="S369" i="32"/>
  <c r="R369" i="32"/>
  <c r="Q369" i="32"/>
  <c r="T368" i="32"/>
  <c r="S368" i="32"/>
  <c r="R368" i="32"/>
  <c r="Q368" i="32"/>
  <c r="T367" i="32"/>
  <c r="S367" i="32"/>
  <c r="R367" i="32"/>
  <c r="Q367" i="32"/>
  <c r="T366" i="32"/>
  <c r="S366" i="32"/>
  <c r="R366" i="32"/>
  <c r="Q366" i="32"/>
  <c r="T365" i="32"/>
  <c r="S365" i="32"/>
  <c r="R365" i="32"/>
  <c r="Q365" i="32"/>
  <c r="T364" i="32"/>
  <c r="S364" i="32"/>
  <c r="R364" i="32"/>
  <c r="Q364" i="32"/>
  <c r="T363" i="32"/>
  <c r="S363" i="32"/>
  <c r="R363" i="32"/>
  <c r="Q363" i="32"/>
  <c r="T362" i="32"/>
  <c r="S362" i="32"/>
  <c r="R362" i="32"/>
  <c r="Q362" i="32"/>
  <c r="T361" i="32"/>
  <c r="S361" i="32"/>
  <c r="R361" i="32"/>
  <c r="Q361" i="32"/>
  <c r="T360" i="32"/>
  <c r="S360" i="32"/>
  <c r="R360" i="32"/>
  <c r="Q360" i="32"/>
  <c r="T359" i="32"/>
  <c r="S359" i="32"/>
  <c r="R359" i="32"/>
  <c r="Q359" i="32"/>
  <c r="T358" i="32"/>
  <c r="S358" i="32"/>
  <c r="R358" i="32"/>
  <c r="Q358" i="32"/>
  <c r="T357" i="32"/>
  <c r="S357" i="32"/>
  <c r="R357" i="32"/>
  <c r="Q357" i="32"/>
  <c r="T356" i="32"/>
  <c r="S356" i="32"/>
  <c r="R356" i="32"/>
  <c r="Q356" i="32"/>
  <c r="T355" i="32"/>
  <c r="S355" i="32"/>
  <c r="R355" i="32"/>
  <c r="Q355" i="32"/>
  <c r="T354" i="32"/>
  <c r="S354" i="32"/>
  <c r="R354" i="32"/>
  <c r="Q354" i="32"/>
  <c r="T353" i="32"/>
  <c r="S353" i="32"/>
  <c r="R353" i="32"/>
  <c r="Q353" i="32"/>
  <c r="T352" i="32"/>
  <c r="S352" i="32"/>
  <c r="R352" i="32"/>
  <c r="Q352" i="32"/>
  <c r="T351" i="32"/>
  <c r="S351" i="32"/>
  <c r="R351" i="32"/>
  <c r="Q351" i="32"/>
  <c r="T350" i="32"/>
  <c r="S350" i="32"/>
  <c r="R350" i="32"/>
  <c r="Q350" i="32"/>
  <c r="T349" i="32"/>
  <c r="S349" i="32"/>
  <c r="R349" i="32"/>
  <c r="Q349" i="32"/>
  <c r="T348" i="32"/>
  <c r="S348" i="32"/>
  <c r="R348" i="32"/>
  <c r="Q348" i="32"/>
  <c r="T347" i="32"/>
  <c r="S347" i="32"/>
  <c r="R347" i="32"/>
  <c r="Q347" i="32"/>
  <c r="T346" i="32"/>
  <c r="S346" i="32"/>
  <c r="R346" i="32"/>
  <c r="Q346" i="32"/>
  <c r="T345" i="32"/>
  <c r="S345" i="32"/>
  <c r="R345" i="32"/>
  <c r="Q345" i="32"/>
  <c r="T344" i="32"/>
  <c r="S344" i="32"/>
  <c r="R344" i="32"/>
  <c r="Q344" i="32"/>
  <c r="T343" i="32"/>
  <c r="S343" i="32"/>
  <c r="R343" i="32"/>
  <c r="Q343" i="32"/>
  <c r="T342" i="32"/>
  <c r="S342" i="32"/>
  <c r="R342" i="32"/>
  <c r="Q342" i="32"/>
  <c r="T341" i="32"/>
  <c r="S341" i="32"/>
  <c r="R341" i="32"/>
  <c r="Q341" i="32"/>
  <c r="T340" i="32"/>
  <c r="S340" i="32"/>
  <c r="R340" i="32"/>
  <c r="Q340" i="32"/>
  <c r="T339" i="32"/>
  <c r="S339" i="32"/>
  <c r="R339" i="32"/>
  <c r="Q339" i="32"/>
  <c r="T338" i="32"/>
  <c r="S338" i="32"/>
  <c r="R338" i="32"/>
  <c r="Q338" i="32"/>
  <c r="T337" i="32"/>
  <c r="S337" i="32"/>
  <c r="R337" i="32"/>
  <c r="Q337" i="32"/>
  <c r="T336" i="32"/>
  <c r="S336" i="32"/>
  <c r="R336" i="32"/>
  <c r="Q336" i="32"/>
  <c r="T335" i="32"/>
  <c r="S335" i="32"/>
  <c r="R335" i="32"/>
  <c r="Q335" i="32"/>
  <c r="T334" i="32"/>
  <c r="S334" i="32"/>
  <c r="R334" i="32"/>
  <c r="Q334" i="32"/>
  <c r="T333" i="32"/>
  <c r="S333" i="32"/>
  <c r="R333" i="32"/>
  <c r="Q333" i="32"/>
  <c r="T332" i="32"/>
  <c r="S332" i="32"/>
  <c r="R332" i="32"/>
  <c r="Q332" i="32"/>
  <c r="T331" i="32"/>
  <c r="S331" i="32"/>
  <c r="R331" i="32"/>
  <c r="Q331" i="32"/>
  <c r="T330" i="32"/>
  <c r="S330" i="32"/>
  <c r="R330" i="32"/>
  <c r="Q330" i="32"/>
  <c r="T329" i="32"/>
  <c r="S329" i="32"/>
  <c r="R329" i="32"/>
  <c r="Q329" i="32"/>
  <c r="T328" i="32"/>
  <c r="S328" i="32"/>
  <c r="R328" i="32"/>
  <c r="Q328" i="32"/>
  <c r="T327" i="32"/>
  <c r="S327" i="32"/>
  <c r="R327" i="32"/>
  <c r="Q327" i="32"/>
  <c r="T326" i="32"/>
  <c r="S326" i="32"/>
  <c r="R326" i="32"/>
  <c r="Q326" i="32"/>
  <c r="T325" i="32"/>
  <c r="S325" i="32"/>
  <c r="R325" i="32"/>
  <c r="Q325" i="32"/>
  <c r="T324" i="32"/>
  <c r="S324" i="32"/>
  <c r="R324" i="32"/>
  <c r="Q324" i="32"/>
  <c r="T323" i="32"/>
  <c r="S323" i="32"/>
  <c r="R323" i="32"/>
  <c r="Q323" i="32"/>
  <c r="T322" i="32"/>
  <c r="S322" i="32"/>
  <c r="R322" i="32"/>
  <c r="Q322" i="32"/>
  <c r="T321" i="32"/>
  <c r="S321" i="32"/>
  <c r="R321" i="32"/>
  <c r="Q321" i="32"/>
  <c r="T320" i="32"/>
  <c r="S320" i="32"/>
  <c r="R320" i="32"/>
  <c r="Q320" i="32"/>
  <c r="T319" i="32"/>
  <c r="S319" i="32"/>
  <c r="R319" i="32"/>
  <c r="Q319" i="32"/>
  <c r="T318" i="32"/>
  <c r="S318" i="32"/>
  <c r="R318" i="32"/>
  <c r="Q318" i="32"/>
  <c r="T317" i="32"/>
  <c r="S317" i="32"/>
  <c r="R317" i="32"/>
  <c r="Q317" i="32"/>
  <c r="T316" i="32"/>
  <c r="S316" i="32"/>
  <c r="R316" i="32"/>
  <c r="Q316" i="32"/>
  <c r="T315" i="32"/>
  <c r="S315" i="32"/>
  <c r="R315" i="32"/>
  <c r="Q315" i="32"/>
  <c r="T314" i="32"/>
  <c r="S314" i="32"/>
  <c r="R314" i="32"/>
  <c r="Q314" i="32"/>
  <c r="T313" i="32"/>
  <c r="S313" i="32"/>
  <c r="R313" i="32"/>
  <c r="Q313" i="32"/>
  <c r="T312" i="32"/>
  <c r="S312" i="32"/>
  <c r="R312" i="32"/>
  <c r="Q312" i="32"/>
  <c r="T311" i="32"/>
  <c r="S311" i="32"/>
  <c r="R311" i="32"/>
  <c r="Q311" i="32"/>
  <c r="T310" i="32"/>
  <c r="S310" i="32"/>
  <c r="R310" i="32"/>
  <c r="Q310" i="32"/>
  <c r="T309" i="32"/>
  <c r="S309" i="32"/>
  <c r="R309" i="32"/>
  <c r="Q309" i="32"/>
  <c r="T308" i="32"/>
  <c r="S308" i="32"/>
  <c r="R308" i="32"/>
  <c r="Q308" i="32"/>
  <c r="T307" i="32"/>
  <c r="S307" i="32"/>
  <c r="R307" i="32"/>
  <c r="Q307" i="32"/>
  <c r="T306" i="32"/>
  <c r="S306" i="32"/>
  <c r="R306" i="32"/>
  <c r="Q306" i="32"/>
  <c r="T305" i="32"/>
  <c r="S305" i="32"/>
  <c r="R305" i="32"/>
  <c r="Q305" i="32"/>
  <c r="T304" i="32"/>
  <c r="S304" i="32"/>
  <c r="R304" i="32"/>
  <c r="Q304" i="32"/>
  <c r="T303" i="32"/>
  <c r="S303" i="32"/>
  <c r="R303" i="32"/>
  <c r="Q303" i="32"/>
  <c r="T302" i="32"/>
  <c r="S302" i="32"/>
  <c r="R302" i="32"/>
  <c r="Q302" i="32"/>
  <c r="T301" i="32"/>
  <c r="S301" i="32"/>
  <c r="R301" i="32"/>
  <c r="Q301" i="32"/>
  <c r="T300" i="32"/>
  <c r="S300" i="32"/>
  <c r="R300" i="32"/>
  <c r="Q300" i="32"/>
  <c r="T299" i="32"/>
  <c r="S299" i="32"/>
  <c r="R299" i="32"/>
  <c r="Q299" i="32"/>
  <c r="T298" i="32"/>
  <c r="S298" i="32"/>
  <c r="R298" i="32"/>
  <c r="Q298" i="32"/>
  <c r="T297" i="32"/>
  <c r="S297" i="32"/>
  <c r="R297" i="32"/>
  <c r="Q297" i="32"/>
  <c r="T296" i="32"/>
  <c r="S296" i="32"/>
  <c r="R296" i="32"/>
  <c r="Q296" i="32"/>
  <c r="T295" i="32"/>
  <c r="S295" i="32"/>
  <c r="R295" i="32"/>
  <c r="Q295" i="32"/>
  <c r="T294" i="32"/>
  <c r="S294" i="32"/>
  <c r="R294" i="32"/>
  <c r="Q294" i="32"/>
  <c r="T293" i="32"/>
  <c r="S293" i="32"/>
  <c r="R293" i="32"/>
  <c r="Q293" i="32"/>
  <c r="T292" i="32"/>
  <c r="S292" i="32"/>
  <c r="R292" i="32"/>
  <c r="Q292" i="32"/>
  <c r="T291" i="32"/>
  <c r="S291" i="32"/>
  <c r="R291" i="32"/>
  <c r="Q291" i="32"/>
  <c r="T290" i="32"/>
  <c r="S290" i="32"/>
  <c r="R290" i="32"/>
  <c r="Q290" i="32"/>
  <c r="T289" i="32"/>
  <c r="S289" i="32"/>
  <c r="R289" i="32"/>
  <c r="Q289" i="32"/>
  <c r="T288" i="32"/>
  <c r="S288" i="32"/>
  <c r="R288" i="32"/>
  <c r="Q288" i="32"/>
  <c r="T287" i="32"/>
  <c r="S287" i="32"/>
  <c r="R287" i="32"/>
  <c r="Q287" i="32"/>
  <c r="T286" i="32"/>
  <c r="S286" i="32"/>
  <c r="R286" i="32"/>
  <c r="Q286" i="32"/>
  <c r="T285" i="32"/>
  <c r="S285" i="32"/>
  <c r="R285" i="32"/>
  <c r="Q285" i="32"/>
  <c r="T284" i="32"/>
  <c r="S284" i="32"/>
  <c r="R284" i="32"/>
  <c r="Q284" i="32"/>
  <c r="T283" i="32"/>
  <c r="S283" i="32"/>
  <c r="R283" i="32"/>
  <c r="Q283" i="32"/>
  <c r="T282" i="32"/>
  <c r="S282" i="32"/>
  <c r="R282" i="32"/>
  <c r="Q282" i="32"/>
  <c r="T281" i="32"/>
  <c r="S281" i="32"/>
  <c r="R281" i="32"/>
  <c r="Q281" i="32"/>
  <c r="T280" i="32"/>
  <c r="S280" i="32"/>
  <c r="R280" i="32"/>
  <c r="Q280" i="32"/>
  <c r="T279" i="32"/>
  <c r="S279" i="32"/>
  <c r="R279" i="32"/>
  <c r="Q279" i="32"/>
  <c r="T278" i="32"/>
  <c r="S278" i="32"/>
  <c r="R278" i="32"/>
  <c r="Q278" i="32"/>
  <c r="T277" i="32"/>
  <c r="S277" i="32"/>
  <c r="R277" i="32"/>
  <c r="Q277" i="32"/>
  <c r="T276" i="32"/>
  <c r="S276" i="32"/>
  <c r="R276" i="32"/>
  <c r="Q276" i="32"/>
  <c r="T275" i="32"/>
  <c r="S275" i="32"/>
  <c r="R275" i="32"/>
  <c r="Q275" i="32"/>
  <c r="T274" i="32"/>
  <c r="S274" i="32"/>
  <c r="R274" i="32"/>
  <c r="Q274" i="32"/>
  <c r="T273" i="32"/>
  <c r="S273" i="32"/>
  <c r="R273" i="32"/>
  <c r="Q273" i="32"/>
  <c r="T272" i="32"/>
  <c r="S272" i="32"/>
  <c r="R272" i="32"/>
  <c r="Q272" i="32"/>
  <c r="T271" i="32"/>
  <c r="S271" i="32"/>
  <c r="R271" i="32"/>
  <c r="Q271" i="32"/>
  <c r="T270" i="32"/>
  <c r="S270" i="32"/>
  <c r="R270" i="32"/>
  <c r="Q270" i="32"/>
  <c r="T269" i="32"/>
  <c r="S269" i="32"/>
  <c r="R269" i="32"/>
  <c r="Q269" i="32"/>
  <c r="T268" i="32"/>
  <c r="S268" i="32"/>
  <c r="R268" i="32"/>
  <c r="Q268" i="32"/>
  <c r="T267" i="32"/>
  <c r="S267" i="32"/>
  <c r="R267" i="32"/>
  <c r="Q267" i="32"/>
  <c r="T266" i="32"/>
  <c r="S266" i="32"/>
  <c r="R266" i="32"/>
  <c r="Q266" i="32"/>
  <c r="T265" i="32"/>
  <c r="S265" i="32"/>
  <c r="R265" i="32"/>
  <c r="Q265" i="32"/>
  <c r="T264" i="32"/>
  <c r="S264" i="32"/>
  <c r="R264" i="32"/>
  <c r="Q264" i="32"/>
  <c r="T263" i="32"/>
  <c r="S263" i="32"/>
  <c r="R263" i="32"/>
  <c r="Q263" i="32"/>
  <c r="T262" i="32"/>
  <c r="S262" i="32"/>
  <c r="R262" i="32"/>
  <c r="Q262" i="32"/>
  <c r="T261" i="32"/>
  <c r="S261" i="32"/>
  <c r="R261" i="32"/>
  <c r="Q261" i="32"/>
  <c r="T260" i="32"/>
  <c r="S260" i="32"/>
  <c r="R260" i="32"/>
  <c r="Q260" i="32"/>
  <c r="T259" i="32"/>
  <c r="S259" i="32"/>
  <c r="R259" i="32"/>
  <c r="Q259" i="32"/>
  <c r="T258" i="32"/>
  <c r="S258" i="32"/>
  <c r="R258" i="32"/>
  <c r="Q258" i="32"/>
  <c r="T257" i="32"/>
  <c r="S257" i="32"/>
  <c r="R257" i="32"/>
  <c r="Q257" i="32"/>
  <c r="T256" i="32"/>
  <c r="S256" i="32"/>
  <c r="R256" i="32"/>
  <c r="Q256" i="32"/>
  <c r="T255" i="32"/>
  <c r="S255" i="32"/>
  <c r="R255" i="32"/>
  <c r="Q255" i="32"/>
  <c r="T254" i="32"/>
  <c r="S254" i="32"/>
  <c r="R254" i="32"/>
  <c r="Q254" i="32"/>
  <c r="T253" i="32"/>
  <c r="S253" i="32"/>
  <c r="R253" i="32"/>
  <c r="Q253" i="32"/>
  <c r="T252" i="32"/>
  <c r="S252" i="32"/>
  <c r="R252" i="32"/>
  <c r="Q252" i="32"/>
  <c r="T251" i="32"/>
  <c r="S251" i="32"/>
  <c r="R251" i="32"/>
  <c r="Q251" i="32"/>
  <c r="T250" i="32"/>
  <c r="S250" i="32"/>
  <c r="R250" i="32"/>
  <c r="Q250" i="32"/>
  <c r="T249" i="32"/>
  <c r="S249" i="32"/>
  <c r="R249" i="32"/>
  <c r="Q249" i="32"/>
  <c r="T248" i="32"/>
  <c r="S248" i="32"/>
  <c r="R248" i="32"/>
  <c r="Q248" i="32"/>
  <c r="T247" i="32"/>
  <c r="S247" i="32"/>
  <c r="R247" i="32"/>
  <c r="Q247" i="32"/>
  <c r="T246" i="32"/>
  <c r="S246" i="32"/>
  <c r="R246" i="32"/>
  <c r="Q246" i="32"/>
  <c r="T245" i="32"/>
  <c r="S245" i="32"/>
  <c r="R245" i="32"/>
  <c r="Q245" i="32"/>
  <c r="T244" i="32"/>
  <c r="S244" i="32"/>
  <c r="R244" i="32"/>
  <c r="Q244" i="32"/>
  <c r="T243" i="32"/>
  <c r="S243" i="32"/>
  <c r="R243" i="32"/>
  <c r="Q243" i="32"/>
  <c r="T242" i="32"/>
  <c r="S242" i="32"/>
  <c r="R242" i="32"/>
  <c r="Q242" i="32"/>
  <c r="T241" i="32"/>
  <c r="S241" i="32"/>
  <c r="R241" i="32"/>
  <c r="Q241" i="32"/>
  <c r="T240" i="32"/>
  <c r="S240" i="32"/>
  <c r="R240" i="32"/>
  <c r="Q240" i="32"/>
  <c r="T239" i="32"/>
  <c r="S239" i="32"/>
  <c r="R239" i="32"/>
  <c r="Q239" i="32"/>
  <c r="T238" i="32"/>
  <c r="S238" i="32"/>
  <c r="R238" i="32"/>
  <c r="Q238" i="32"/>
  <c r="T237" i="32"/>
  <c r="S237" i="32"/>
  <c r="R237" i="32"/>
  <c r="Q237" i="32"/>
  <c r="T236" i="32"/>
  <c r="S236" i="32"/>
  <c r="R236" i="32"/>
  <c r="Q236" i="32"/>
  <c r="T235" i="32"/>
  <c r="S235" i="32"/>
  <c r="R235" i="32"/>
  <c r="Q235" i="32"/>
  <c r="T234" i="32"/>
  <c r="S234" i="32"/>
  <c r="R234" i="32"/>
  <c r="Q234" i="32"/>
  <c r="T233" i="32"/>
  <c r="S233" i="32"/>
  <c r="R233" i="32"/>
  <c r="Q233" i="32"/>
  <c r="T232" i="32"/>
  <c r="S232" i="32"/>
  <c r="R232" i="32"/>
  <c r="Q232" i="32"/>
  <c r="T231" i="32"/>
  <c r="S231" i="32"/>
  <c r="R231" i="32"/>
  <c r="Q231" i="32"/>
  <c r="T230" i="32"/>
  <c r="S230" i="32"/>
  <c r="R230" i="32"/>
  <c r="Q230" i="32"/>
  <c r="T229" i="32"/>
  <c r="S229" i="32"/>
  <c r="R229" i="32"/>
  <c r="Q229" i="32"/>
  <c r="T228" i="32"/>
  <c r="S228" i="32"/>
  <c r="R228" i="32"/>
  <c r="Q228" i="32"/>
  <c r="T227" i="32"/>
  <c r="S227" i="32"/>
  <c r="R227" i="32"/>
  <c r="Q227" i="32"/>
  <c r="T226" i="32"/>
  <c r="S226" i="32"/>
  <c r="R226" i="32"/>
  <c r="Q226" i="32"/>
  <c r="T225" i="32"/>
  <c r="S225" i="32"/>
  <c r="R225" i="32"/>
  <c r="Q225" i="32"/>
  <c r="T224" i="32"/>
  <c r="S224" i="32"/>
  <c r="R224" i="32"/>
  <c r="Q224" i="32"/>
  <c r="T223" i="32"/>
  <c r="S223" i="32"/>
  <c r="R223" i="32"/>
  <c r="Q223" i="32"/>
  <c r="T222" i="32"/>
  <c r="S222" i="32"/>
  <c r="R222" i="32"/>
  <c r="Q222" i="32"/>
  <c r="T221" i="32"/>
  <c r="S221" i="32"/>
  <c r="R221" i="32"/>
  <c r="Q221" i="32"/>
  <c r="T220" i="32"/>
  <c r="S220" i="32"/>
  <c r="R220" i="32"/>
  <c r="Q220" i="32"/>
  <c r="T219" i="32"/>
  <c r="S219" i="32"/>
  <c r="R219" i="32"/>
  <c r="Q219" i="32"/>
  <c r="T218" i="32"/>
  <c r="S218" i="32"/>
  <c r="R218" i="32"/>
  <c r="Q218" i="32"/>
  <c r="T217" i="32"/>
  <c r="S217" i="32"/>
  <c r="R217" i="32"/>
  <c r="Q217" i="32"/>
  <c r="T215" i="32"/>
  <c r="S215" i="32"/>
  <c r="R215" i="32"/>
  <c r="Q215" i="32"/>
  <c r="T214" i="32"/>
  <c r="S214" i="32"/>
  <c r="R214" i="32"/>
  <c r="Q214" i="32"/>
  <c r="T213" i="32"/>
  <c r="S213" i="32"/>
  <c r="R213" i="32"/>
  <c r="Q213" i="32"/>
  <c r="T212" i="32"/>
  <c r="S212" i="32"/>
  <c r="R212" i="32"/>
  <c r="Q212" i="32"/>
  <c r="T211" i="32"/>
  <c r="S211" i="32"/>
  <c r="R211" i="32"/>
  <c r="Q211" i="32"/>
  <c r="T210" i="32"/>
  <c r="S210" i="32"/>
  <c r="R210" i="32"/>
  <c r="Q210" i="32"/>
  <c r="T209" i="32"/>
  <c r="S209" i="32"/>
  <c r="R209" i="32"/>
  <c r="Q209" i="32"/>
  <c r="T208" i="32"/>
  <c r="S208" i="32"/>
  <c r="R208" i="32"/>
  <c r="Q208" i="32"/>
  <c r="T207" i="32"/>
  <c r="S207" i="32"/>
  <c r="R207" i="32"/>
  <c r="Q207" i="32"/>
  <c r="T206" i="32"/>
  <c r="S206" i="32"/>
  <c r="R206" i="32"/>
  <c r="Q206" i="32"/>
  <c r="T205" i="32"/>
  <c r="S205" i="32"/>
  <c r="R205" i="32"/>
  <c r="Q205" i="32"/>
  <c r="T204" i="32"/>
  <c r="S204" i="32"/>
  <c r="R204" i="32"/>
  <c r="Q204" i="32"/>
  <c r="T203" i="32"/>
  <c r="S203" i="32"/>
  <c r="R203" i="32"/>
  <c r="Q203" i="32"/>
  <c r="T202" i="32"/>
  <c r="S202" i="32"/>
  <c r="R202" i="32"/>
  <c r="Q202" i="32"/>
  <c r="T201" i="32"/>
  <c r="S201" i="32"/>
  <c r="R201" i="32"/>
  <c r="Q201" i="32"/>
  <c r="T200" i="32"/>
  <c r="S200" i="32"/>
  <c r="R200" i="32"/>
  <c r="Q200" i="32"/>
  <c r="T199" i="32"/>
  <c r="S199" i="32"/>
  <c r="R199" i="32"/>
  <c r="Q199" i="32"/>
  <c r="T198" i="32"/>
  <c r="S198" i="32"/>
  <c r="R198" i="32"/>
  <c r="Q198" i="32"/>
  <c r="T197" i="32"/>
  <c r="S197" i="32"/>
  <c r="R197" i="32"/>
  <c r="Q197" i="32"/>
  <c r="T196" i="32"/>
  <c r="S196" i="32"/>
  <c r="R196" i="32"/>
  <c r="Q196" i="32"/>
  <c r="T195" i="32"/>
  <c r="S195" i="32"/>
  <c r="R195" i="32"/>
  <c r="Q195" i="32"/>
  <c r="T194" i="32"/>
  <c r="S194" i="32"/>
  <c r="R194" i="32"/>
  <c r="Q194" i="32"/>
  <c r="T193" i="32"/>
  <c r="S193" i="32"/>
  <c r="R193" i="32"/>
  <c r="Q193" i="32"/>
  <c r="T192" i="32"/>
  <c r="S192" i="32"/>
  <c r="R192" i="32"/>
  <c r="Q192" i="32"/>
  <c r="T191" i="32"/>
  <c r="S191" i="32"/>
  <c r="R191" i="32"/>
  <c r="Q191" i="32"/>
  <c r="T190" i="32"/>
  <c r="S190" i="32"/>
  <c r="R190" i="32"/>
  <c r="Q190" i="32"/>
  <c r="T189" i="32"/>
  <c r="S189" i="32"/>
  <c r="R189" i="32"/>
  <c r="Q189" i="32"/>
  <c r="T188" i="32"/>
  <c r="S188" i="32"/>
  <c r="R188" i="32"/>
  <c r="Q188" i="32"/>
  <c r="T187" i="32"/>
  <c r="S187" i="32"/>
  <c r="R187" i="32"/>
  <c r="Q187" i="32"/>
  <c r="T186" i="32"/>
  <c r="S186" i="32"/>
  <c r="R186" i="32"/>
  <c r="Q186" i="32"/>
  <c r="T185" i="32"/>
  <c r="S185" i="32"/>
  <c r="R185" i="32"/>
  <c r="Q185" i="32"/>
  <c r="T184" i="32"/>
  <c r="S184" i="32"/>
  <c r="R184" i="32"/>
  <c r="Q184" i="32"/>
  <c r="T183" i="32"/>
  <c r="S183" i="32"/>
  <c r="R183" i="32"/>
  <c r="Q183" i="32"/>
  <c r="T182" i="32"/>
  <c r="S182" i="32"/>
  <c r="R182" i="32"/>
  <c r="Q182" i="32"/>
  <c r="T181" i="32"/>
  <c r="S181" i="32"/>
  <c r="R181" i="32"/>
  <c r="Q181" i="32"/>
  <c r="T180" i="32"/>
  <c r="S180" i="32"/>
  <c r="R180" i="32"/>
  <c r="Q180" i="32"/>
  <c r="T179" i="32"/>
  <c r="S179" i="32"/>
  <c r="R179" i="32"/>
  <c r="Q179" i="32"/>
  <c r="T178" i="32"/>
  <c r="S178" i="32"/>
  <c r="R178" i="32"/>
  <c r="Q178" i="32"/>
  <c r="T177" i="32"/>
  <c r="S177" i="32"/>
  <c r="R177" i="32"/>
  <c r="Q177" i="32"/>
  <c r="T176" i="32"/>
  <c r="S176" i="32"/>
  <c r="R176" i="32"/>
  <c r="Q176" i="32"/>
  <c r="T175" i="32"/>
  <c r="S175" i="32"/>
  <c r="R175" i="32"/>
  <c r="Q175" i="32"/>
  <c r="T174" i="32"/>
  <c r="S174" i="32"/>
  <c r="R174" i="32"/>
  <c r="Q174" i="32"/>
  <c r="T173" i="32"/>
  <c r="S173" i="32"/>
  <c r="R173" i="32"/>
  <c r="Q173" i="32"/>
  <c r="T172" i="32"/>
  <c r="S172" i="32"/>
  <c r="R172" i="32"/>
  <c r="Q172" i="32"/>
  <c r="T171" i="32"/>
  <c r="S171" i="32"/>
  <c r="R171" i="32"/>
  <c r="Q171" i="32"/>
  <c r="T170" i="32"/>
  <c r="S170" i="32"/>
  <c r="R170" i="32"/>
  <c r="Q170" i="32"/>
  <c r="T169" i="32"/>
  <c r="S169" i="32"/>
  <c r="R169" i="32"/>
  <c r="Q169" i="32"/>
  <c r="T168" i="32"/>
  <c r="S168" i="32"/>
  <c r="R168" i="32"/>
  <c r="Q168" i="32"/>
  <c r="T167" i="32"/>
  <c r="S167" i="32"/>
  <c r="R167" i="32"/>
  <c r="Q167" i="32"/>
  <c r="T166" i="32"/>
  <c r="S166" i="32"/>
  <c r="R166" i="32"/>
  <c r="Q166" i="32"/>
  <c r="T165" i="32"/>
  <c r="S165" i="32"/>
  <c r="R165" i="32"/>
  <c r="Q165" i="32"/>
  <c r="T164" i="32"/>
  <c r="S164" i="32"/>
  <c r="R164" i="32"/>
  <c r="Q164" i="32"/>
  <c r="T163" i="32"/>
  <c r="S163" i="32"/>
  <c r="R163" i="32"/>
  <c r="Q163" i="32"/>
  <c r="T162" i="32"/>
  <c r="S162" i="32"/>
  <c r="R162" i="32"/>
  <c r="Q162" i="32"/>
  <c r="T161" i="32"/>
  <c r="S161" i="32"/>
  <c r="R161" i="32"/>
  <c r="Q161" i="32"/>
  <c r="T160" i="32"/>
  <c r="S160" i="32"/>
  <c r="R160" i="32"/>
  <c r="Q160" i="32"/>
  <c r="T159" i="32"/>
  <c r="S159" i="32"/>
  <c r="R159" i="32"/>
  <c r="Q159" i="32"/>
  <c r="T158" i="32"/>
  <c r="S158" i="32"/>
  <c r="R158" i="32"/>
  <c r="Q158" i="32"/>
  <c r="T157" i="32"/>
  <c r="S157" i="32"/>
  <c r="R157" i="32"/>
  <c r="Q157" i="32"/>
  <c r="T156" i="32"/>
  <c r="S156" i="32"/>
  <c r="R156" i="32"/>
  <c r="Q156" i="32"/>
  <c r="T155" i="32"/>
  <c r="S155" i="32"/>
  <c r="R155" i="32"/>
  <c r="Q155" i="32"/>
  <c r="T154" i="32"/>
  <c r="S154" i="32"/>
  <c r="R154" i="32"/>
  <c r="Q154" i="32"/>
  <c r="T153" i="32"/>
  <c r="S153" i="32"/>
  <c r="R153" i="32"/>
  <c r="Q153" i="32"/>
  <c r="T152" i="32"/>
  <c r="S152" i="32"/>
  <c r="R152" i="32"/>
  <c r="Q152" i="32"/>
  <c r="T151" i="32"/>
  <c r="S151" i="32"/>
  <c r="R151" i="32"/>
  <c r="Q151" i="32"/>
  <c r="T150" i="32"/>
  <c r="S150" i="32"/>
  <c r="R150" i="32"/>
  <c r="Q150" i="32"/>
  <c r="T149" i="32"/>
  <c r="S149" i="32"/>
  <c r="R149" i="32"/>
  <c r="Q149" i="32"/>
  <c r="T148" i="32"/>
  <c r="S148" i="32"/>
  <c r="R148" i="32"/>
  <c r="Q148" i="32"/>
  <c r="T147" i="32"/>
  <c r="S147" i="32"/>
  <c r="R147" i="32"/>
  <c r="Q147" i="32"/>
  <c r="T146" i="32"/>
  <c r="S146" i="32"/>
  <c r="R146" i="32"/>
  <c r="Q146" i="32"/>
  <c r="T145" i="32"/>
  <c r="S145" i="32"/>
  <c r="R145" i="32"/>
  <c r="Q145" i="32"/>
  <c r="T144" i="32"/>
  <c r="S144" i="32"/>
  <c r="R144" i="32"/>
  <c r="Q144" i="32"/>
  <c r="T143" i="32"/>
  <c r="S143" i="32"/>
  <c r="R143" i="32"/>
  <c r="Q143" i="32"/>
  <c r="T142" i="32"/>
  <c r="S142" i="32"/>
  <c r="R142" i="32"/>
  <c r="Q142" i="32"/>
  <c r="T141" i="32"/>
  <c r="S141" i="32"/>
  <c r="R141" i="32"/>
  <c r="Q141" i="32"/>
  <c r="T140" i="32"/>
  <c r="S140" i="32"/>
  <c r="R140" i="32"/>
  <c r="Q140" i="32"/>
  <c r="T139" i="32"/>
  <c r="S139" i="32"/>
  <c r="R139" i="32"/>
  <c r="Q139" i="32"/>
  <c r="T138" i="32"/>
  <c r="S138" i="32"/>
  <c r="R138" i="32"/>
  <c r="Q138" i="32"/>
  <c r="T137" i="32"/>
  <c r="S137" i="32"/>
  <c r="R137" i="32"/>
  <c r="Q137" i="32"/>
  <c r="T136" i="32"/>
  <c r="S136" i="32"/>
  <c r="R136" i="32"/>
  <c r="Q136" i="32"/>
  <c r="T135" i="32"/>
  <c r="S135" i="32"/>
  <c r="R135" i="32"/>
  <c r="Q135" i="32"/>
  <c r="T134" i="32"/>
  <c r="S134" i="32"/>
  <c r="R134" i="32"/>
  <c r="Q134" i="32"/>
  <c r="T133" i="32"/>
  <c r="S133" i="32"/>
  <c r="R133" i="32"/>
  <c r="Q133" i="32"/>
  <c r="T132" i="32"/>
  <c r="S132" i="32"/>
  <c r="R132" i="32"/>
  <c r="Q132" i="32"/>
  <c r="T131" i="32"/>
  <c r="S131" i="32"/>
  <c r="R131" i="32"/>
  <c r="Q131" i="32"/>
  <c r="T130" i="32"/>
  <c r="S130" i="32"/>
  <c r="R130" i="32"/>
  <c r="Q130" i="32"/>
  <c r="T129" i="32"/>
  <c r="S129" i="32"/>
  <c r="R129" i="32"/>
  <c r="Q129" i="32"/>
  <c r="T128" i="32"/>
  <c r="S128" i="32"/>
  <c r="R128" i="32"/>
  <c r="Q128" i="32"/>
  <c r="T127" i="32"/>
  <c r="S127" i="32"/>
  <c r="R127" i="32"/>
  <c r="Q127" i="32"/>
  <c r="T126" i="32"/>
  <c r="S126" i="32"/>
  <c r="R126" i="32"/>
  <c r="Q126" i="32"/>
  <c r="T125" i="32"/>
  <c r="S125" i="32"/>
  <c r="R125" i="32"/>
  <c r="Q125" i="32"/>
  <c r="T124" i="32"/>
  <c r="S124" i="32"/>
  <c r="R124" i="32"/>
  <c r="Q124" i="32"/>
  <c r="T123" i="32"/>
  <c r="S123" i="32"/>
  <c r="R123" i="32"/>
  <c r="Q123" i="32"/>
  <c r="T122" i="32"/>
  <c r="S122" i="32"/>
  <c r="R122" i="32"/>
  <c r="Q122" i="32"/>
  <c r="T121" i="32"/>
  <c r="S121" i="32"/>
  <c r="R121" i="32"/>
  <c r="Q121" i="32"/>
  <c r="T120" i="32"/>
  <c r="S120" i="32"/>
  <c r="R120" i="32"/>
  <c r="Q120" i="32"/>
  <c r="T119" i="32"/>
  <c r="S119" i="32"/>
  <c r="R119" i="32"/>
  <c r="Q119" i="32"/>
  <c r="T118" i="32"/>
  <c r="S118" i="32"/>
  <c r="R118" i="32"/>
  <c r="Q118" i="32"/>
  <c r="T117" i="32"/>
  <c r="S117" i="32"/>
  <c r="R117" i="32"/>
  <c r="Q117" i="32"/>
  <c r="T116" i="32"/>
  <c r="S116" i="32"/>
  <c r="R116" i="32"/>
  <c r="Q116" i="32"/>
  <c r="T115" i="32"/>
  <c r="S115" i="32"/>
  <c r="R115" i="32"/>
  <c r="Q115" i="32"/>
  <c r="T114" i="32"/>
  <c r="S114" i="32"/>
  <c r="R114" i="32"/>
  <c r="Q114" i="32"/>
  <c r="T113" i="32"/>
  <c r="S113" i="32"/>
  <c r="R113" i="32"/>
  <c r="Q113" i="32"/>
  <c r="T112" i="32"/>
  <c r="S112" i="32"/>
  <c r="R112" i="32"/>
  <c r="Q112" i="32"/>
  <c r="T111" i="32"/>
  <c r="S111" i="32"/>
  <c r="R111" i="32"/>
  <c r="Q111" i="32"/>
  <c r="T110" i="32"/>
  <c r="S110" i="32"/>
  <c r="R110" i="32"/>
  <c r="Q110" i="32"/>
  <c r="T109" i="32"/>
  <c r="S109" i="32"/>
  <c r="R109" i="32"/>
  <c r="Q109" i="32"/>
  <c r="T108" i="32"/>
  <c r="S108" i="32"/>
  <c r="R108" i="32"/>
  <c r="Q108" i="32"/>
  <c r="T107" i="32"/>
  <c r="S107" i="32"/>
  <c r="R107" i="32"/>
  <c r="Q107" i="32"/>
  <c r="T106" i="32"/>
  <c r="S106" i="32"/>
  <c r="R106" i="32"/>
  <c r="Q106" i="32"/>
  <c r="T105" i="32"/>
  <c r="S105" i="32"/>
  <c r="R105" i="32"/>
  <c r="Q105" i="32"/>
  <c r="T104" i="32"/>
  <c r="S104" i="32"/>
  <c r="R104" i="32"/>
  <c r="Q104" i="32"/>
  <c r="T103" i="32"/>
  <c r="S103" i="32"/>
  <c r="R103" i="32"/>
  <c r="Q103" i="32"/>
  <c r="T102" i="32"/>
  <c r="S102" i="32"/>
  <c r="R102" i="32"/>
  <c r="Q102" i="32"/>
  <c r="T101" i="32"/>
  <c r="S101" i="32"/>
  <c r="R101" i="32"/>
  <c r="Q101" i="32"/>
  <c r="T100" i="32"/>
  <c r="S100" i="32"/>
  <c r="R100" i="32"/>
  <c r="Q100" i="32"/>
  <c r="T99" i="32"/>
  <c r="S99" i="32"/>
  <c r="R99" i="32"/>
  <c r="Q99" i="32"/>
  <c r="T98" i="32"/>
  <c r="S98" i="32"/>
  <c r="R98" i="32"/>
  <c r="Q98" i="32"/>
  <c r="T97" i="32"/>
  <c r="S97" i="32"/>
  <c r="R97" i="32"/>
  <c r="Q97" i="32"/>
  <c r="T96" i="32"/>
  <c r="S96" i="32"/>
  <c r="R96" i="32"/>
  <c r="Q96" i="32"/>
  <c r="T95" i="32"/>
  <c r="S95" i="32"/>
  <c r="R95" i="32"/>
  <c r="Q95" i="32"/>
  <c r="T94" i="32"/>
  <c r="S94" i="32"/>
  <c r="R94" i="32"/>
  <c r="Q94" i="32"/>
  <c r="T93" i="32"/>
  <c r="S93" i="32"/>
  <c r="R93" i="32"/>
  <c r="Q93" i="32"/>
  <c r="T92" i="32"/>
  <c r="S92" i="32"/>
  <c r="R92" i="32"/>
  <c r="Q92" i="32"/>
  <c r="T91" i="32"/>
  <c r="S91" i="32"/>
  <c r="R91" i="32"/>
  <c r="Q91" i="32"/>
  <c r="T90" i="32"/>
  <c r="S90" i="32"/>
  <c r="R90" i="32"/>
  <c r="Q90" i="32"/>
  <c r="T89" i="32"/>
  <c r="S89" i="32"/>
  <c r="R89" i="32"/>
  <c r="Q89" i="32"/>
  <c r="T88" i="32"/>
  <c r="S88" i="32"/>
  <c r="R88" i="32"/>
  <c r="Q88" i="32"/>
  <c r="T87" i="32"/>
  <c r="S87" i="32"/>
  <c r="R87" i="32"/>
  <c r="Q87" i="32"/>
  <c r="T86" i="32"/>
  <c r="S86" i="32"/>
  <c r="R86" i="32"/>
  <c r="Q86" i="32"/>
  <c r="T85" i="32"/>
  <c r="S85" i="32"/>
  <c r="R85" i="32"/>
  <c r="Q85" i="32"/>
  <c r="T84" i="32"/>
  <c r="S84" i="32"/>
  <c r="R84" i="32"/>
  <c r="Q84" i="32"/>
  <c r="T83" i="32"/>
  <c r="S83" i="32"/>
  <c r="R83" i="32"/>
  <c r="Q83" i="32"/>
  <c r="T82" i="32"/>
  <c r="S82" i="32"/>
  <c r="R82" i="32"/>
  <c r="Q82" i="32"/>
  <c r="T81" i="32"/>
  <c r="S81" i="32"/>
  <c r="R81" i="32"/>
  <c r="Q81" i="32"/>
  <c r="T80" i="32"/>
  <c r="S80" i="32"/>
  <c r="R80" i="32"/>
  <c r="Q80" i="32"/>
  <c r="T79" i="32"/>
  <c r="S79" i="32"/>
  <c r="R79" i="32"/>
  <c r="Q79" i="32"/>
  <c r="T78" i="32"/>
  <c r="S78" i="32"/>
  <c r="R78" i="32"/>
  <c r="Q78" i="32"/>
  <c r="T77" i="32"/>
  <c r="S77" i="32"/>
  <c r="R77" i="32"/>
  <c r="Q77" i="32"/>
  <c r="T76" i="32"/>
  <c r="S76" i="32"/>
  <c r="R76" i="32"/>
  <c r="Q76" i="32"/>
  <c r="T75" i="32"/>
  <c r="S75" i="32"/>
  <c r="R75" i="32"/>
  <c r="Q75" i="32"/>
  <c r="T74" i="32"/>
  <c r="S74" i="32"/>
  <c r="R74" i="32"/>
  <c r="Q74" i="32"/>
  <c r="T73" i="32"/>
  <c r="S73" i="32"/>
  <c r="R73" i="32"/>
  <c r="Q73" i="32"/>
  <c r="T72" i="32"/>
  <c r="S72" i="32"/>
  <c r="R72" i="32"/>
  <c r="Q72" i="32"/>
  <c r="T71" i="32"/>
  <c r="S71" i="32"/>
  <c r="R71" i="32"/>
  <c r="Q71" i="32"/>
  <c r="T70" i="32"/>
  <c r="S70" i="32"/>
  <c r="R70" i="32"/>
  <c r="Q70" i="32"/>
  <c r="T69" i="32"/>
  <c r="S69" i="32"/>
  <c r="R69" i="32"/>
  <c r="Q69" i="32"/>
  <c r="T68" i="32"/>
  <c r="S68" i="32"/>
  <c r="R68" i="32"/>
  <c r="Q68" i="32"/>
  <c r="T67" i="32"/>
  <c r="S67" i="32"/>
  <c r="R67" i="32"/>
  <c r="Q67" i="32"/>
  <c r="T66" i="32"/>
  <c r="S66" i="32"/>
  <c r="R66" i="32"/>
  <c r="Q66" i="32"/>
  <c r="T65" i="32"/>
  <c r="S65" i="32"/>
  <c r="R65" i="32"/>
  <c r="Q65" i="32"/>
  <c r="T64" i="32"/>
  <c r="S64" i="32"/>
  <c r="R64" i="32"/>
  <c r="Q64" i="32"/>
  <c r="T63" i="32"/>
  <c r="S63" i="32"/>
  <c r="R63" i="32"/>
  <c r="Q63" i="32"/>
  <c r="T62" i="32"/>
  <c r="S62" i="32"/>
  <c r="R62" i="32"/>
  <c r="Q62" i="32"/>
  <c r="T61" i="32"/>
  <c r="S61" i="32"/>
  <c r="R61" i="32"/>
  <c r="Q61" i="32"/>
  <c r="T60" i="32"/>
  <c r="S60" i="32"/>
  <c r="R60" i="32"/>
  <c r="Q60" i="32"/>
  <c r="T59" i="32"/>
  <c r="S59" i="32"/>
  <c r="R59" i="32"/>
  <c r="Q59" i="32"/>
  <c r="T58" i="32"/>
  <c r="S58" i="32"/>
  <c r="R58" i="32"/>
  <c r="Q58" i="32"/>
  <c r="T57" i="32"/>
  <c r="S57" i="32"/>
  <c r="R57" i="32"/>
  <c r="Q57" i="32"/>
  <c r="T56" i="32"/>
  <c r="S56" i="32"/>
  <c r="R56" i="32"/>
  <c r="Q56" i="32"/>
  <c r="T55" i="32"/>
  <c r="S55" i="32"/>
  <c r="R55" i="32"/>
  <c r="Q55" i="32"/>
  <c r="T54" i="32"/>
  <c r="S54" i="32"/>
  <c r="R54" i="32"/>
  <c r="Q54" i="32"/>
  <c r="T53" i="32"/>
  <c r="S53" i="32"/>
  <c r="R53" i="32"/>
  <c r="Q53" i="32"/>
  <c r="T52" i="32"/>
  <c r="S52" i="32"/>
  <c r="R52" i="32"/>
  <c r="Q52" i="32"/>
  <c r="T51" i="32"/>
  <c r="S51" i="32"/>
  <c r="R51" i="32"/>
  <c r="Q51" i="32"/>
  <c r="T50" i="32"/>
  <c r="S50" i="32"/>
  <c r="R50" i="32"/>
  <c r="Q50" i="32"/>
  <c r="T49" i="32"/>
  <c r="S49" i="32"/>
  <c r="R49" i="32"/>
  <c r="Q49" i="32"/>
  <c r="T48" i="32"/>
  <c r="S48" i="32"/>
  <c r="R48" i="32"/>
  <c r="Q48" i="32"/>
  <c r="T47" i="32"/>
  <c r="S47" i="32"/>
  <c r="R47" i="32"/>
  <c r="Q47" i="32"/>
  <c r="T46" i="32"/>
  <c r="S46" i="32"/>
  <c r="R46" i="32"/>
  <c r="Q46" i="32"/>
  <c r="T45" i="32"/>
  <c r="S45" i="32"/>
  <c r="R45" i="32"/>
  <c r="Q45" i="32"/>
  <c r="T44" i="32"/>
  <c r="S44" i="32"/>
  <c r="R44" i="32"/>
  <c r="Q44" i="32"/>
  <c r="T43" i="32"/>
  <c r="S43" i="32"/>
  <c r="R43" i="32"/>
  <c r="Q43" i="32"/>
  <c r="T42" i="32"/>
  <c r="S42" i="32"/>
  <c r="R42" i="32"/>
  <c r="Q42" i="32"/>
  <c r="T41" i="32"/>
  <c r="S41" i="32"/>
  <c r="R41" i="32"/>
  <c r="Q41" i="32"/>
  <c r="T40" i="32"/>
  <c r="S40" i="32"/>
  <c r="R40" i="32"/>
  <c r="Q40" i="32"/>
  <c r="T39" i="32"/>
  <c r="S39" i="32"/>
  <c r="R39" i="32"/>
  <c r="Q39" i="32"/>
  <c r="T38" i="32"/>
  <c r="S38" i="32"/>
  <c r="R38" i="32"/>
  <c r="Q38" i="32"/>
  <c r="T37" i="32"/>
  <c r="S37" i="32"/>
  <c r="R37" i="32"/>
  <c r="Q37" i="32"/>
  <c r="T36" i="32"/>
  <c r="S36" i="32"/>
  <c r="R36" i="32"/>
  <c r="Q36" i="32"/>
  <c r="T35" i="32"/>
  <c r="S35" i="32"/>
  <c r="R35" i="32"/>
  <c r="Q35" i="32"/>
  <c r="T34" i="32"/>
  <c r="S34" i="32"/>
  <c r="R34" i="32"/>
  <c r="Q34" i="32"/>
  <c r="T33" i="32"/>
  <c r="S33" i="32"/>
  <c r="R33" i="32"/>
  <c r="Q33" i="32"/>
  <c r="T32" i="32"/>
  <c r="S32" i="32"/>
  <c r="R32" i="32"/>
  <c r="Q32" i="32"/>
  <c r="T31" i="32"/>
  <c r="S31" i="32"/>
  <c r="R31" i="32"/>
  <c r="Q31" i="32"/>
  <c r="T30" i="32"/>
  <c r="S30" i="32"/>
  <c r="R30" i="32"/>
  <c r="Q30" i="32"/>
  <c r="T29" i="32"/>
  <c r="S29" i="32"/>
  <c r="R29" i="32"/>
  <c r="Q29" i="32"/>
  <c r="T28" i="32"/>
  <c r="S28" i="32"/>
  <c r="R28" i="32"/>
  <c r="Q28" i="32"/>
  <c r="T27" i="32"/>
  <c r="S27" i="32"/>
  <c r="R27" i="32"/>
  <c r="Q27" i="32"/>
  <c r="T26" i="32"/>
  <c r="S26" i="32"/>
  <c r="R26" i="32"/>
  <c r="Q26" i="32"/>
  <c r="T25" i="32"/>
  <c r="S25" i="32"/>
  <c r="R25" i="32"/>
  <c r="Q25" i="32"/>
  <c r="T24" i="32"/>
  <c r="S24" i="32"/>
  <c r="R24" i="32"/>
  <c r="Q24" i="32"/>
  <c r="T23" i="32"/>
  <c r="S23" i="32"/>
  <c r="R23" i="32"/>
  <c r="Q23" i="32"/>
  <c r="T22" i="32"/>
  <c r="S22" i="32"/>
  <c r="R22" i="32"/>
  <c r="Q22" i="32"/>
  <c r="T21" i="32"/>
  <c r="S21" i="32"/>
  <c r="R21" i="32"/>
  <c r="Q21" i="32"/>
  <c r="T20" i="32"/>
  <c r="S20" i="32"/>
  <c r="R20" i="32"/>
  <c r="Q20" i="32"/>
  <c r="T19" i="32"/>
  <c r="S19" i="32"/>
  <c r="R19" i="32"/>
  <c r="Q19" i="32"/>
  <c r="T18" i="32"/>
  <c r="S18" i="32"/>
  <c r="R18" i="32"/>
  <c r="Q18" i="32"/>
  <c r="T17" i="32"/>
  <c r="S17" i="32"/>
  <c r="R17" i="32"/>
  <c r="Q17" i="32"/>
  <c r="T16" i="32"/>
  <c r="S16" i="32"/>
  <c r="R16" i="32"/>
  <c r="Q16" i="32"/>
  <c r="T15" i="32"/>
  <c r="S15" i="32"/>
  <c r="R15" i="32"/>
  <c r="Q15" i="32"/>
  <c r="T14" i="32"/>
  <c r="S14" i="32"/>
  <c r="R14" i="32"/>
  <c r="Q14" i="32"/>
  <c r="T13" i="32"/>
  <c r="S13" i="32"/>
  <c r="R13" i="32"/>
  <c r="Q13" i="32"/>
  <c r="T12" i="32"/>
  <c r="S12" i="32"/>
  <c r="R12" i="32"/>
  <c r="Q12" i="32"/>
  <c r="T11" i="32"/>
  <c r="S11" i="32"/>
  <c r="R11" i="32"/>
  <c r="Q11" i="32"/>
  <c r="T10" i="32"/>
  <c r="S10" i="32"/>
  <c r="R10" i="32"/>
  <c r="Q10" i="32"/>
  <c r="T9" i="32"/>
  <c r="S9" i="32"/>
  <c r="R9" i="32"/>
  <c r="Q9" i="32"/>
  <c r="T8" i="32"/>
  <c r="S8" i="32"/>
  <c r="R8" i="32"/>
  <c r="Q8" i="32"/>
  <c r="T7" i="32"/>
  <c r="S7" i="32"/>
  <c r="R7" i="32"/>
  <c r="Q7" i="32"/>
  <c r="T6" i="32"/>
  <c r="S6" i="32"/>
  <c r="R6" i="32"/>
  <c r="Q6" i="32"/>
  <c r="S198" i="31"/>
  <c r="R198" i="31"/>
  <c r="Q198" i="31"/>
  <c r="P198" i="31"/>
  <c r="S197" i="31"/>
  <c r="R197" i="31"/>
  <c r="Q197" i="31"/>
  <c r="P197" i="31"/>
  <c r="S196" i="31"/>
  <c r="R196" i="31"/>
  <c r="Q196" i="31"/>
  <c r="P196" i="31"/>
  <c r="S195" i="31"/>
  <c r="R195" i="31"/>
  <c r="Q195" i="31"/>
  <c r="P195" i="31"/>
  <c r="S194" i="31"/>
  <c r="R194" i="31"/>
  <c r="Q194" i="31"/>
  <c r="P194" i="31"/>
  <c r="S193" i="31"/>
  <c r="R193" i="31"/>
  <c r="Q193" i="31"/>
  <c r="P193" i="31"/>
  <c r="S192" i="31"/>
  <c r="R192" i="31"/>
  <c r="Q192" i="31"/>
  <c r="P192" i="31"/>
  <c r="S191" i="31"/>
  <c r="R191" i="31"/>
  <c r="Q191" i="31"/>
  <c r="P191" i="31"/>
  <c r="S190" i="31"/>
  <c r="R190" i="31"/>
  <c r="Q190" i="31"/>
  <c r="P190" i="31"/>
  <c r="S189" i="31"/>
  <c r="R189" i="31"/>
  <c r="Q189" i="31"/>
  <c r="P189" i="31"/>
  <c r="S188" i="31"/>
  <c r="R188" i="31"/>
  <c r="Q188" i="31"/>
  <c r="P188" i="31"/>
  <c r="S187" i="31"/>
  <c r="R187" i="31"/>
  <c r="Q187" i="31"/>
  <c r="P187" i="31"/>
  <c r="S186" i="31"/>
  <c r="R186" i="31"/>
  <c r="Q186" i="31"/>
  <c r="P186" i="31"/>
  <c r="S185" i="31"/>
  <c r="R185" i="31"/>
  <c r="Q185" i="31"/>
  <c r="P185" i="31"/>
  <c r="S184" i="31"/>
  <c r="R184" i="31"/>
  <c r="Q184" i="31"/>
  <c r="P184" i="31"/>
  <c r="S183" i="31"/>
  <c r="R183" i="31"/>
  <c r="Q183" i="31"/>
  <c r="P183" i="31"/>
  <c r="S182" i="31"/>
  <c r="R182" i="31"/>
  <c r="Q182" i="31"/>
  <c r="P182" i="31"/>
  <c r="S181" i="31"/>
  <c r="R181" i="31"/>
  <c r="Q181" i="31"/>
  <c r="P181" i="31"/>
  <c r="S180" i="31"/>
  <c r="R180" i="31"/>
  <c r="Q180" i="31"/>
  <c r="P180" i="31"/>
  <c r="S179" i="31"/>
  <c r="R179" i="31"/>
  <c r="Q179" i="31"/>
  <c r="P179" i="31"/>
  <c r="S178" i="31"/>
  <c r="R178" i="31"/>
  <c r="Q178" i="31"/>
  <c r="P178" i="31"/>
  <c r="S177" i="31"/>
  <c r="R177" i="31"/>
  <c r="Q177" i="31"/>
  <c r="P177" i="31"/>
  <c r="S176" i="31"/>
  <c r="R176" i="31"/>
  <c r="Q176" i="31"/>
  <c r="P176" i="31"/>
  <c r="S175" i="31"/>
  <c r="R175" i="31"/>
  <c r="Q175" i="31"/>
  <c r="P175" i="31"/>
  <c r="S174" i="31"/>
  <c r="R174" i="31"/>
  <c r="Q174" i="31"/>
  <c r="P174" i="31"/>
  <c r="S173" i="31"/>
  <c r="R173" i="31"/>
  <c r="Q173" i="31"/>
  <c r="P173" i="31"/>
  <c r="S172" i="31"/>
  <c r="R172" i="31"/>
  <c r="Q172" i="31"/>
  <c r="P172" i="31"/>
  <c r="S171" i="31"/>
  <c r="R171" i="31"/>
  <c r="Q171" i="31"/>
  <c r="P171" i="31"/>
  <c r="S170" i="31"/>
  <c r="R170" i="31"/>
  <c r="Q170" i="31"/>
  <c r="P170" i="31"/>
  <c r="S169" i="31"/>
  <c r="R169" i="31"/>
  <c r="Q169" i="31"/>
  <c r="P169" i="31"/>
  <c r="S168" i="31"/>
  <c r="R168" i="31"/>
  <c r="Q168" i="31"/>
  <c r="P168" i="31"/>
  <c r="S167" i="31"/>
  <c r="R167" i="31"/>
  <c r="Q167" i="31"/>
  <c r="P167" i="31"/>
  <c r="S166" i="31"/>
  <c r="R166" i="31"/>
  <c r="Q166" i="31"/>
  <c r="P166" i="31"/>
  <c r="S165" i="31"/>
  <c r="R165" i="31"/>
  <c r="Q165" i="31"/>
  <c r="P165" i="31"/>
  <c r="S163" i="31"/>
  <c r="R163" i="31"/>
  <c r="Q163" i="31"/>
  <c r="P163" i="31"/>
  <c r="S162" i="31"/>
  <c r="R162" i="31"/>
  <c r="Q162" i="31"/>
  <c r="P162" i="31"/>
  <c r="S161" i="31"/>
  <c r="R161" i="31"/>
  <c r="Q161" i="31"/>
  <c r="P161" i="31"/>
  <c r="S160" i="31"/>
  <c r="R160" i="31"/>
  <c r="Q160" i="31"/>
  <c r="P160" i="31"/>
  <c r="S159" i="31"/>
  <c r="R159" i="31"/>
  <c r="Q159" i="31"/>
  <c r="P159" i="31"/>
  <c r="S158" i="31"/>
  <c r="R158" i="31"/>
  <c r="Q158" i="31"/>
  <c r="P158" i="31"/>
  <c r="S157" i="31"/>
  <c r="R157" i="31"/>
  <c r="Q157" i="31"/>
  <c r="P157" i="31"/>
  <c r="S156" i="31"/>
  <c r="R156" i="31"/>
  <c r="Q156" i="31"/>
  <c r="P156" i="31"/>
  <c r="S155" i="31"/>
  <c r="R155" i="31"/>
  <c r="Q155" i="31"/>
  <c r="P155" i="31"/>
  <c r="S154" i="31"/>
  <c r="R154" i="31"/>
  <c r="Q154" i="31"/>
  <c r="P154" i="31"/>
  <c r="S153" i="31"/>
  <c r="R153" i="31"/>
  <c r="Q153" i="31"/>
  <c r="P153" i="31"/>
  <c r="S152" i="31"/>
  <c r="R152" i="31"/>
  <c r="Q152" i="31"/>
  <c r="P152" i="31"/>
  <c r="S151" i="31"/>
  <c r="R151" i="31"/>
  <c r="Q151" i="31"/>
  <c r="P151" i="31"/>
  <c r="S150" i="31"/>
  <c r="R150" i="31"/>
  <c r="Q150" i="31"/>
  <c r="P150" i="31"/>
  <c r="S149" i="31"/>
  <c r="R149" i="31"/>
  <c r="Q149" i="31"/>
  <c r="P149" i="31"/>
  <c r="S148" i="31"/>
  <c r="R148" i="31"/>
  <c r="Q148" i="31"/>
  <c r="P148" i="31"/>
  <c r="S147" i="31"/>
  <c r="R147" i="31"/>
  <c r="Q147" i="31"/>
  <c r="P147" i="31"/>
  <c r="S146" i="31"/>
  <c r="R146" i="31"/>
  <c r="Q146" i="31"/>
  <c r="P146" i="31"/>
  <c r="S145" i="31"/>
  <c r="R145" i="31"/>
  <c r="Q145" i="31"/>
  <c r="P145" i="31"/>
  <c r="S144" i="31"/>
  <c r="R144" i="31"/>
  <c r="Q144" i="31"/>
  <c r="P144" i="31"/>
  <c r="S143" i="31"/>
  <c r="R143" i="31"/>
  <c r="Q143" i="31"/>
  <c r="P143" i="31"/>
  <c r="S142" i="31"/>
  <c r="R142" i="31"/>
  <c r="Q142" i="31"/>
  <c r="P142" i="31"/>
  <c r="S141" i="31"/>
  <c r="R141" i="31"/>
  <c r="Q141" i="31"/>
  <c r="P141" i="31"/>
  <c r="S140" i="31"/>
  <c r="R140" i="31"/>
  <c r="Q140" i="31"/>
  <c r="P140" i="31"/>
  <c r="S139" i="31"/>
  <c r="R139" i="31"/>
  <c r="Q139" i="31"/>
  <c r="P139" i="31"/>
  <c r="S138" i="31"/>
  <c r="R138" i="31"/>
  <c r="Q138" i="31"/>
  <c r="P138" i="31"/>
  <c r="S137" i="31"/>
  <c r="R137" i="31"/>
  <c r="Q137" i="31"/>
  <c r="P137" i="31"/>
  <c r="S136" i="31"/>
  <c r="R136" i="31"/>
  <c r="Q136" i="31"/>
  <c r="P136" i="31"/>
  <c r="S135" i="31"/>
  <c r="R135" i="31"/>
  <c r="Q135" i="31"/>
  <c r="P135" i="31"/>
  <c r="S134" i="31"/>
  <c r="R134" i="31"/>
  <c r="Q134" i="31"/>
  <c r="P134" i="31"/>
  <c r="S133" i="31"/>
  <c r="R133" i="31"/>
  <c r="Q133" i="31"/>
  <c r="P133" i="31"/>
  <c r="S132" i="31"/>
  <c r="R132" i="31"/>
  <c r="Q132" i="31"/>
  <c r="P132" i="31"/>
  <c r="S131" i="31"/>
  <c r="R131" i="31"/>
  <c r="Q131" i="31"/>
  <c r="P131" i="31"/>
  <c r="S130" i="31"/>
  <c r="R130" i="31"/>
  <c r="Q130" i="31"/>
  <c r="P130" i="31"/>
  <c r="S128" i="31"/>
  <c r="R128" i="31"/>
  <c r="Q128" i="31"/>
  <c r="P128" i="31"/>
  <c r="S127" i="31"/>
  <c r="R127" i="31"/>
  <c r="Q127" i="31"/>
  <c r="P127" i="31"/>
  <c r="S126" i="31"/>
  <c r="R126" i="31"/>
  <c r="Q126" i="31"/>
  <c r="P126" i="31"/>
  <c r="S125" i="31"/>
  <c r="R125" i="31"/>
  <c r="Q125" i="31"/>
  <c r="P125" i="31"/>
  <c r="S124" i="31"/>
  <c r="R124" i="31"/>
  <c r="Q124" i="31"/>
  <c r="P124" i="31"/>
  <c r="S123" i="31"/>
  <c r="R123" i="31"/>
  <c r="Q123" i="31"/>
  <c r="P123" i="31"/>
  <c r="S122" i="31"/>
  <c r="R122" i="31"/>
  <c r="Q122" i="31"/>
  <c r="P122" i="31"/>
  <c r="S121" i="31"/>
  <c r="R121" i="31"/>
  <c r="Q121" i="31"/>
  <c r="P121" i="31"/>
  <c r="S120" i="31"/>
  <c r="R120" i="31"/>
  <c r="Q120" i="31"/>
  <c r="P120" i="31"/>
  <c r="S119" i="31"/>
  <c r="R119" i="31"/>
  <c r="Q119" i="31"/>
  <c r="P119" i="31"/>
  <c r="S118" i="31"/>
  <c r="R118" i="31"/>
  <c r="Q118" i="31"/>
  <c r="P118" i="31"/>
  <c r="S117" i="31"/>
  <c r="R117" i="31"/>
  <c r="Q117" i="31"/>
  <c r="P117" i="31"/>
  <c r="S116" i="31"/>
  <c r="R116" i="31"/>
  <c r="Q116" i="31"/>
  <c r="P116" i="31"/>
  <c r="S115" i="31"/>
  <c r="R115" i="31"/>
  <c r="Q115" i="31"/>
  <c r="P115" i="31"/>
  <c r="S114" i="31"/>
  <c r="R114" i="31"/>
  <c r="Q114" i="31"/>
  <c r="P114" i="31"/>
  <c r="S113" i="31"/>
  <c r="R113" i="31"/>
  <c r="Q113" i="31"/>
  <c r="P113" i="31"/>
  <c r="S112" i="31"/>
  <c r="R112" i="31"/>
  <c r="Q112" i="31"/>
  <c r="P112" i="31"/>
  <c r="S111" i="31"/>
  <c r="R111" i="31"/>
  <c r="Q111" i="31"/>
  <c r="P111" i="31"/>
  <c r="S110" i="31"/>
  <c r="R110" i="31"/>
  <c r="Q110" i="31"/>
  <c r="P110" i="31"/>
  <c r="S109" i="31"/>
  <c r="R109" i="31"/>
  <c r="Q109" i="31"/>
  <c r="P109" i="31"/>
  <c r="S108" i="31"/>
  <c r="R108" i="31"/>
  <c r="Q108" i="31"/>
  <c r="P108" i="31"/>
  <c r="S107" i="31"/>
  <c r="R107" i="31"/>
  <c r="Q107" i="31"/>
  <c r="P107" i="31"/>
  <c r="S106" i="31"/>
  <c r="R106" i="31"/>
  <c r="Q106" i="31"/>
  <c r="P106" i="31"/>
  <c r="S105" i="31"/>
  <c r="R105" i="31"/>
  <c r="Q105" i="31"/>
  <c r="P105" i="31"/>
  <c r="S104" i="31"/>
  <c r="R104" i="31"/>
  <c r="Q104" i="31"/>
  <c r="P104" i="31"/>
  <c r="S103" i="31"/>
  <c r="R103" i="31"/>
  <c r="Q103" i="31"/>
  <c r="P103" i="31"/>
  <c r="S102" i="31"/>
  <c r="R102" i="31"/>
  <c r="Q102" i="31"/>
  <c r="P102" i="31"/>
  <c r="S101" i="31"/>
  <c r="R101" i="31"/>
  <c r="Q101" i="31"/>
  <c r="P101" i="31"/>
  <c r="S100" i="31"/>
  <c r="R100" i="31"/>
  <c r="Q100" i="31"/>
  <c r="P100" i="31"/>
  <c r="S99" i="31"/>
  <c r="R99" i="31"/>
  <c r="Q99" i="31"/>
  <c r="P99" i="31"/>
  <c r="S98" i="31"/>
  <c r="R98" i="31"/>
  <c r="Q98" i="31"/>
  <c r="P98" i="31"/>
  <c r="S97" i="31"/>
  <c r="R97" i="31"/>
  <c r="Q97" i="31"/>
  <c r="P97" i="31"/>
  <c r="S96" i="31"/>
  <c r="R96" i="31"/>
  <c r="Q96" i="31"/>
  <c r="P96" i="31"/>
  <c r="S95" i="31"/>
  <c r="R95" i="31"/>
  <c r="Q95" i="31"/>
  <c r="P95" i="31"/>
  <c r="S94" i="31"/>
  <c r="R94" i="31"/>
  <c r="Q94" i="31"/>
  <c r="P94" i="31"/>
  <c r="S93" i="31"/>
  <c r="R93" i="31"/>
  <c r="Q93" i="31"/>
  <c r="P93" i="31"/>
  <c r="S91" i="31"/>
  <c r="R91" i="31"/>
  <c r="Q91" i="31"/>
  <c r="P91" i="31"/>
  <c r="S90" i="31"/>
  <c r="R90" i="31"/>
  <c r="Q90" i="31"/>
  <c r="P90" i="31"/>
  <c r="S89" i="31"/>
  <c r="R89" i="31"/>
  <c r="Q89" i="31"/>
  <c r="P89" i="31"/>
  <c r="S88" i="31"/>
  <c r="R88" i="31"/>
  <c r="Q88" i="31"/>
  <c r="P88" i="31"/>
  <c r="S87" i="31"/>
  <c r="R87" i="31"/>
  <c r="Q87" i="31"/>
  <c r="P87" i="31"/>
  <c r="S86" i="31"/>
  <c r="R86" i="31"/>
  <c r="Q86" i="31"/>
  <c r="P86" i="31"/>
  <c r="S85" i="31"/>
  <c r="R85" i="31"/>
  <c r="Q85" i="31"/>
  <c r="P85" i="31"/>
  <c r="S84" i="31"/>
  <c r="R84" i="31"/>
  <c r="Q84" i="31"/>
  <c r="P84" i="31"/>
  <c r="S83" i="31"/>
  <c r="R83" i="31"/>
  <c r="Q83" i="31"/>
  <c r="P83" i="31"/>
  <c r="S82" i="31"/>
  <c r="R82" i="31"/>
  <c r="Q82" i="31"/>
  <c r="P82" i="31"/>
  <c r="S81" i="31"/>
  <c r="R81" i="31"/>
  <c r="Q81" i="31"/>
  <c r="P81" i="31"/>
  <c r="S80" i="31"/>
  <c r="R80" i="31"/>
  <c r="Q80" i="31"/>
  <c r="P80" i="31"/>
  <c r="S79" i="31"/>
  <c r="R79" i="31"/>
  <c r="Q79" i="31"/>
  <c r="P79" i="31"/>
  <c r="S78" i="31"/>
  <c r="R78" i="31"/>
  <c r="Q78" i="31"/>
  <c r="P78" i="31"/>
  <c r="S77" i="31"/>
  <c r="R77" i="31"/>
  <c r="Q77" i="31"/>
  <c r="P77" i="31"/>
  <c r="S76" i="31"/>
  <c r="R76" i="31"/>
  <c r="Q76" i="31"/>
  <c r="P76" i="31"/>
  <c r="S75" i="31"/>
  <c r="R75" i="31"/>
  <c r="Q75" i="31"/>
  <c r="P75" i="31"/>
  <c r="S74" i="31"/>
  <c r="R74" i="31"/>
  <c r="Q74" i="31"/>
  <c r="P74" i="31"/>
  <c r="S73" i="31"/>
  <c r="R73" i="31"/>
  <c r="Q73" i="31"/>
  <c r="P73" i="31"/>
  <c r="S72" i="31"/>
  <c r="R72" i="31"/>
  <c r="Q72" i="31"/>
  <c r="P72" i="31"/>
  <c r="S71" i="31"/>
  <c r="R71" i="31"/>
  <c r="Q71" i="31"/>
  <c r="P71" i="31"/>
  <c r="S70" i="31"/>
  <c r="R70" i="31"/>
  <c r="Q70" i="31"/>
  <c r="P70" i="31"/>
  <c r="S69" i="31"/>
  <c r="R69" i="31"/>
  <c r="Q69" i="31"/>
  <c r="P69" i="31"/>
  <c r="S68" i="31"/>
  <c r="R68" i="31"/>
  <c r="Q68" i="31"/>
  <c r="P68" i="31"/>
  <c r="S67" i="31"/>
  <c r="R67" i="31"/>
  <c r="Q67" i="31"/>
  <c r="P67" i="31"/>
  <c r="S66" i="31"/>
  <c r="R66" i="31"/>
  <c r="Q66" i="31"/>
  <c r="P66" i="31"/>
  <c r="S65" i="31"/>
  <c r="R65" i="31"/>
  <c r="Q65" i="31"/>
  <c r="P65" i="31"/>
  <c r="S64" i="31"/>
  <c r="R64" i="31"/>
  <c r="Q64" i="31"/>
  <c r="P64" i="31"/>
  <c r="S63" i="31"/>
  <c r="R63" i="31"/>
  <c r="Q63" i="31"/>
  <c r="P63" i="31"/>
  <c r="S62" i="31"/>
  <c r="R62" i="31"/>
  <c r="Q62" i="31"/>
  <c r="P62" i="31"/>
  <c r="S61" i="31"/>
  <c r="R61" i="31"/>
  <c r="Q61" i="31"/>
  <c r="P61" i="31"/>
  <c r="S60" i="31"/>
  <c r="R60" i="31"/>
  <c r="Q60" i="31"/>
  <c r="P60" i="31"/>
  <c r="S59" i="31"/>
  <c r="R59" i="31"/>
  <c r="Q59" i="31"/>
  <c r="P59" i="31"/>
  <c r="S58" i="31"/>
  <c r="R58" i="31"/>
  <c r="Q58" i="31"/>
  <c r="P58" i="31"/>
  <c r="S57" i="31"/>
  <c r="R57" i="31"/>
  <c r="Q57" i="31"/>
  <c r="P57" i="31"/>
  <c r="S56" i="31"/>
  <c r="R56" i="31"/>
  <c r="Q56" i="31"/>
  <c r="P56" i="31"/>
  <c r="S55" i="31"/>
  <c r="R55" i="31"/>
  <c r="Q55" i="31"/>
  <c r="P55" i="31"/>
  <c r="S54" i="31"/>
  <c r="R54" i="31"/>
  <c r="Q54" i="31"/>
  <c r="P54" i="31"/>
  <c r="S53" i="31"/>
  <c r="R53" i="31"/>
  <c r="Q53" i="31"/>
  <c r="P53" i="31"/>
  <c r="S52" i="31"/>
  <c r="R52" i="31"/>
  <c r="Q52" i="31"/>
  <c r="P52" i="31"/>
  <c r="S51" i="31"/>
  <c r="R51" i="31"/>
  <c r="Q51" i="31"/>
  <c r="P51" i="31"/>
  <c r="S50" i="31"/>
  <c r="R50" i="31"/>
  <c r="Q50" i="31"/>
  <c r="P50" i="31"/>
  <c r="S48" i="31"/>
  <c r="R48" i="31"/>
  <c r="Q48" i="31"/>
  <c r="P48" i="31"/>
  <c r="S47" i="31"/>
  <c r="R47" i="31"/>
  <c r="Q47" i="31"/>
  <c r="P47" i="31"/>
  <c r="S46" i="31"/>
  <c r="R46" i="31"/>
  <c r="Q46" i="31"/>
  <c r="P46" i="31"/>
  <c r="S45" i="31"/>
  <c r="R45" i="31"/>
  <c r="Q45" i="31"/>
  <c r="P45" i="31"/>
  <c r="S44" i="31"/>
  <c r="R44" i="31"/>
  <c r="Q44" i="31"/>
  <c r="P44" i="31"/>
  <c r="S43" i="31"/>
  <c r="R43" i="31"/>
  <c r="Q43" i="31"/>
  <c r="P43" i="31"/>
  <c r="S42" i="31"/>
  <c r="R42" i="31"/>
  <c r="Q42" i="31"/>
  <c r="P42" i="31"/>
  <c r="S41" i="31"/>
  <c r="R41" i="31"/>
  <c r="Q41" i="31"/>
  <c r="P41" i="31"/>
  <c r="S40" i="31"/>
  <c r="R40" i="31"/>
  <c r="Q40" i="31"/>
  <c r="P40" i="31"/>
  <c r="S39" i="31"/>
  <c r="R39" i="31"/>
  <c r="Q39" i="31"/>
  <c r="P39" i="31"/>
  <c r="S38" i="31"/>
  <c r="R38" i="31"/>
  <c r="Q38" i="31"/>
  <c r="P38" i="31"/>
  <c r="S37" i="31"/>
  <c r="R37" i="31"/>
  <c r="Q37" i="31"/>
  <c r="P37" i="31"/>
  <c r="S36" i="31"/>
  <c r="R36" i="31"/>
  <c r="Q36" i="31"/>
  <c r="P36" i="31"/>
  <c r="S35" i="31"/>
  <c r="R35" i="31"/>
  <c r="Q35" i="31"/>
  <c r="P35" i="31"/>
  <c r="S34" i="31"/>
  <c r="R34" i="31"/>
  <c r="Q34" i="31"/>
  <c r="P34" i="31"/>
  <c r="S33" i="31"/>
  <c r="R33" i="31"/>
  <c r="Q33" i="31"/>
  <c r="P33" i="31"/>
  <c r="S32" i="31"/>
  <c r="R32" i="31"/>
  <c r="Q32" i="31"/>
  <c r="P32" i="31"/>
  <c r="S31" i="31"/>
  <c r="R31" i="31"/>
  <c r="Q31" i="31"/>
  <c r="P31" i="31"/>
  <c r="S30" i="31"/>
  <c r="R30" i="31"/>
  <c r="Q30" i="31"/>
  <c r="P30" i="31"/>
  <c r="S29" i="31"/>
  <c r="R29" i="31"/>
  <c r="Q29" i="31"/>
  <c r="P29" i="31"/>
  <c r="S28" i="31"/>
  <c r="R28" i="31"/>
  <c r="Q28" i="31"/>
  <c r="P28" i="31"/>
  <c r="S27" i="31"/>
  <c r="R27" i="31"/>
  <c r="Q27" i="31"/>
  <c r="P27" i="31"/>
  <c r="S26" i="31"/>
  <c r="R26" i="31"/>
  <c r="Q26" i="31"/>
  <c r="P26" i="31"/>
  <c r="S25" i="31"/>
  <c r="R25" i="31"/>
  <c r="Q25" i="31"/>
  <c r="P25" i="31"/>
  <c r="S24" i="31"/>
  <c r="R24" i="31"/>
  <c r="Q24" i="31"/>
  <c r="P24" i="31"/>
  <c r="S23" i="31"/>
  <c r="R23" i="31"/>
  <c r="Q23" i="31"/>
  <c r="P23" i="31"/>
  <c r="S22" i="31"/>
  <c r="R22" i="31"/>
  <c r="Q22" i="31"/>
  <c r="P22" i="31"/>
  <c r="S21" i="31"/>
  <c r="R21" i="31"/>
  <c r="Q21" i="31"/>
  <c r="P21" i="31"/>
  <c r="S20" i="31"/>
  <c r="R20" i="31"/>
  <c r="Q20" i="31"/>
  <c r="P20" i="31"/>
  <c r="S19" i="31"/>
  <c r="R19" i="31"/>
  <c r="Q19" i="31"/>
  <c r="P19" i="31"/>
  <c r="S18" i="31"/>
  <c r="R18" i="31"/>
  <c r="Q18" i="31"/>
  <c r="P18" i="31"/>
  <c r="S17" i="31"/>
  <c r="R17" i="31"/>
  <c r="Q17" i="31"/>
  <c r="P17" i="31"/>
  <c r="S16" i="31"/>
  <c r="R16" i="31"/>
  <c r="Q16" i="31"/>
  <c r="P16" i="31"/>
  <c r="S15" i="31"/>
  <c r="R15" i="31"/>
  <c r="Q15" i="31"/>
  <c r="P15" i="31"/>
  <c r="S14" i="31"/>
  <c r="R14" i="31"/>
  <c r="Q14" i="31"/>
  <c r="P14" i="31"/>
  <c r="S13" i="31"/>
  <c r="R13" i="31"/>
  <c r="Q13" i="31"/>
  <c r="P13" i="31"/>
  <c r="S12" i="31"/>
  <c r="R12" i="31"/>
  <c r="Q12" i="31"/>
  <c r="P12" i="31"/>
  <c r="S11" i="31"/>
  <c r="R11" i="31"/>
  <c r="Q11" i="31"/>
  <c r="P11" i="31"/>
  <c r="S10" i="31"/>
  <c r="R10" i="31"/>
  <c r="Q10" i="31"/>
  <c r="P10" i="31"/>
  <c r="S9" i="31"/>
  <c r="R9" i="31"/>
  <c r="Q9" i="31"/>
  <c r="P9" i="31"/>
  <c r="S8" i="31"/>
  <c r="R8" i="31"/>
  <c r="Q8" i="31"/>
  <c r="P8" i="31"/>
  <c r="S7" i="31"/>
  <c r="R7" i="31"/>
  <c r="Q7" i="31"/>
  <c r="P7" i="31"/>
  <c r="S6" i="31"/>
  <c r="R6" i="31"/>
  <c r="Q6" i="31"/>
  <c r="P6" i="31"/>
  <c r="AJ17" i="34"/>
  <c r="AJ26" i="34"/>
  <c r="AD159" i="34"/>
  <c r="AG159" i="34" s="1"/>
  <c r="AJ39" i="34"/>
  <c r="AJ55" i="34"/>
  <c r="AD110" i="34"/>
  <c r="AG110" i="34" s="1"/>
  <c r="AD185" i="34"/>
  <c r="AG185" i="34" s="1"/>
  <c r="AJ187" i="34"/>
  <c r="AD77" i="34"/>
  <c r="AG77" i="34" s="1"/>
  <c r="AD86" i="34"/>
  <c r="AG86" i="34" s="1"/>
  <c r="AD72" i="34"/>
  <c r="AG72" i="34" s="1"/>
  <c r="AD164" i="34"/>
  <c r="AG164" i="34" s="1"/>
  <c r="AJ19" i="34"/>
  <c r="AJ66" i="34"/>
  <c r="AD131" i="34"/>
  <c r="AG131" i="34" s="1"/>
  <c r="AD116" i="34"/>
  <c r="AG116" i="34" s="1"/>
  <c r="AD105" i="34"/>
  <c r="AG105" i="34" s="1"/>
  <c r="AD75" i="34"/>
  <c r="AG75" i="34" s="1"/>
  <c r="AD138" i="34"/>
  <c r="AG138" i="34" s="1"/>
  <c r="AJ35" i="34"/>
  <c r="AD113" i="34"/>
  <c r="AG113" i="34" s="1"/>
  <c r="AJ169" i="34"/>
  <c r="AJ7" i="34"/>
  <c r="AD95" i="34"/>
  <c r="AG95" i="34" s="1"/>
  <c r="AD145" i="34"/>
  <c r="AG145" i="34" s="1"/>
  <c r="AD104" i="34"/>
  <c r="AG104" i="34" s="1"/>
  <c r="R176" i="34"/>
  <c r="AD120" i="34"/>
  <c r="AG120" i="34" s="1"/>
  <c r="AD140" i="34"/>
  <c r="AG140" i="34" s="1"/>
  <c r="AD157" i="34"/>
  <c r="AG157" i="34" s="1"/>
  <c r="AJ11" i="34"/>
  <c r="AD151" i="34"/>
  <c r="AG151" i="34" s="1"/>
  <c r="AD101" i="34"/>
  <c r="AG101" i="34" s="1"/>
  <c r="X206" i="34"/>
  <c r="AB206" i="34" s="1"/>
  <c r="AC206" i="34" s="1"/>
  <c r="AJ174" i="34"/>
  <c r="AD132" i="34"/>
  <c r="AG132" i="34" s="1"/>
  <c r="AJ42" i="34"/>
  <c r="AD143" i="34"/>
  <c r="AG143" i="34" s="1"/>
  <c r="X198" i="34"/>
  <c r="AB198" i="34" s="1"/>
  <c r="AC198" i="34" s="1"/>
  <c r="AD81" i="34"/>
  <c r="AG81" i="34" s="1"/>
  <c r="AD53" i="34"/>
  <c r="AG53" i="34" s="1"/>
  <c r="AD61" i="34"/>
  <c r="AG61" i="34" s="1"/>
  <c r="X190" i="34"/>
  <c r="AB190" i="34" s="1"/>
  <c r="AC190" i="34" s="1"/>
  <c r="AJ28" i="34"/>
  <c r="AD181" i="34"/>
  <c r="AG181" i="34" s="1"/>
  <c r="X192" i="34"/>
  <c r="AB192" i="34" s="1"/>
  <c r="AC192" i="34" s="1"/>
  <c r="R52" i="34"/>
  <c r="AJ9" i="34"/>
  <c r="AD213" i="34"/>
  <c r="AG213" i="34" s="1"/>
  <c r="X202" i="34"/>
  <c r="AB202" i="34" s="1"/>
  <c r="AC202" i="34" s="1"/>
  <c r="AD100" i="34"/>
  <c r="AG100" i="34" s="1"/>
  <c r="R64" i="34"/>
  <c r="R68" i="34"/>
  <c r="AJ46" i="34"/>
  <c r="AJ5" i="34"/>
  <c r="AJ67" i="34"/>
  <c r="AJ182" i="34"/>
  <c r="AD94" i="34"/>
  <c r="AG94" i="34" s="1"/>
  <c r="AJ186" i="34"/>
  <c r="AD71" i="34"/>
  <c r="AG71" i="34" s="1"/>
  <c r="AJ50" i="34"/>
  <c r="AJ165" i="34"/>
  <c r="AD117" i="34"/>
  <c r="AG117" i="34" s="1"/>
  <c r="AD88" i="34"/>
  <c r="AG88" i="34" s="1"/>
  <c r="AD118" i="34"/>
  <c r="AG118" i="34" s="1"/>
  <c r="AJ62" i="34"/>
  <c r="AJ30" i="34"/>
  <c r="AD108" i="34"/>
  <c r="AG108" i="34" s="1"/>
  <c r="AJ34" i="34"/>
  <c r="AD41" i="34"/>
  <c r="AG41" i="34" s="1"/>
  <c r="AD127" i="34"/>
  <c r="AG127" i="34" s="1"/>
  <c r="AD175" i="34"/>
  <c r="AG175" i="34" s="1"/>
  <c r="AJ16" i="34"/>
  <c r="AJ10" i="34"/>
  <c r="AD115" i="34"/>
  <c r="AG115" i="34" s="1"/>
  <c r="AJ59" i="34"/>
  <c r="AD124" i="34"/>
  <c r="AG124" i="34" s="1"/>
  <c r="AD136" i="34"/>
  <c r="AG136" i="34" s="1"/>
  <c r="AD150" i="34"/>
  <c r="AG150" i="34" s="1"/>
  <c r="AD91" i="34"/>
  <c r="AG91" i="34" s="1"/>
  <c r="AD125" i="34"/>
  <c r="AG125" i="34" s="1"/>
  <c r="X188" i="34"/>
  <c r="AB188" i="34" s="1"/>
  <c r="AD196" i="34"/>
  <c r="AG196" i="34" s="1"/>
  <c r="AD69" i="34"/>
  <c r="AG69" i="34" s="1"/>
  <c r="AD168" i="34"/>
  <c r="AG168" i="34" s="1"/>
  <c r="AD112" i="34"/>
  <c r="AG112" i="34" s="1"/>
  <c r="AD83" i="34"/>
  <c r="AG83" i="34" s="1"/>
  <c r="AJ47" i="34"/>
  <c r="AD89" i="34"/>
  <c r="AG89" i="34" s="1"/>
  <c r="AJ199" i="34"/>
  <c r="AD130" i="34"/>
  <c r="AG130" i="34" s="1"/>
  <c r="AD212" i="34"/>
  <c r="AG212" i="34" s="1"/>
  <c r="AD172" i="34"/>
  <c r="AG172" i="34" s="1"/>
  <c r="AJ160" i="34"/>
  <c r="AJ27" i="34"/>
  <c r="AD73" i="34"/>
  <c r="AG73" i="34" s="1"/>
  <c r="AD141" i="34"/>
  <c r="AG141" i="34" s="1"/>
  <c r="AD76" i="34"/>
  <c r="AG76" i="34" s="1"/>
  <c r="AD211" i="34"/>
  <c r="AG211" i="34" s="1"/>
  <c r="AD147" i="34"/>
  <c r="AG147" i="34" s="1"/>
  <c r="AJ14" i="34"/>
  <c r="R44" i="34"/>
  <c r="AD70" i="34"/>
  <c r="AG70" i="34" s="1"/>
  <c r="R180" i="34"/>
  <c r="R56" i="34"/>
  <c r="X208" i="34"/>
  <c r="AB208" i="34" s="1"/>
  <c r="AC208" i="34" s="1"/>
  <c r="AK25" i="34"/>
  <c r="AJ18" i="34"/>
  <c r="AJ33" i="34"/>
  <c r="AJ63" i="34"/>
  <c r="AD90" i="34"/>
  <c r="AG90" i="34" s="1"/>
  <c r="AJ8" i="34"/>
  <c r="AJ22" i="34"/>
  <c r="AJ24" i="34"/>
  <c r="AD103" i="34"/>
  <c r="AG103" i="34" s="1"/>
  <c r="AJ31" i="34"/>
  <c r="AJ203" i="34"/>
  <c r="AD45" i="34"/>
  <c r="AG45" i="34" s="1"/>
  <c r="AD177" i="34"/>
  <c r="AG177" i="34" s="1"/>
  <c r="AJ13" i="34"/>
  <c r="AD173" i="34"/>
  <c r="AG173" i="34" s="1"/>
  <c r="AD144" i="34"/>
  <c r="AG144" i="34" s="1"/>
  <c r="AJ25" i="34"/>
  <c r="AJ23" i="34"/>
  <c r="AD106" i="34"/>
  <c r="AG106" i="34" s="1"/>
  <c r="AD87" i="34"/>
  <c r="AG87" i="34" s="1"/>
  <c r="AD129" i="34"/>
  <c r="AG129" i="34" s="1"/>
  <c r="R205" i="34"/>
  <c r="AD122" i="34"/>
  <c r="AG122" i="34" s="1"/>
  <c r="AD79" i="34"/>
  <c r="AG79" i="34" s="1"/>
  <c r="AD183" i="34"/>
  <c r="AG183" i="34" s="1"/>
  <c r="AD149" i="34"/>
  <c r="AG149" i="34" s="1"/>
  <c r="AD137" i="34"/>
  <c r="AG137" i="34" s="1"/>
  <c r="AD155" i="34"/>
  <c r="AG155" i="34" s="1"/>
  <c r="AD163" i="34"/>
  <c r="AG163" i="34" s="1"/>
  <c r="AJ191" i="34"/>
  <c r="AD142" i="34"/>
  <c r="AG142" i="34" s="1"/>
  <c r="AD74" i="34"/>
  <c r="AG74" i="34" s="1"/>
  <c r="AD84" i="34"/>
  <c r="AG84" i="34" s="1"/>
  <c r="AD171" i="34"/>
  <c r="AG171" i="34" s="1"/>
  <c r="AD123" i="34"/>
  <c r="AG123" i="34" s="1"/>
  <c r="AD85" i="34"/>
  <c r="AG85" i="34" s="1"/>
  <c r="AJ51" i="34"/>
  <c r="AJ178" i="34"/>
  <c r="AD107" i="34"/>
  <c r="AG107" i="34" s="1"/>
  <c r="AD98" i="34"/>
  <c r="AG98" i="34" s="1"/>
  <c r="AJ195" i="34"/>
  <c r="AD210" i="34"/>
  <c r="AG210" i="34" s="1"/>
  <c r="AD194" i="34"/>
  <c r="AG194" i="34" s="1"/>
  <c r="AD96" i="34"/>
  <c r="AG96" i="34" s="1"/>
  <c r="R189" i="34"/>
  <c r="AD48" i="34"/>
  <c r="AG48" i="34" s="1"/>
  <c r="AJ15" i="34"/>
  <c r="R201" i="34"/>
  <c r="AD170" i="34"/>
  <c r="AG170" i="34" s="1"/>
  <c r="R167" i="34"/>
  <c r="AJ12" i="34"/>
  <c r="R158" i="34"/>
  <c r="R197" i="34"/>
  <c r="AK40" i="34"/>
  <c r="AJ29" i="34"/>
  <c r="AJ54" i="34"/>
  <c r="AD80" i="34"/>
  <c r="AG80" i="34" s="1"/>
  <c r="AJ6" i="34"/>
  <c r="X166" i="34"/>
  <c r="AB166" i="34" s="1"/>
  <c r="AC166" i="34" s="1"/>
  <c r="AD135" i="34"/>
  <c r="AG135" i="34" s="1"/>
  <c r="AD204" i="34"/>
  <c r="AG204" i="34" s="1"/>
  <c r="AJ20" i="34"/>
  <c r="AD126" i="34"/>
  <c r="AG126" i="34" s="1"/>
  <c r="AD102" i="34"/>
  <c r="AG102" i="34" s="1"/>
  <c r="R40" i="34"/>
  <c r="X200" i="34"/>
  <c r="AB200" i="34" s="1"/>
  <c r="AC200" i="34" s="1"/>
  <c r="J4" i="34"/>
  <c r="AD65" i="34"/>
  <c r="AG65" i="34" s="1"/>
  <c r="AJ37" i="34"/>
  <c r="AJ32" i="34"/>
  <c r="AJ156" i="34"/>
  <c r="AJ36" i="34"/>
  <c r="AD111" i="34"/>
  <c r="AD121" i="34"/>
  <c r="AJ207" i="34"/>
  <c r="AD152" i="34"/>
  <c r="AJ21" i="34"/>
  <c r="R184" i="34"/>
  <c r="AD43" i="34"/>
  <c r="AD57" i="34"/>
  <c r="AD128" i="34"/>
  <c r="K4" i="34"/>
  <c r="AJ58" i="34"/>
  <c r="L4" i="34"/>
  <c r="AD119" i="34"/>
  <c r="AD134" i="34"/>
  <c r="AD153" i="34"/>
  <c r="AD162" i="34"/>
  <c r="AD154" i="34"/>
  <c r="AD82" i="34"/>
  <c r="AD161" i="34"/>
  <c r="AD93" i="34"/>
  <c r="AD97" i="34"/>
  <c r="AD92" i="34"/>
  <c r="AD133" i="34"/>
  <c r="AH38" i="34"/>
  <c r="AJ38" i="34" s="1"/>
  <c r="R209" i="34"/>
  <c r="AH4" i="34"/>
  <c r="AD49" i="34"/>
  <c r="AD146" i="34"/>
  <c r="AD139" i="34"/>
  <c r="AJ179" i="34"/>
  <c r="AD78" i="34"/>
  <c r="AD114" i="34"/>
  <c r="R60" i="34"/>
  <c r="AD109" i="34"/>
  <c r="AD99" i="34"/>
  <c r="AD148" i="34"/>
  <c r="R193" i="34"/>
  <c r="D14" i="23"/>
  <c r="O18" i="23"/>
  <c r="I27" i="36"/>
  <c r="AL27" i="36" s="1"/>
  <c r="I28" i="36"/>
  <c r="AL28" i="36" s="1"/>
  <c r="I12" i="36"/>
  <c r="AL12" i="36" s="1"/>
  <c r="I14" i="36"/>
  <c r="AL14" i="36" s="1"/>
  <c r="I13" i="36"/>
  <c r="AL13" i="36" s="1"/>
  <c r="S10" i="36"/>
  <c r="S24" i="36"/>
  <c r="S9" i="36"/>
  <c r="S29" i="36"/>
  <c r="S15" i="36"/>
  <c r="I8" i="36"/>
  <c r="AL8" i="36" s="1"/>
  <c r="I29" i="36"/>
  <c r="AL29" i="36" s="1"/>
  <c r="I30" i="36"/>
  <c r="AL30" i="36" s="1"/>
  <c r="S8" i="36"/>
  <c r="S22" i="36"/>
  <c r="S17" i="36"/>
  <c r="I7" i="36"/>
  <c r="AL7" i="36" s="1"/>
  <c r="I19" i="36"/>
  <c r="AL19" i="36" s="1"/>
  <c r="I20" i="36"/>
  <c r="AL20" i="36" s="1"/>
  <c r="S12" i="36"/>
  <c r="S13" i="36"/>
  <c r="S27" i="36"/>
  <c r="I17" i="36"/>
  <c r="AL17" i="36" s="1"/>
  <c r="I18" i="36"/>
  <c r="AL18" i="36" s="1"/>
  <c r="I9" i="36"/>
  <c r="AL9" i="36" s="1"/>
  <c r="I25" i="36"/>
  <c r="AL25" i="36" s="1"/>
  <c r="I10" i="36"/>
  <c r="AL10" i="36" s="1"/>
  <c r="S20" i="36"/>
  <c r="S14" i="36"/>
  <c r="S25" i="36"/>
  <c r="S23" i="36"/>
  <c r="I24" i="36"/>
  <c r="AL24" i="36" s="1"/>
  <c r="I23" i="36"/>
  <c r="AL23" i="36" s="1"/>
  <c r="S28" i="36"/>
  <c r="S19" i="36"/>
  <c r="I15" i="36"/>
  <c r="AL15" i="36" s="1"/>
  <c r="I22" i="36"/>
  <c r="AL22" i="36" s="1"/>
  <c r="S18" i="36"/>
  <c r="S30" i="36"/>
  <c r="J27" i="36"/>
  <c r="N27" i="36"/>
  <c r="J28" i="36"/>
  <c r="N28" i="36"/>
  <c r="N12" i="36"/>
  <c r="J12" i="36"/>
  <c r="J14" i="36"/>
  <c r="N14" i="36"/>
  <c r="J13" i="36"/>
  <c r="N13" i="36"/>
  <c r="J8" i="36"/>
  <c r="N8" i="36"/>
  <c r="N29" i="36"/>
  <c r="J29" i="36"/>
  <c r="J30" i="36"/>
  <c r="N30" i="36"/>
  <c r="J7" i="36"/>
  <c r="N7" i="36"/>
  <c r="N19" i="36"/>
  <c r="J19" i="36"/>
  <c r="J20" i="36"/>
  <c r="N20" i="36"/>
  <c r="J17" i="36"/>
  <c r="N17" i="36"/>
  <c r="J18" i="36"/>
  <c r="N18" i="36"/>
  <c r="N9" i="36"/>
  <c r="J9" i="36"/>
  <c r="J25" i="36"/>
  <c r="N25" i="36"/>
  <c r="J10" i="36"/>
  <c r="N10" i="36"/>
  <c r="J24" i="36"/>
  <c r="N24" i="36"/>
  <c r="J23" i="36"/>
  <c r="N23" i="36"/>
  <c r="J15" i="36"/>
  <c r="N15" i="36"/>
  <c r="J22" i="36"/>
  <c r="N22" i="36"/>
  <c r="K27" i="36"/>
  <c r="K28" i="36"/>
  <c r="K12" i="36"/>
  <c r="K14" i="36"/>
  <c r="K13" i="36"/>
  <c r="K8" i="36"/>
  <c r="K29" i="36"/>
  <c r="K30" i="36"/>
  <c r="K7" i="36"/>
  <c r="T7" i="36"/>
  <c r="U7" i="36"/>
  <c r="K19" i="36"/>
  <c r="K20" i="36"/>
  <c r="K17" i="36"/>
  <c r="K18" i="36"/>
  <c r="K9" i="36"/>
  <c r="K25" i="36"/>
  <c r="K10" i="36"/>
  <c r="K24" i="36"/>
  <c r="K23" i="36"/>
  <c r="K15" i="36"/>
  <c r="K22" i="36"/>
  <c r="AL17" i="34"/>
  <c r="AM17" i="34"/>
  <c r="AN17" i="34"/>
  <c r="AL26" i="34"/>
  <c r="AN26" i="34"/>
  <c r="AM26" i="34"/>
  <c r="AL39" i="34"/>
  <c r="AM39" i="34"/>
  <c r="AN39" i="34"/>
  <c r="AL55" i="34"/>
  <c r="AM55" i="34"/>
  <c r="AN55" i="34"/>
  <c r="AL187" i="34"/>
  <c r="AL19" i="34"/>
  <c r="AM19" i="34"/>
  <c r="AN19" i="34"/>
  <c r="AL66" i="34"/>
  <c r="AM66" i="34"/>
  <c r="AN66" i="34"/>
  <c r="AL35" i="34"/>
  <c r="AM35" i="34" s="1"/>
  <c r="AN35" i="34"/>
  <c r="AL169" i="34"/>
  <c r="AL7" i="34"/>
  <c r="AB176" i="34"/>
  <c r="AC176" i="34" s="1"/>
  <c r="AL11" i="34"/>
  <c r="AL174" i="34"/>
  <c r="AL42" i="34"/>
  <c r="AM42" i="34" s="1"/>
  <c r="AN42" i="34"/>
  <c r="AL28" i="34"/>
  <c r="AN28" i="34" s="1"/>
  <c r="AM28" i="34"/>
  <c r="AB52" i="34"/>
  <c r="AC52" i="34" s="1"/>
  <c r="AL9" i="34"/>
  <c r="AB64" i="34"/>
  <c r="AC64" i="34" s="1"/>
  <c r="AB68" i="34"/>
  <c r="AC68" i="34" s="1"/>
  <c r="AL46" i="34"/>
  <c r="AN46" i="34" s="1"/>
  <c r="AM46" i="34"/>
  <c r="AL5" i="34"/>
  <c r="AN5" i="34" s="1"/>
  <c r="AM5" i="34"/>
  <c r="AL67" i="34"/>
  <c r="AM67" i="34" s="1"/>
  <c r="AN67" i="34"/>
  <c r="AL182" i="34"/>
  <c r="AM182" i="34"/>
  <c r="AN182" i="34"/>
  <c r="AL186" i="34"/>
  <c r="AL50" i="34"/>
  <c r="AM50" i="34"/>
  <c r="AN50" i="34"/>
  <c r="AL165" i="34"/>
  <c r="AL62" i="34"/>
  <c r="AM62" i="34" s="1"/>
  <c r="AN62" i="34"/>
  <c r="AL30" i="34"/>
  <c r="AM30" i="34" s="1"/>
  <c r="AN30" i="34"/>
  <c r="AL34" i="34"/>
  <c r="AN34" i="34" s="1"/>
  <c r="AM34" i="34"/>
  <c r="AL16" i="34"/>
  <c r="AM16" i="34" s="1"/>
  <c r="AN16" i="34"/>
  <c r="AL10" i="34"/>
  <c r="AN10" i="34"/>
  <c r="AM10" i="34"/>
  <c r="AL59" i="34"/>
  <c r="AN59" i="34" s="1"/>
  <c r="AM59" i="34"/>
  <c r="AC188" i="34"/>
  <c r="AD188" i="34"/>
  <c r="AL47" i="34"/>
  <c r="AN47" i="34"/>
  <c r="AM47" i="34"/>
  <c r="AL199" i="34"/>
  <c r="AL160" i="34"/>
  <c r="AN160" i="34" s="1"/>
  <c r="AM160" i="34"/>
  <c r="AL27" i="34"/>
  <c r="AL14" i="34"/>
  <c r="AB44" i="34"/>
  <c r="AC44" i="34" s="1"/>
  <c r="AB180" i="34"/>
  <c r="AC180" i="34" s="1"/>
  <c r="AB56" i="34"/>
  <c r="AC56" i="34" s="1"/>
  <c r="AL18" i="34"/>
  <c r="AN18" i="34" s="1"/>
  <c r="AM18" i="34"/>
  <c r="AL33" i="34"/>
  <c r="AM33" i="34" s="1"/>
  <c r="AN33" i="34"/>
  <c r="AL63" i="34"/>
  <c r="AM63" i="34"/>
  <c r="AN63" i="34"/>
  <c r="AL8" i="34"/>
  <c r="AL22" i="34"/>
  <c r="AM22" i="34" s="1"/>
  <c r="AN22" i="34"/>
  <c r="AL24" i="34"/>
  <c r="AL31" i="34"/>
  <c r="AN31" i="34" s="1"/>
  <c r="AM31" i="34"/>
  <c r="AL203" i="34"/>
  <c r="AM203" i="34"/>
  <c r="AL13" i="34"/>
  <c r="AM13" i="34"/>
  <c r="AN13" i="34"/>
  <c r="AL23" i="34"/>
  <c r="AN23" i="34"/>
  <c r="AM23" i="34"/>
  <c r="AB205" i="34"/>
  <c r="AL191" i="34"/>
  <c r="AM191" i="34"/>
  <c r="AL51" i="34"/>
  <c r="AM51" i="34" s="1"/>
  <c r="AN51" i="34"/>
  <c r="AL178" i="34"/>
  <c r="AM178" i="34" s="1"/>
  <c r="AN178" i="34"/>
  <c r="AL195" i="34"/>
  <c r="AB189" i="34"/>
  <c r="AL15" i="34"/>
  <c r="AB201" i="34"/>
  <c r="AB167" i="34"/>
  <c r="AC167" i="34" s="1"/>
  <c r="AL12" i="34"/>
  <c r="AB158" i="34"/>
  <c r="AC158" i="34" s="1"/>
  <c r="AB197" i="34"/>
  <c r="AL29" i="34"/>
  <c r="AL54" i="34"/>
  <c r="AN54" i="34" s="1"/>
  <c r="AM54" i="34"/>
  <c r="AL6" i="34"/>
  <c r="AM6" i="34" s="1"/>
  <c r="AN6" i="34"/>
  <c r="AL20" i="34"/>
  <c r="AN20" i="34"/>
  <c r="AM20" i="34"/>
  <c r="AB40" i="34"/>
  <c r="AC40" i="34" s="1"/>
  <c r="AL37" i="34"/>
  <c r="AN37" i="34" s="1"/>
  <c r="AM37" i="34"/>
  <c r="AL32" i="34"/>
  <c r="AL156" i="34"/>
  <c r="AM156" i="34"/>
  <c r="AN156" i="34"/>
  <c r="AL36" i="34"/>
  <c r="AM36" i="34" s="1"/>
  <c r="AN36" i="34"/>
  <c r="AG111" i="34"/>
  <c r="AG121" i="34"/>
  <c r="AL207" i="34"/>
  <c r="AG152" i="34"/>
  <c r="AL21" i="34"/>
  <c r="AN21" i="34"/>
  <c r="AM21" i="34"/>
  <c r="AB184" i="34"/>
  <c r="AC184" i="34" s="1"/>
  <c r="AG43" i="34"/>
  <c r="AG57" i="34"/>
  <c r="AG128" i="34"/>
  <c r="AL58" i="34"/>
  <c r="AN58" i="34"/>
  <c r="AM58" i="34"/>
  <c r="R4" i="34"/>
  <c r="X4" i="34"/>
  <c r="AG119" i="34"/>
  <c r="AG134" i="34"/>
  <c r="AG153" i="34"/>
  <c r="AG162" i="34"/>
  <c r="AG154" i="34"/>
  <c r="AG82" i="34"/>
  <c r="AG161" i="34"/>
  <c r="AG93" i="34"/>
  <c r="AG97" i="34"/>
  <c r="AG92" i="34"/>
  <c r="AG133" i="34"/>
  <c r="AL38" i="34"/>
  <c r="AM38" i="34" s="1"/>
  <c r="AN38" i="34"/>
  <c r="AB209" i="34"/>
  <c r="AG49" i="34"/>
  <c r="AG146" i="34"/>
  <c r="AG139" i="34"/>
  <c r="AL179" i="34"/>
  <c r="AN179" i="34"/>
  <c r="AM179" i="34"/>
  <c r="AG78" i="34"/>
  <c r="AG114" i="34"/>
  <c r="AB60" i="34"/>
  <c r="AC60" i="34" s="1"/>
  <c r="AG109" i="34"/>
  <c r="AG99" i="34"/>
  <c r="AG148" i="34"/>
  <c r="AB193" i="34"/>
  <c r="AM187" i="34"/>
  <c r="AM169" i="34"/>
  <c r="AM7" i="34"/>
  <c r="AN7" i="34"/>
  <c r="AN11" i="34"/>
  <c r="AM11" i="34"/>
  <c r="AN174" i="34"/>
  <c r="AM174" i="34"/>
  <c r="AN9" i="34"/>
  <c r="AM9" i="34"/>
  <c r="AN186" i="34"/>
  <c r="AM186" i="34"/>
  <c r="AM165" i="34"/>
  <c r="AG188" i="34"/>
  <c r="AM199" i="34"/>
  <c r="AM27" i="34"/>
  <c r="AN27" i="34"/>
  <c r="AM14" i="34"/>
  <c r="AN14" i="34"/>
  <c r="AN8" i="34"/>
  <c r="AM8" i="34"/>
  <c r="AN24" i="34"/>
  <c r="AM24" i="34"/>
  <c r="AC205" i="34"/>
  <c r="AD205" i="34" s="1"/>
  <c r="AM195" i="34"/>
  <c r="AN195" i="34"/>
  <c r="AC189" i="34"/>
  <c r="AD189" i="34" s="1"/>
  <c r="AM15" i="34"/>
  <c r="AN15" i="34"/>
  <c r="AC201" i="34"/>
  <c r="AD201" i="34"/>
  <c r="AM12" i="34"/>
  <c r="AN12" i="34"/>
  <c r="AC197" i="34"/>
  <c r="AD197" i="34" s="1"/>
  <c r="AN29" i="34"/>
  <c r="AM29" i="34"/>
  <c r="AN32" i="34"/>
  <c r="AM32" i="34"/>
  <c r="AM207" i="34"/>
  <c r="AB4" i="34"/>
  <c r="AC209" i="34"/>
  <c r="AD209" i="34" s="1"/>
  <c r="AC193" i="34"/>
  <c r="AD193" i="34"/>
  <c r="AG205" i="34"/>
  <c r="AG189" i="34"/>
  <c r="AG201" i="34"/>
  <c r="AG197" i="34"/>
  <c r="AC4" i="34"/>
  <c r="AD4" i="34"/>
  <c r="AG4" i="34" s="1"/>
  <c r="AG209" i="34"/>
  <c r="AG193" i="34"/>
  <c r="AD27" i="36"/>
  <c r="V27" i="36"/>
  <c r="AD28" i="36"/>
  <c r="V28" i="36"/>
  <c r="AD12" i="36"/>
  <c r="V12" i="36"/>
  <c r="AD14" i="36"/>
  <c r="V14" i="36"/>
  <c r="AD13" i="36"/>
  <c r="V13" i="36"/>
  <c r="AD8" i="36"/>
  <c r="V8" i="36"/>
  <c r="AD29" i="36"/>
  <c r="V29" i="36"/>
  <c r="AD30" i="36"/>
  <c r="V30" i="36"/>
  <c r="AD7" i="36"/>
  <c r="V7" i="36"/>
  <c r="AD19" i="36"/>
  <c r="V19" i="36"/>
  <c r="AD20" i="36"/>
  <c r="V20" i="36"/>
  <c r="AD17" i="36"/>
  <c r="V17" i="36"/>
  <c r="AD18" i="36"/>
  <c r="V18" i="36"/>
  <c r="AD9" i="36"/>
  <c r="V9" i="36"/>
  <c r="AD25" i="36"/>
  <c r="V25" i="36"/>
  <c r="AD10" i="36"/>
  <c r="V10" i="36"/>
  <c r="AD24" i="36"/>
  <c r="V24" i="36"/>
  <c r="AD23" i="36"/>
  <c r="V23" i="36"/>
  <c r="AD15" i="36"/>
  <c r="V15" i="36"/>
  <c r="AD22" i="36"/>
  <c r="V22" i="36"/>
  <c r="AJ27" i="36"/>
  <c r="AK27" i="36"/>
  <c r="AB27" i="36"/>
  <c r="AC27" i="36" s="1"/>
  <c r="AJ28" i="36"/>
  <c r="AK28" i="36"/>
  <c r="AB28" i="36"/>
  <c r="AC28" i="36" s="1"/>
  <c r="AJ12" i="36"/>
  <c r="AK12" i="36"/>
  <c r="AB12" i="36"/>
  <c r="AC12" i="36" s="1"/>
  <c r="AJ14" i="36"/>
  <c r="AK14" i="36"/>
  <c r="AB14" i="36"/>
  <c r="AC14" i="36" s="1"/>
  <c r="AJ13" i="36"/>
  <c r="AK13" i="36" s="1"/>
  <c r="AB13" i="36"/>
  <c r="AC13" i="36" s="1"/>
  <c r="AJ8" i="36"/>
  <c r="AK8" i="36" s="1"/>
  <c r="AB8" i="36"/>
  <c r="AC8" i="36" s="1"/>
  <c r="AJ29" i="36"/>
  <c r="AK29" i="36"/>
  <c r="AB29" i="36"/>
  <c r="AC29" i="36" s="1"/>
  <c r="AJ30" i="36"/>
  <c r="AK30" i="36" s="1"/>
  <c r="AJ7" i="36"/>
  <c r="AK7" i="36"/>
  <c r="AB7" i="36"/>
  <c r="AC7" i="36" s="1"/>
  <c r="AJ19" i="36"/>
  <c r="AK19" i="36"/>
  <c r="AB19" i="36"/>
  <c r="AC19" i="36" s="1"/>
  <c r="AJ20" i="36"/>
  <c r="AK20" i="36" s="1"/>
  <c r="AJ17" i="36"/>
  <c r="AK17" i="36"/>
  <c r="AB17" i="36"/>
  <c r="AC17" i="36" s="1"/>
  <c r="AJ18" i="36"/>
  <c r="AK18" i="36"/>
  <c r="AB18" i="36"/>
  <c r="AC18" i="36" s="1"/>
  <c r="AJ9" i="36"/>
  <c r="AK9" i="36"/>
  <c r="AB9" i="36"/>
  <c r="AC9" i="36" s="1"/>
  <c r="AJ25" i="36"/>
  <c r="AK25" i="36" s="1"/>
  <c r="AJ10" i="36"/>
  <c r="AK10" i="36" s="1"/>
  <c r="AJ24" i="36"/>
  <c r="AK24" i="36"/>
  <c r="AB24" i="36"/>
  <c r="AC24" i="36" s="1"/>
  <c r="AJ23" i="36"/>
  <c r="AK23" i="36"/>
  <c r="AB23" i="36"/>
  <c r="AC23" i="36" s="1"/>
  <c r="AJ15" i="36"/>
  <c r="AK15" i="36" s="1"/>
  <c r="AJ22" i="36"/>
  <c r="AK22" i="36"/>
  <c r="AB22" i="36"/>
  <c r="AC22" i="36" s="1"/>
  <c r="AR27" i="36"/>
  <c r="AS27" i="36"/>
  <c r="AR28" i="36"/>
  <c r="AS28" i="36"/>
  <c r="AR12" i="36"/>
  <c r="AS12" i="36"/>
  <c r="AR14" i="36"/>
  <c r="AS14" i="36"/>
  <c r="AR13" i="36"/>
  <c r="AS13" i="36" s="1"/>
  <c r="AR8" i="36"/>
  <c r="AS8" i="36"/>
  <c r="AR29" i="36"/>
  <c r="AS29" i="36"/>
  <c r="AR30" i="36"/>
  <c r="AS30" i="36" s="1"/>
  <c r="AR7" i="36"/>
  <c r="AS7" i="36"/>
  <c r="AR19" i="36"/>
  <c r="AS19" i="36" s="1"/>
  <c r="AR20" i="36"/>
  <c r="AS20" i="36" s="1"/>
  <c r="AR17" i="36"/>
  <c r="AS17" i="36"/>
  <c r="AR18" i="36"/>
  <c r="AS18" i="36" s="1"/>
  <c r="AR9" i="36"/>
  <c r="AS9" i="36"/>
  <c r="AR25" i="36"/>
  <c r="AS25" i="36" s="1"/>
  <c r="AR10" i="36"/>
  <c r="AS10" i="36" s="1"/>
  <c r="AR24" i="36"/>
  <c r="AS24" i="36"/>
  <c r="AR23" i="36"/>
  <c r="AS23" i="36"/>
  <c r="AR15" i="36"/>
  <c r="AS15" i="36" s="1"/>
  <c r="AR22" i="36"/>
  <c r="AS22" i="36"/>
  <c r="AB30" i="36"/>
  <c r="AC30" i="36" s="1"/>
  <c r="AB20" i="36"/>
  <c r="AC20" i="36" s="1"/>
  <c r="AB25" i="36"/>
  <c r="AC25" i="36" s="1"/>
  <c r="AB10" i="36"/>
  <c r="AC10" i="36" s="1"/>
  <c r="AB15" i="36"/>
  <c r="AC15" i="36" s="1"/>
  <c r="AV40" i="34" l="1"/>
  <c r="AU40" i="34"/>
  <c r="AV25" i="34"/>
  <c r="AU25" i="34"/>
  <c r="K53" i="23"/>
  <c r="L6" i="30"/>
  <c r="L5" i="30"/>
  <c r="L8" i="30" a="1"/>
  <c r="M8" i="30" s="1"/>
  <c r="K13" i="30" a="1"/>
  <c r="K14" i="30" s="1"/>
  <c r="C3" i="30"/>
  <c r="C90" i="29"/>
  <c r="C89" i="29"/>
  <c r="C58" i="29"/>
  <c r="F6" i="29"/>
  <c r="C6" i="29"/>
  <c r="CX89" i="18"/>
  <c r="CW89" i="18"/>
  <c r="CV89" i="18"/>
  <c r="CU89" i="18"/>
  <c r="CT89" i="18"/>
  <c r="CS89" i="18"/>
  <c r="CR89" i="18"/>
  <c r="CQ89" i="18"/>
  <c r="CP89" i="18"/>
  <c r="CO89" i="18"/>
  <c r="CN89" i="18"/>
  <c r="CM89" i="18"/>
  <c r="CL89" i="18"/>
  <c r="CK89" i="18"/>
  <c r="CJ89" i="18"/>
  <c r="CI89" i="18"/>
  <c r="CH89" i="18"/>
  <c r="CG89" i="18"/>
  <c r="CF89" i="18"/>
  <c r="CE89" i="18"/>
  <c r="CD89" i="18"/>
  <c r="CC89" i="18"/>
  <c r="CB89" i="18"/>
  <c r="CA89" i="18"/>
  <c r="BZ89" i="18"/>
  <c r="BY89" i="18"/>
  <c r="BX89" i="18"/>
  <c r="BW89" i="18"/>
  <c r="BV89" i="18"/>
  <c r="BU89" i="18"/>
  <c r="BT89" i="18"/>
  <c r="BS89" i="18"/>
  <c r="BR89" i="18"/>
  <c r="BQ89" i="18"/>
  <c r="BP89" i="18"/>
  <c r="BO89" i="18"/>
  <c r="BN89" i="18"/>
  <c r="BM89" i="18"/>
  <c r="BL89" i="18"/>
  <c r="BK89" i="18"/>
  <c r="BJ89" i="18"/>
  <c r="BI89" i="18"/>
  <c r="BH89" i="18"/>
  <c r="BG89" i="18"/>
  <c r="BF89" i="18"/>
  <c r="BE89" i="18"/>
  <c r="BD89" i="18"/>
  <c r="BC89" i="18"/>
  <c r="BB89" i="18"/>
  <c r="BA89" i="18"/>
  <c r="AZ89" i="18"/>
  <c r="AY89" i="18"/>
  <c r="AX89" i="18"/>
  <c r="AW89" i="18"/>
  <c r="AV89" i="18"/>
  <c r="AU89" i="18"/>
  <c r="AT89" i="18"/>
  <c r="AS89" i="18"/>
  <c r="AR89" i="18"/>
  <c r="AQ89" i="18"/>
  <c r="AP89" i="18"/>
  <c r="AO89" i="18"/>
  <c r="AN89" i="18"/>
  <c r="AM89" i="18"/>
  <c r="AL89" i="18"/>
  <c r="AK89" i="18"/>
  <c r="AJ89" i="18"/>
  <c r="AI89" i="18"/>
  <c r="AH89" i="18"/>
  <c r="AG89" i="18"/>
  <c r="AF89" i="18"/>
  <c r="AE89" i="18"/>
  <c r="AD89" i="18"/>
  <c r="AC89" i="18"/>
  <c r="AB89" i="18"/>
  <c r="AA89" i="18"/>
  <c r="Z89" i="18"/>
  <c r="Y89" i="18"/>
  <c r="X89" i="18"/>
  <c r="W89" i="18"/>
  <c r="V89" i="18"/>
  <c r="U89" i="18"/>
  <c r="T89" i="18"/>
  <c r="S89" i="18"/>
  <c r="R89" i="18"/>
  <c r="Q89" i="18"/>
  <c r="P89" i="18"/>
  <c r="O89" i="18"/>
  <c r="N89" i="18"/>
  <c r="M89" i="18"/>
  <c r="L89" i="18"/>
  <c r="K89" i="18"/>
  <c r="J89" i="18"/>
  <c r="I89" i="18"/>
  <c r="H89" i="18"/>
  <c r="G89" i="18"/>
  <c r="F89" i="18"/>
  <c r="E89" i="18"/>
  <c r="D89" i="18"/>
  <c r="C89" i="18"/>
  <c r="CX88" i="18"/>
  <c r="CW88" i="18"/>
  <c r="CV88" i="18"/>
  <c r="CU88" i="18"/>
  <c r="CT88" i="18"/>
  <c r="CS88" i="18"/>
  <c r="CR88" i="18"/>
  <c r="CQ88" i="18"/>
  <c r="CP88" i="18"/>
  <c r="CO88" i="18"/>
  <c r="CN88" i="18"/>
  <c r="CM88" i="18"/>
  <c r="CL88" i="18"/>
  <c r="CK88" i="18"/>
  <c r="CJ88" i="18"/>
  <c r="CI88" i="18"/>
  <c r="CH88" i="18"/>
  <c r="CG88" i="18"/>
  <c r="CF88" i="18"/>
  <c r="CE88" i="18"/>
  <c r="CD88" i="18"/>
  <c r="CC88" i="18"/>
  <c r="CB88" i="18"/>
  <c r="CA88" i="18"/>
  <c r="BZ88" i="18"/>
  <c r="BY88" i="18"/>
  <c r="BX88" i="18"/>
  <c r="BW88" i="18"/>
  <c r="BV88" i="18"/>
  <c r="BU88" i="18"/>
  <c r="BT88" i="18"/>
  <c r="BS88" i="18"/>
  <c r="BR88" i="18"/>
  <c r="BQ88" i="18"/>
  <c r="BP88" i="18"/>
  <c r="BO88" i="18"/>
  <c r="BN88" i="18"/>
  <c r="BM88" i="18"/>
  <c r="BL88" i="18"/>
  <c r="BK88" i="18"/>
  <c r="BJ88" i="18"/>
  <c r="BI88" i="18"/>
  <c r="BH88" i="18"/>
  <c r="BG88" i="18"/>
  <c r="BF88" i="18"/>
  <c r="BE88" i="18"/>
  <c r="BD88" i="18"/>
  <c r="BC88" i="18"/>
  <c r="BB88" i="18"/>
  <c r="BA88" i="18"/>
  <c r="AZ88" i="18"/>
  <c r="AY88" i="18"/>
  <c r="AX88" i="18"/>
  <c r="AW88" i="18"/>
  <c r="AV88" i="18"/>
  <c r="AU88" i="18"/>
  <c r="AT88" i="18"/>
  <c r="AS88" i="18"/>
  <c r="AR88" i="18"/>
  <c r="AQ88" i="18"/>
  <c r="AP88" i="18"/>
  <c r="AO88" i="18"/>
  <c r="AN88" i="18"/>
  <c r="AM88" i="18"/>
  <c r="AL88" i="18"/>
  <c r="AK88" i="18"/>
  <c r="AJ88" i="18"/>
  <c r="AI88" i="18"/>
  <c r="AH88" i="18"/>
  <c r="AG88" i="18"/>
  <c r="AF88" i="18"/>
  <c r="AE88" i="18"/>
  <c r="AD88" i="18"/>
  <c r="AC88" i="18"/>
  <c r="AB88" i="18"/>
  <c r="AA88" i="18"/>
  <c r="Z88" i="18"/>
  <c r="Y88" i="18"/>
  <c r="X88" i="18"/>
  <c r="W88" i="18"/>
  <c r="V88" i="18"/>
  <c r="U88" i="18"/>
  <c r="T88" i="18"/>
  <c r="S88" i="18"/>
  <c r="R88" i="18"/>
  <c r="Q88" i="18"/>
  <c r="P88" i="18"/>
  <c r="O88" i="18"/>
  <c r="N88" i="18"/>
  <c r="M88" i="18"/>
  <c r="L88" i="18"/>
  <c r="K88" i="18"/>
  <c r="J88" i="18"/>
  <c r="I88" i="18"/>
  <c r="H88" i="18"/>
  <c r="G88" i="18"/>
  <c r="F88" i="18"/>
  <c r="E88" i="18"/>
  <c r="D88" i="18"/>
  <c r="C88" i="18"/>
  <c r="CX57" i="18"/>
  <c r="CW57" i="18"/>
  <c r="CV57" i="18"/>
  <c r="CU57" i="18"/>
  <c r="CT57" i="18"/>
  <c r="CS57" i="18"/>
  <c r="CR57" i="18"/>
  <c r="CQ57" i="18"/>
  <c r="CP57" i="18"/>
  <c r="CO57" i="18"/>
  <c r="CN57" i="18"/>
  <c r="CM57" i="18"/>
  <c r="CL57" i="18"/>
  <c r="CK57" i="18"/>
  <c r="CJ57" i="18"/>
  <c r="CI57" i="18"/>
  <c r="CH57" i="18"/>
  <c r="CG57" i="18"/>
  <c r="CF57" i="18"/>
  <c r="CE57" i="18"/>
  <c r="CD57" i="18"/>
  <c r="CC57" i="18"/>
  <c r="CB57" i="18"/>
  <c r="CA57" i="18"/>
  <c r="BZ57" i="18"/>
  <c r="BY57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W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E57" i="18"/>
  <c r="D57" i="18"/>
  <c r="C57" i="18"/>
  <c r="CX6" i="18"/>
  <c r="CW6" i="18"/>
  <c r="CV6" i="18"/>
  <c r="CU6" i="18"/>
  <c r="CT6" i="18"/>
  <c r="CS6" i="18"/>
  <c r="CR6" i="18"/>
  <c r="CQ6" i="18"/>
  <c r="CP6" i="18"/>
  <c r="CO6" i="18"/>
  <c r="CN6" i="18"/>
  <c r="CM6" i="18"/>
  <c r="CL6" i="18"/>
  <c r="CK6" i="18"/>
  <c r="CJ6" i="18"/>
  <c r="CI6" i="18"/>
  <c r="CH6" i="18"/>
  <c r="CG6" i="18"/>
  <c r="CF6" i="18"/>
  <c r="CE6" i="18"/>
  <c r="CD6" i="18"/>
  <c r="CC6" i="18"/>
  <c r="CB6" i="18"/>
  <c r="CA6" i="18"/>
  <c r="BZ6" i="18"/>
  <c r="BY6" i="18"/>
  <c r="BX6" i="18"/>
  <c r="BW6" i="18"/>
  <c r="BV6" i="18"/>
  <c r="BU6" i="18"/>
  <c r="BT6" i="18"/>
  <c r="BS6" i="18"/>
  <c r="BR6" i="18"/>
  <c r="BQ6" i="18"/>
  <c r="BP6" i="18"/>
  <c r="BO6" i="18"/>
  <c r="BN6" i="18"/>
  <c r="BM6" i="18"/>
  <c r="BL6" i="18"/>
  <c r="BK6" i="18"/>
  <c r="BJ6" i="18"/>
  <c r="BI6" i="18"/>
  <c r="BH6" i="18"/>
  <c r="BG6" i="18"/>
  <c r="BF6" i="18"/>
  <c r="BE6" i="18"/>
  <c r="BD6" i="18"/>
  <c r="BC6" i="18"/>
  <c r="BB6" i="18"/>
  <c r="BA6" i="18"/>
  <c r="AZ6" i="18"/>
  <c r="AY6" i="18"/>
  <c r="AX6" i="18"/>
  <c r="AW6" i="18"/>
  <c r="AV6" i="18"/>
  <c r="AU6" i="18"/>
  <c r="AT6" i="18"/>
  <c r="AS6" i="18"/>
  <c r="AR6" i="18"/>
  <c r="AQ6" i="18"/>
  <c r="AP6" i="18"/>
  <c r="AO6" i="18"/>
  <c r="AN6" i="18"/>
  <c r="AM6" i="18"/>
  <c r="AL6" i="18"/>
  <c r="AK6" i="18"/>
  <c r="AJ6" i="18"/>
  <c r="AI6" i="18"/>
  <c r="AH6" i="18"/>
  <c r="AG6" i="18"/>
  <c r="AF6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DA5" i="18"/>
  <c r="M11" i="30"/>
  <c r="F6" i="30" a="1"/>
  <c r="G6" i="30" a="1"/>
  <c r="B6" i="30" a="1"/>
  <c r="C6" i="30" a="1"/>
  <c r="AC6" i="29"/>
  <c r="P6" i="29"/>
  <c r="AB6" i="29"/>
  <c r="O6" i="29"/>
  <c r="C11" i="29"/>
  <c r="R6" i="29"/>
  <c r="X6" i="29"/>
  <c r="X7" i="29" s="1"/>
  <c r="N6" i="29"/>
  <c r="N7" i="29" s="1"/>
  <c r="C66" i="29"/>
  <c r="C67" i="29" s="1"/>
  <c r="AB7" i="29"/>
  <c r="O7" i="29"/>
  <c r="R7" i="29"/>
  <c r="AD6" i="29"/>
  <c r="AD7" i="29" s="1"/>
  <c r="AG6" i="29"/>
  <c r="AG7" i="29" s="1"/>
  <c r="Q6" i="29"/>
  <c r="Q7" i="29" s="1"/>
  <c r="T6" i="29"/>
  <c r="W6" i="29"/>
  <c r="C12" i="29"/>
  <c r="C13" i="29" s="1"/>
  <c r="Z6" i="29"/>
  <c r="Z7" i="29" s="1"/>
  <c r="AF6" i="29"/>
  <c r="S6" i="29"/>
  <c r="C86" i="29"/>
  <c r="T7" i="29"/>
  <c r="W7" i="29"/>
  <c r="AC7" i="29"/>
  <c r="V6" i="29"/>
  <c r="V7" i="29" s="1"/>
  <c r="Y6" i="29"/>
  <c r="AE6" i="29"/>
  <c r="AE7" i="29" s="1"/>
  <c r="AF7" i="29"/>
  <c r="P7" i="29"/>
  <c r="S7" i="29"/>
  <c r="Y7" i="29"/>
  <c r="AH6" i="29"/>
  <c r="AH7" i="29" s="1"/>
  <c r="U6" i="29"/>
  <c r="U7" i="29" s="1"/>
  <c r="AA6" i="29"/>
  <c r="AA7" i="29" s="1"/>
  <c r="CX85" i="18"/>
  <c r="CH85" i="18"/>
  <c r="BR85" i="18"/>
  <c r="BB85" i="18"/>
  <c r="AL85" i="18"/>
  <c r="V85" i="18"/>
  <c r="F85" i="18"/>
  <c r="CK85" i="18"/>
  <c r="BU85" i="18"/>
  <c r="BE85" i="18"/>
  <c r="AO85" i="18"/>
  <c r="Y85" i="18"/>
  <c r="I85" i="18"/>
  <c r="CB85" i="18"/>
  <c r="AV85" i="18"/>
  <c r="P85" i="18"/>
  <c r="CA85" i="18"/>
  <c r="AU85" i="18"/>
  <c r="O85" i="18"/>
  <c r="CN85" i="18"/>
  <c r="AB85" i="18"/>
  <c r="CM85" i="18"/>
  <c r="AA85" i="18"/>
  <c r="P86" i="18"/>
  <c r="CU11" i="18"/>
  <c r="CE11" i="18"/>
  <c r="BO11" i="18"/>
  <c r="AY11" i="18"/>
  <c r="AI11" i="18"/>
  <c r="S11" i="18"/>
  <c r="C11" i="18"/>
  <c r="D85" i="18"/>
  <c r="CW11" i="18"/>
  <c r="BQ11" i="18"/>
  <c r="AK11" i="18"/>
  <c r="CU12" i="18"/>
  <c r="CJ11" i="18"/>
  <c r="BD11" i="18"/>
  <c r="X11" i="18"/>
  <c r="CE85" i="18"/>
  <c r="CT11" i="18"/>
  <c r="CD11" i="18"/>
  <c r="BN11" i="18"/>
  <c r="AX11" i="18"/>
  <c r="AH11" i="18"/>
  <c r="R11" i="18"/>
  <c r="AJ85" i="18"/>
  <c r="CC11" i="18"/>
  <c r="AW11" i="18"/>
  <c r="Q11" i="18"/>
  <c r="CE12" i="18"/>
  <c r="CV11" i="18"/>
  <c r="BP11" i="18"/>
  <c r="AJ11" i="18"/>
  <c r="D11" i="18"/>
  <c r="AY68" i="18"/>
  <c r="C68" i="18"/>
  <c r="BQ12" i="18"/>
  <c r="AK12" i="18"/>
  <c r="X68" i="18"/>
  <c r="CD68" i="18"/>
  <c r="AX12" i="18"/>
  <c r="AH68" i="18"/>
  <c r="CC12" i="18"/>
  <c r="AW12" i="18"/>
  <c r="CP85" i="18"/>
  <c r="BZ85" i="18"/>
  <c r="BJ85" i="18"/>
  <c r="AT85" i="18"/>
  <c r="AD85" i="18"/>
  <c r="N85" i="18"/>
  <c r="CS85" i="18"/>
  <c r="CC85" i="18"/>
  <c r="BM85" i="18"/>
  <c r="AW85" i="18"/>
  <c r="AG85" i="18"/>
  <c r="Q85" i="18"/>
  <c r="CR85" i="18"/>
  <c r="BL85" i="18"/>
  <c r="AF85" i="18"/>
  <c r="CQ85" i="18"/>
  <c r="CQ86" i="18" s="1"/>
  <c r="BK85" i="18"/>
  <c r="AE85" i="18"/>
  <c r="BH85" i="18"/>
  <c r="BG85" i="18"/>
  <c r="CB86" i="18"/>
  <c r="AZ85" i="18"/>
  <c r="CM11" i="18"/>
  <c r="CM12" i="18" s="1"/>
  <c r="BW11" i="18"/>
  <c r="BW68" i="18" s="1"/>
  <c r="BG11" i="18"/>
  <c r="BG12" i="18" s="1"/>
  <c r="AQ11" i="18"/>
  <c r="AA11" i="18"/>
  <c r="AA12" i="18" s="1"/>
  <c r="K11" i="18"/>
  <c r="K68" i="18" s="1"/>
  <c r="AF86" i="18"/>
  <c r="CG11" i="18"/>
  <c r="BA11" i="18"/>
  <c r="BA12" i="18" s="1"/>
  <c r="U11" i="18"/>
  <c r="U12" i="18" s="1"/>
  <c r="BO85" i="18"/>
  <c r="AI12" i="18"/>
  <c r="BT11" i="18"/>
  <c r="BT68" i="18" s="1"/>
  <c r="AN11" i="18"/>
  <c r="AN12" i="18" s="1"/>
  <c r="H11" i="18"/>
  <c r="AU86" i="18"/>
  <c r="S85" i="18"/>
  <c r="BW12" i="18"/>
  <c r="AQ12" i="18"/>
  <c r="K12" i="18"/>
  <c r="CL11" i="18"/>
  <c r="CL12" i="18" s="1"/>
  <c r="BV11" i="18"/>
  <c r="BF11" i="18"/>
  <c r="AP11" i="18"/>
  <c r="AP68" i="18" s="1"/>
  <c r="Z11" i="18"/>
  <c r="J11" i="18"/>
  <c r="CR86" i="18"/>
  <c r="BF68" i="18"/>
  <c r="CS11" i="18"/>
  <c r="CS12" i="18" s="1"/>
  <c r="BM11" i="18"/>
  <c r="BM12" i="18" s="1"/>
  <c r="AG11" i="18"/>
  <c r="E11" i="18"/>
  <c r="CU85" i="18"/>
  <c r="S12" i="18"/>
  <c r="CF11" i="18"/>
  <c r="AZ11" i="18"/>
  <c r="T11" i="18"/>
  <c r="CE68" i="18"/>
  <c r="AQ68" i="18"/>
  <c r="S68" i="18"/>
  <c r="CW68" i="18"/>
  <c r="CG68" i="18"/>
  <c r="CJ68" i="18"/>
  <c r="BD12" i="18"/>
  <c r="H68" i="18"/>
  <c r="CT68" i="18"/>
  <c r="BN12" i="18"/>
  <c r="Z12" i="18"/>
  <c r="R68" i="18"/>
  <c r="AG68" i="18"/>
  <c r="Q68" i="18"/>
  <c r="E68" i="18"/>
  <c r="CV12" i="18"/>
  <c r="CL85" i="18"/>
  <c r="BF85" i="18"/>
  <c r="Z85" i="18"/>
  <c r="CO85" i="18"/>
  <c r="BI85" i="18"/>
  <c r="AC85" i="18"/>
  <c r="CJ85" i="18"/>
  <c r="CJ86" i="18" s="1"/>
  <c r="X85" i="18"/>
  <c r="X86" i="18" s="1"/>
  <c r="BC85" i="18"/>
  <c r="BC86" i="18" s="1"/>
  <c r="AR85" i="18"/>
  <c r="AV86" i="18"/>
  <c r="CI11" i="18"/>
  <c r="CI12" i="18" s="1"/>
  <c r="BC11" i="18"/>
  <c r="BC12" i="18" s="1"/>
  <c r="W11" i="18"/>
  <c r="W12" i="18" s="1"/>
  <c r="BP85" i="18"/>
  <c r="BU11" i="18"/>
  <c r="BU68" i="18" s="1"/>
  <c r="M11" i="18"/>
  <c r="M12" i="18" s="1"/>
  <c r="CR11" i="18"/>
  <c r="CR68" i="18" s="1"/>
  <c r="AF11" i="18"/>
  <c r="AF68" i="18" s="1"/>
  <c r="O86" i="18"/>
  <c r="CX11" i="18"/>
  <c r="CX68" i="18" s="1"/>
  <c r="BR11" i="18"/>
  <c r="BR12" i="18" s="1"/>
  <c r="AL11" i="18"/>
  <c r="AL68" i="18" s="1"/>
  <c r="F11" i="18"/>
  <c r="F12" i="18" s="1"/>
  <c r="Z68" i="18"/>
  <c r="Z65" i="18" s="1"/>
  <c r="CK11" i="18"/>
  <c r="CK12" i="18" s="1"/>
  <c r="Y11" i="18"/>
  <c r="Y68" i="18" s="1"/>
  <c r="C85" i="18"/>
  <c r="AY12" i="18"/>
  <c r="BX11" i="18"/>
  <c r="L11" i="18"/>
  <c r="BC68" i="18"/>
  <c r="AA68" i="18"/>
  <c r="C12" i="18"/>
  <c r="BU12" i="18"/>
  <c r="M68" i="18"/>
  <c r="BD68" i="18"/>
  <c r="CX12" i="18"/>
  <c r="CD12" i="18"/>
  <c r="BN68" i="18"/>
  <c r="F68" i="18"/>
  <c r="CC68" i="18"/>
  <c r="AW68" i="18"/>
  <c r="Q12" i="18"/>
  <c r="CV68" i="18"/>
  <c r="CF68" i="18"/>
  <c r="BP68" i="18"/>
  <c r="AZ68" i="18"/>
  <c r="AJ68" i="18"/>
  <c r="T68" i="18"/>
  <c r="D68" i="18"/>
  <c r="BC65" i="18"/>
  <c r="CG65" i="18"/>
  <c r="M65" i="18"/>
  <c r="BT65" i="18"/>
  <c r="H65" i="18"/>
  <c r="AH65" i="18"/>
  <c r="CC65" i="18"/>
  <c r="AW65" i="18"/>
  <c r="E65" i="18"/>
  <c r="CV65" i="18"/>
  <c r="BP65" i="18"/>
  <c r="AJ65" i="18"/>
  <c r="D65" i="18"/>
  <c r="BC66" i="18"/>
  <c r="CG66" i="18"/>
  <c r="M66" i="18"/>
  <c r="BT66" i="18"/>
  <c r="H66" i="18"/>
  <c r="AH66" i="18"/>
  <c r="BV85" i="18"/>
  <c r="J85" i="18"/>
  <c r="BY85" i="18"/>
  <c r="M85" i="18"/>
  <c r="CI85" i="18"/>
  <c r="CI86" i="18" s="1"/>
  <c r="T85" i="18"/>
  <c r="AM11" i="18"/>
  <c r="AM68" i="18" s="1"/>
  <c r="AM65" i="18" s="1"/>
  <c r="AM66" i="18" s="1"/>
  <c r="AI85" i="18"/>
  <c r="DA2" i="18"/>
  <c r="CD85" i="18"/>
  <c r="AX85" i="18"/>
  <c r="R85" i="18"/>
  <c r="CG85" i="18"/>
  <c r="BA85" i="18"/>
  <c r="U85" i="18"/>
  <c r="BT85" i="18"/>
  <c r="BT86" i="18" s="1"/>
  <c r="H85" i="18"/>
  <c r="H86" i="18" s="1"/>
  <c r="AM85" i="18"/>
  <c r="L85" i="18"/>
  <c r="BW85" i="18"/>
  <c r="CF85" i="18"/>
  <c r="CA11" i="18"/>
  <c r="CA68" i="18" s="1"/>
  <c r="AU11" i="18"/>
  <c r="AU12" i="18" s="1"/>
  <c r="O11" i="18"/>
  <c r="O12" i="18" s="1"/>
  <c r="CA12" i="18"/>
  <c r="BI11" i="18"/>
  <c r="BI12" i="18" s="1"/>
  <c r="AE86" i="18"/>
  <c r="CB11" i="18"/>
  <c r="P11" i="18"/>
  <c r="AY85" i="18"/>
  <c r="CP11" i="18"/>
  <c r="BJ11" i="18"/>
  <c r="AD11" i="18"/>
  <c r="AC103" i="18"/>
  <c r="BV12" i="18"/>
  <c r="BY11" i="18"/>
  <c r="BY68" i="18" s="1"/>
  <c r="I11" i="18"/>
  <c r="AD12" i="18"/>
  <c r="BH11" i="18"/>
  <c r="CU68" i="18"/>
  <c r="AU68" i="18"/>
  <c r="W68" i="18"/>
  <c r="W65" i="18" s="1"/>
  <c r="W66" i="18" s="1"/>
  <c r="CW12" i="18"/>
  <c r="BQ68" i="18"/>
  <c r="AK68" i="18"/>
  <c r="CJ12" i="18"/>
  <c r="AN68" i="18"/>
  <c r="AN65" i="18" s="1"/>
  <c r="AN66" i="18" s="1"/>
  <c r="L103" i="18"/>
  <c r="AJ103" i="18"/>
  <c r="BA103" i="18"/>
  <c r="AN103" i="18"/>
  <c r="I103" i="18"/>
  <c r="BU103" i="18"/>
  <c r="V103" i="18"/>
  <c r="BB103" i="18"/>
  <c r="CH103" i="18"/>
  <c r="O103" i="18"/>
  <c r="AU103" i="18"/>
  <c r="CA103" i="18"/>
  <c r="CT12" i="18"/>
  <c r="BF12" i="18"/>
  <c r="AL12" i="18"/>
  <c r="R12" i="18"/>
  <c r="BF65" i="18"/>
  <c r="BF66" i="18" s="1"/>
  <c r="BY12" i="18"/>
  <c r="E12" i="18"/>
  <c r="BX12" i="18"/>
  <c r="BH12" i="18"/>
  <c r="L12" i="18"/>
  <c r="CU65" i="18"/>
  <c r="CE65" i="18"/>
  <c r="AY65" i="18"/>
  <c r="S65" i="18"/>
  <c r="C65" i="18"/>
  <c r="BQ65" i="18"/>
  <c r="AK65" i="18"/>
  <c r="CR65" i="18"/>
  <c r="AF65" i="18"/>
  <c r="CX65" i="18"/>
  <c r="CD65" i="18"/>
  <c r="BN65" i="18"/>
  <c r="Z66" i="18"/>
  <c r="BY65" i="18"/>
  <c r="AG65" i="18"/>
  <c r="CU66" i="18"/>
  <c r="CE66" i="18"/>
  <c r="AY66" i="18"/>
  <c r="S66" i="18"/>
  <c r="C66" i="18"/>
  <c r="BQ66" i="18"/>
  <c r="AK66" i="18"/>
  <c r="CR66" i="18"/>
  <c r="AF66" i="18"/>
  <c r="CX66" i="18"/>
  <c r="CD66" i="18"/>
  <c r="BN66" i="18"/>
  <c r="CC66" i="18"/>
  <c r="AW66" i="18"/>
  <c r="E66" i="18"/>
  <c r="AP85" i="18"/>
  <c r="AS85" i="18"/>
  <c r="BD85" i="18"/>
  <c r="BD86" i="18" s="1"/>
  <c r="W85" i="18"/>
  <c r="W86" i="18" s="1"/>
  <c r="AQ85" i="18"/>
  <c r="BS11" i="18"/>
  <c r="G11" i="18"/>
  <c r="G68" i="18" s="1"/>
  <c r="G65" i="18" s="1"/>
  <c r="G66" i="18" s="1"/>
  <c r="AS11" i="18"/>
  <c r="BL11" i="18"/>
  <c r="BL12" i="18" s="1"/>
  <c r="CT85" i="18"/>
  <c r="BQ85" i="18"/>
  <c r="BS85" i="18"/>
  <c r="BS86" i="18" s="1"/>
  <c r="K85" i="18"/>
  <c r="BL86" i="18"/>
  <c r="AV11" i="18"/>
  <c r="AF12" i="18"/>
  <c r="BB11" i="18"/>
  <c r="BB12" i="18" s="1"/>
  <c r="CV85" i="18"/>
  <c r="BE11" i="18"/>
  <c r="BE12" i="18" s="1"/>
  <c r="CP12" i="18"/>
  <c r="AR11" i="18"/>
  <c r="AR12" i="18" s="1"/>
  <c r="BO68" i="18"/>
  <c r="BO65" i="18" s="1"/>
  <c r="BO66" i="18" s="1"/>
  <c r="O68" i="18"/>
  <c r="BI68" i="18"/>
  <c r="CB68" i="18"/>
  <c r="BX103" i="18"/>
  <c r="CG103" i="18"/>
  <c r="Y103" i="18"/>
  <c r="AD103" i="18"/>
  <c r="CP103" i="18"/>
  <c r="BC103" i="18"/>
  <c r="CP68" i="18"/>
  <c r="BB68" i="18"/>
  <c r="BM68" i="18"/>
  <c r="BU65" i="18"/>
  <c r="BU66" i="18" s="1"/>
  <c r="BX68" i="18"/>
  <c r="AR68" i="18"/>
  <c r="L68" i="18"/>
  <c r="CA65" i="18"/>
  <c r="AU65" i="18"/>
  <c r="O65" i="18"/>
  <c r="BI65" i="18"/>
  <c r="CJ65" i="18"/>
  <c r="X65" i="18"/>
  <c r="AP65" i="18"/>
  <c r="F65" i="18"/>
  <c r="BM65" i="18"/>
  <c r="AZ65" i="18"/>
  <c r="AZ66" i="18" s="1"/>
  <c r="BY66" i="18"/>
  <c r="CV66" i="18"/>
  <c r="AJ66" i="18"/>
  <c r="BN85" i="18"/>
  <c r="AK85" i="18"/>
  <c r="G85" i="18"/>
  <c r="G86" i="18" s="1"/>
  <c r="CQ11" i="18"/>
  <c r="CO11" i="18"/>
  <c r="CO68" i="18" s="1"/>
  <c r="CA86" i="18"/>
  <c r="P12" i="18"/>
  <c r="AT11" i="18"/>
  <c r="CL68" i="18"/>
  <c r="CL65" i="18" s="1"/>
  <c r="AO11" i="18"/>
  <c r="BT12" i="18"/>
  <c r="AB11" i="18"/>
  <c r="AB12" i="18" s="1"/>
  <c r="BG68" i="18"/>
  <c r="G12" i="18"/>
  <c r="BA68" i="18"/>
  <c r="BL68" i="18"/>
  <c r="BL65" i="18" s="1"/>
  <c r="BL66" i="18" s="1"/>
  <c r="AS103" i="18"/>
  <c r="H103" i="18"/>
  <c r="AO103" i="18"/>
  <c r="AL103" i="18"/>
  <c r="CX103" i="18"/>
  <c r="BK103" i="18"/>
  <c r="AX68" i="18"/>
  <c r="AX65" i="18" s="1"/>
  <c r="AX66" i="18" s="1"/>
  <c r="BE68" i="18"/>
  <c r="AJ12" i="18"/>
  <c r="BW65" i="18"/>
  <c r="BA65" i="18"/>
  <c r="AL65" i="18"/>
  <c r="AH85" i="18"/>
  <c r="E85" i="18"/>
  <c r="BX85" i="18"/>
  <c r="BK11" i="18"/>
  <c r="AC11" i="18"/>
  <c r="AC12" i="18" s="1"/>
  <c r="CR12" i="18"/>
  <c r="CH11" i="18"/>
  <c r="V11" i="18"/>
  <c r="AP12" i="18"/>
  <c r="DA3" i="18"/>
  <c r="H12" i="18"/>
  <c r="CM68" i="18"/>
  <c r="AM12" i="18"/>
  <c r="CO12" i="18"/>
  <c r="AC68" i="18"/>
  <c r="X12" i="18"/>
  <c r="BP103" i="18"/>
  <c r="BD103" i="18"/>
  <c r="CK103" i="18"/>
  <c r="BJ103" i="18"/>
  <c r="W103" i="18"/>
  <c r="CI103" i="18"/>
  <c r="BV68" i="18"/>
  <c r="AH12" i="18"/>
  <c r="CS68" i="18"/>
  <c r="AG12" i="18"/>
  <c r="BH68" i="18"/>
  <c r="BH65" i="18" s="1"/>
  <c r="AB68" i="18"/>
  <c r="AB65" i="18" s="1"/>
  <c r="CW65" i="18"/>
  <c r="CW66" i="18" s="1"/>
  <c r="AC65" i="18"/>
  <c r="AC66" i="18" s="1"/>
  <c r="BD65" i="18"/>
  <c r="BD66" i="18" s="1"/>
  <c r="CT65" i="18"/>
  <c r="CT66" i="18" s="1"/>
  <c r="CS65" i="18"/>
  <c r="Y65" i="18"/>
  <c r="CF65" i="18"/>
  <c r="CF66" i="18" s="1"/>
  <c r="T65" i="18"/>
  <c r="T66" i="18" s="1"/>
  <c r="CA66" i="18"/>
  <c r="AU66" i="18"/>
  <c r="O66" i="18"/>
  <c r="BI66" i="18"/>
  <c r="CJ66" i="18"/>
  <c r="X66" i="18"/>
  <c r="AP66" i="18"/>
  <c r="F66" i="18"/>
  <c r="AG66" i="18"/>
  <c r="BP66" i="18"/>
  <c r="D66" i="18"/>
  <c r="CW85" i="18"/>
  <c r="AN85" i="18"/>
  <c r="AN86" i="18" s="1"/>
  <c r="AM86" i="18"/>
  <c r="AE11" i="18"/>
  <c r="BO12" i="18"/>
  <c r="CB12" i="18"/>
  <c r="BZ11" i="18"/>
  <c r="N11" i="18"/>
  <c r="J12" i="18"/>
  <c r="BK86" i="18"/>
  <c r="CN11" i="18"/>
  <c r="CI68" i="18"/>
  <c r="CI65" i="18" s="1"/>
  <c r="CI66" i="18" s="1"/>
  <c r="AI68" i="18"/>
  <c r="AI65" i="18" s="1"/>
  <c r="AI66" i="18" s="1"/>
  <c r="CG12" i="18"/>
  <c r="U68" i="18"/>
  <c r="P68" i="18"/>
  <c r="P65" i="18" s="1"/>
  <c r="CV103" i="18"/>
  <c r="BT103" i="18"/>
  <c r="F103" i="18"/>
  <c r="BR103" i="18"/>
  <c r="AE103" i="18"/>
  <c r="CQ103" i="18"/>
  <c r="BR68" i="18"/>
  <c r="BR65" i="18" s="1"/>
  <c r="BR66" i="18" s="1"/>
  <c r="AD68" i="18"/>
  <c r="AD65" i="18" s="1"/>
  <c r="AD66" i="18" s="1"/>
  <c r="CK68" i="18"/>
  <c r="Y12" i="18"/>
  <c r="CF12" i="18"/>
  <c r="AZ12" i="18"/>
  <c r="T12" i="18"/>
  <c r="CM65" i="18"/>
  <c r="CM66" i="18" s="1"/>
  <c r="BG65" i="18"/>
  <c r="AA65" i="18"/>
  <c r="AA66" i="18" s="1"/>
  <c r="CO65" i="18"/>
  <c r="U65" i="18"/>
  <c r="U66" i="18" s="1"/>
  <c r="CP65" i="18"/>
  <c r="CP66" i="18" s="1"/>
  <c r="BB65" i="18"/>
  <c r="R65" i="18"/>
  <c r="R66" i="18" s="1"/>
  <c r="CK65" i="18"/>
  <c r="CK66" i="18" s="1"/>
  <c r="Q65" i="18"/>
  <c r="Q66" i="18" s="1"/>
  <c r="BX65" i="18"/>
  <c r="BX66" i="18" s="1"/>
  <c r="L65" i="18"/>
  <c r="L66" i="18" s="1"/>
  <c r="BW66" i="18"/>
  <c r="BA66" i="18"/>
  <c r="P66" i="18"/>
  <c r="AL66" i="18"/>
  <c r="CS66" i="18"/>
  <c r="Y66" i="18"/>
  <c r="BH66" i="18"/>
  <c r="J68" i="18"/>
  <c r="J65" i="18" s="1"/>
  <c r="J66" i="18" s="1"/>
  <c r="BP12" i="18"/>
  <c r="D12" i="18"/>
  <c r="AQ65" i="18"/>
  <c r="AQ66" i="18" s="1"/>
  <c r="K65" i="18"/>
  <c r="K66" i="18" s="1"/>
  <c r="CB65" i="18"/>
  <c r="CB66" i="18" s="1"/>
  <c r="BV65" i="18"/>
  <c r="BV66" i="18" s="1"/>
  <c r="CL66" i="18"/>
  <c r="BE65" i="18"/>
  <c r="BE66" i="18" s="1"/>
  <c r="AR65" i="18"/>
  <c r="AR66" i="18" s="1"/>
  <c r="BG66" i="18"/>
  <c r="CO66" i="18"/>
  <c r="BB66" i="18"/>
  <c r="BM66" i="18"/>
  <c r="AB66" i="18"/>
  <c r="BS103" i="18"/>
  <c r="AM103" i="18"/>
  <c r="G103" i="18"/>
  <c r="BZ103" i="18"/>
  <c r="AT103" i="18"/>
  <c r="N103" i="18"/>
  <c r="BE103" i="18"/>
  <c r="CJ103" i="18"/>
  <c r="X103" i="18"/>
  <c r="U103" i="18"/>
  <c r="D103" i="18"/>
  <c r="AB103" i="18"/>
  <c r="CU103" i="18"/>
  <c r="CE103" i="18"/>
  <c r="BO103" i="18"/>
  <c r="AY103" i="18"/>
  <c r="AI103" i="18"/>
  <c r="S103" i="18"/>
  <c r="C103" i="18"/>
  <c r="CL103" i="18"/>
  <c r="BV103" i="18"/>
  <c r="BF103" i="18"/>
  <c r="AP103" i="18"/>
  <c r="Z103" i="18"/>
  <c r="J103" i="18"/>
  <c r="CC103" i="18"/>
  <c r="AW103" i="18"/>
  <c r="Q103" i="18"/>
  <c r="CB103" i="18"/>
  <c r="AV103" i="18"/>
  <c r="P103" i="18"/>
  <c r="BQ103" i="18"/>
  <c r="E103" i="18"/>
  <c r="AZ103" i="18"/>
  <c r="BY103" i="18"/>
  <c r="AR103" i="18"/>
  <c r="CM103" i="18"/>
  <c r="BW103" i="18"/>
  <c r="BG103" i="18"/>
  <c r="AQ103" i="18"/>
  <c r="AA103" i="18"/>
  <c r="K103" i="18"/>
  <c r="CT103" i="18"/>
  <c r="CD103" i="18"/>
  <c r="BN103" i="18"/>
  <c r="AX103" i="18"/>
  <c r="AH103" i="18"/>
  <c r="R103" i="18"/>
  <c r="CS103" i="18"/>
  <c r="BM103" i="18"/>
  <c r="AG103" i="18"/>
  <c r="CR103" i="18"/>
  <c r="BL103" i="18"/>
  <c r="AF103" i="18"/>
  <c r="CW103" i="18"/>
  <c r="AK103" i="18"/>
  <c r="CF103" i="18"/>
  <c r="T103" i="18"/>
  <c r="M103" i="18"/>
  <c r="BI103" i="18"/>
  <c r="CN103" i="18"/>
  <c r="CO103" i="18"/>
  <c r="BH103" i="18"/>
  <c r="BJ12" i="18"/>
  <c r="BJ68" i="18"/>
  <c r="BJ65" i="18" s="1"/>
  <c r="BJ66" i="18" s="1"/>
  <c r="I68" i="18"/>
  <c r="I65" i="18" s="1"/>
  <c r="I66" i="18" s="1"/>
  <c r="I12" i="18"/>
  <c r="BS12" i="18"/>
  <c r="BS68" i="18"/>
  <c r="BS65" i="18" s="1"/>
  <c r="BS66" i="18" s="1"/>
  <c r="AS68" i="18"/>
  <c r="AS65" i="18" s="1"/>
  <c r="AS66" i="18" s="1"/>
  <c r="AS12" i="18"/>
  <c r="AV12" i="18"/>
  <c r="AV68" i="18"/>
  <c r="AV65" i="18" s="1"/>
  <c r="AV66" i="18" s="1"/>
  <c r="CQ68" i="18"/>
  <c r="CQ65" i="18" s="1"/>
  <c r="CQ66" i="18" s="1"/>
  <c r="CQ12" i="18"/>
  <c r="AT68" i="18"/>
  <c r="AT65" i="18" s="1"/>
  <c r="AT66" i="18" s="1"/>
  <c r="AT12" i="18"/>
  <c r="AO12" i="18"/>
  <c r="AO68" i="18"/>
  <c r="AO65" i="18" s="1"/>
  <c r="AO66" i="18" s="1"/>
  <c r="BK12" i="18"/>
  <c r="BK68" i="18"/>
  <c r="BK65" i="18" s="1"/>
  <c r="BK66" i="18" s="1"/>
  <c r="CH12" i="18"/>
  <c r="CH68" i="18"/>
  <c r="CH65" i="18" s="1"/>
  <c r="CH66" i="18" s="1"/>
  <c r="V12" i="18"/>
  <c r="V68" i="18"/>
  <c r="V65" i="18" s="1"/>
  <c r="V66" i="18" s="1"/>
  <c r="AE68" i="18"/>
  <c r="AE65" i="18" s="1"/>
  <c r="AE66" i="18" s="1"/>
  <c r="AE12" i="18"/>
  <c r="BZ12" i="18"/>
  <c r="BZ68" i="18"/>
  <c r="BZ65" i="18" s="1"/>
  <c r="BZ66" i="18" s="1"/>
  <c r="N12" i="18"/>
  <c r="N68" i="18"/>
  <c r="N65" i="18" s="1"/>
  <c r="N66" i="18" s="1"/>
  <c r="CN68" i="18"/>
  <c r="CN65" i="18" s="1"/>
  <c r="CN66" i="18" s="1"/>
  <c r="CN12" i="18"/>
  <c r="F5" i="20"/>
  <c r="AJ193" i="34"/>
  <c r="AJ201" i="34"/>
  <c r="AO29" i="34"/>
  <c r="AO24" i="34"/>
  <c r="AJ188" i="34"/>
  <c r="AO11" i="34"/>
  <c r="AJ109" i="34"/>
  <c r="AO179" i="34"/>
  <c r="AO38" i="34"/>
  <c r="AJ93" i="34"/>
  <c r="AJ162" i="34"/>
  <c r="AO58" i="34"/>
  <c r="AD184" i="34"/>
  <c r="AJ121" i="34"/>
  <c r="AO37" i="34"/>
  <c r="AO54" i="34"/>
  <c r="AO51" i="34"/>
  <c r="AN203" i="34"/>
  <c r="AO33" i="34"/>
  <c r="AD44" i="34"/>
  <c r="AO59" i="34"/>
  <c r="AO30" i="34"/>
  <c r="AO182" i="34"/>
  <c r="AD68" i="34"/>
  <c r="AO42" i="34"/>
  <c r="AO66" i="34"/>
  <c r="AO39" i="34"/>
  <c r="AD200" i="34"/>
  <c r="AJ135" i="34"/>
  <c r="AJ170" i="34"/>
  <c r="AJ210" i="34"/>
  <c r="AJ123" i="34"/>
  <c r="AJ142" i="34"/>
  <c r="AJ149" i="34"/>
  <c r="AJ129" i="34"/>
  <c r="AJ173" i="34"/>
  <c r="AJ90" i="34"/>
  <c r="AJ147" i="34"/>
  <c r="AJ73" i="34"/>
  <c r="AJ89" i="34"/>
  <c r="AJ69" i="34"/>
  <c r="AJ150" i="34"/>
  <c r="AJ175" i="34"/>
  <c r="AJ118" i="34"/>
  <c r="AJ94" i="34"/>
  <c r="AD192" i="34"/>
  <c r="AJ53" i="34"/>
  <c r="AJ132" i="34"/>
  <c r="AJ157" i="34"/>
  <c r="AJ145" i="34"/>
  <c r="AJ75" i="34"/>
  <c r="AJ164" i="34"/>
  <c r="AJ185" i="34"/>
  <c r="AJ209" i="34"/>
  <c r="AJ189" i="34"/>
  <c r="AO12" i="34"/>
  <c r="AO8" i="34"/>
  <c r="AO186" i="34"/>
  <c r="AO7" i="34"/>
  <c r="AD60" i="34"/>
  <c r="AJ139" i="34"/>
  <c r="AJ133" i="34"/>
  <c r="AJ161" i="34"/>
  <c r="AJ153" i="34"/>
  <c r="AJ128" i="34"/>
  <c r="AO21" i="34"/>
  <c r="AJ111" i="34"/>
  <c r="AD40" i="34"/>
  <c r="AD158" i="34"/>
  <c r="AN191" i="34"/>
  <c r="AO31" i="34"/>
  <c r="AO18" i="34"/>
  <c r="AO160" i="34"/>
  <c r="AO10" i="34"/>
  <c r="AO62" i="34"/>
  <c r="AO67" i="34"/>
  <c r="AD64" i="34"/>
  <c r="AD176" i="34"/>
  <c r="AO19" i="34"/>
  <c r="AO26" i="34"/>
  <c r="AJ102" i="34"/>
  <c r="AD166" i="34"/>
  <c r="AJ48" i="34"/>
  <c r="AJ98" i="34"/>
  <c r="AJ171" i="34"/>
  <c r="AJ163" i="34"/>
  <c r="AJ183" i="34"/>
  <c r="AJ87" i="34"/>
  <c r="AJ177" i="34"/>
  <c r="AL25" i="34"/>
  <c r="AJ211" i="34"/>
  <c r="AJ172" i="34"/>
  <c r="AJ83" i="34"/>
  <c r="AJ196" i="34"/>
  <c r="AJ136" i="34"/>
  <c r="AJ127" i="34"/>
  <c r="AJ88" i="34"/>
  <c r="AJ100" i="34"/>
  <c r="AJ181" i="34"/>
  <c r="AJ81" i="34"/>
  <c r="AD206" i="34"/>
  <c r="AJ140" i="34"/>
  <c r="AJ95" i="34"/>
  <c r="AJ105" i="34"/>
  <c r="AJ72" i="34"/>
  <c r="AJ110" i="34"/>
  <c r="AJ4" i="34"/>
  <c r="AJ205" i="34"/>
  <c r="AO15" i="34"/>
  <c r="AO14" i="34"/>
  <c r="AO9" i="34"/>
  <c r="AJ148" i="34"/>
  <c r="AJ114" i="34"/>
  <c r="AJ146" i="34"/>
  <c r="AJ92" i="34"/>
  <c r="AJ82" i="34"/>
  <c r="AJ134" i="34"/>
  <c r="AJ57" i="34"/>
  <c r="AJ152" i="34"/>
  <c r="AO36" i="34"/>
  <c r="AO20" i="34"/>
  <c r="AD167" i="34"/>
  <c r="AO23" i="34"/>
  <c r="AO22" i="34"/>
  <c r="AD56" i="34"/>
  <c r="AN199" i="34"/>
  <c r="AO16" i="34"/>
  <c r="AN165" i="34"/>
  <c r="AO5" i="34"/>
  <c r="AD52" i="34"/>
  <c r="AN169" i="34"/>
  <c r="AN187" i="34"/>
  <c r="AO17" i="34"/>
  <c r="AJ126" i="34"/>
  <c r="AJ80" i="34"/>
  <c r="AJ96" i="34"/>
  <c r="AJ107" i="34"/>
  <c r="AJ84" i="34"/>
  <c r="AJ155" i="34"/>
  <c r="AJ79" i="34"/>
  <c r="AJ106" i="34"/>
  <c r="AJ45" i="34"/>
  <c r="AD208" i="34"/>
  <c r="AJ76" i="34"/>
  <c r="AJ212" i="34"/>
  <c r="AJ112" i="34"/>
  <c r="AJ125" i="34"/>
  <c r="AJ124" i="34"/>
  <c r="AJ41" i="34"/>
  <c r="AJ117" i="34"/>
  <c r="AD202" i="34"/>
  <c r="AD190" i="34"/>
  <c r="AD198" i="34"/>
  <c r="AJ101" i="34"/>
  <c r="AJ120" i="34"/>
  <c r="AJ113" i="34"/>
  <c r="AJ116" i="34"/>
  <c r="AJ86" i="34"/>
  <c r="AJ159" i="34"/>
  <c r="AJ197" i="34"/>
  <c r="AO32" i="34"/>
  <c r="AO195" i="34"/>
  <c r="AO27" i="34"/>
  <c r="AO174" i="34"/>
  <c r="AJ99" i="34"/>
  <c r="AJ78" i="34"/>
  <c r="AJ49" i="34"/>
  <c r="AJ97" i="34"/>
  <c r="AJ154" i="34"/>
  <c r="AJ119" i="34"/>
  <c r="AJ43" i="34"/>
  <c r="AN207" i="34"/>
  <c r="AO156" i="34"/>
  <c r="AO6" i="34"/>
  <c r="AO178" i="34"/>
  <c r="AO13" i="34"/>
  <c r="AO63" i="34"/>
  <c r="AD180" i="34"/>
  <c r="AO47" i="34"/>
  <c r="AO34" i="34"/>
  <c r="AO50" i="34"/>
  <c r="AO46" i="34"/>
  <c r="AO28" i="34"/>
  <c r="AO35" i="34"/>
  <c r="AO55" i="34"/>
  <c r="AJ65" i="34"/>
  <c r="AJ204" i="34"/>
  <c r="AJ194" i="34"/>
  <c r="AJ85" i="34"/>
  <c r="AJ74" i="34"/>
  <c r="AJ137" i="34"/>
  <c r="AJ122" i="34"/>
  <c r="AJ144" i="34"/>
  <c r="AJ103" i="34"/>
  <c r="AJ70" i="34"/>
  <c r="AJ141" i="34"/>
  <c r="AJ130" i="34"/>
  <c r="AJ168" i="34"/>
  <c r="AJ91" i="34"/>
  <c r="AJ115" i="34"/>
  <c r="AJ108" i="34"/>
  <c r="AJ71" i="34"/>
  <c r="AJ213" i="34"/>
  <c r="AJ61" i="34"/>
  <c r="AJ143" i="34"/>
  <c r="AJ151" i="34"/>
  <c r="AJ104" i="34"/>
  <c r="AJ138" i="34"/>
  <c r="AJ131" i="34"/>
  <c r="AJ77" i="34"/>
  <c r="C5" i="23"/>
  <c r="O53" i="23"/>
  <c r="D12" i="23"/>
  <c r="P18" i="23"/>
  <c r="L22" i="36"/>
  <c r="L10" i="36"/>
  <c r="L17" i="36"/>
  <c r="L30" i="36"/>
  <c r="L14" i="36"/>
  <c r="T30" i="36"/>
  <c r="T23" i="36"/>
  <c r="T27" i="36"/>
  <c r="T22" i="36"/>
  <c r="T9" i="36"/>
  <c r="L18" i="36"/>
  <c r="L7" i="36"/>
  <c r="T20" i="36"/>
  <c r="L15" i="36"/>
  <c r="L25" i="36"/>
  <c r="L20" i="36"/>
  <c r="L29" i="36"/>
  <c r="L12" i="36"/>
  <c r="T18" i="36"/>
  <c r="T25" i="36"/>
  <c r="T13" i="36"/>
  <c r="T8" i="36"/>
  <c r="T24" i="36"/>
  <c r="L24" i="36"/>
  <c r="L13" i="36"/>
  <c r="T28" i="36"/>
  <c r="T17" i="36"/>
  <c r="L23" i="36"/>
  <c r="L9" i="36"/>
  <c r="L19" i="36"/>
  <c r="L8" i="36"/>
  <c r="L28" i="36"/>
  <c r="T19" i="36"/>
  <c r="T14" i="36"/>
  <c r="T12" i="36"/>
  <c r="T15" i="36"/>
  <c r="T10" i="36"/>
  <c r="L27" i="36"/>
  <c r="T29" i="36"/>
  <c r="AL193" i="34"/>
  <c r="AL201" i="34"/>
  <c r="AP29" i="34"/>
  <c r="AQ29" i="34"/>
  <c r="AP24" i="34"/>
  <c r="AQ24" i="34"/>
  <c r="AL188" i="34"/>
  <c r="AN188" i="34"/>
  <c r="AM188" i="34"/>
  <c r="AQ11" i="34"/>
  <c r="AP11" i="34"/>
  <c r="AL109" i="34"/>
  <c r="AP179" i="34"/>
  <c r="AQ179" i="34"/>
  <c r="AQ38" i="34"/>
  <c r="AP38" i="34"/>
  <c r="AL93" i="34"/>
  <c r="AL162" i="34"/>
  <c r="AN162" i="34" s="1"/>
  <c r="AM162" i="34"/>
  <c r="AP58" i="34"/>
  <c r="AQ58" i="34"/>
  <c r="AG184" i="34"/>
  <c r="AL121" i="34"/>
  <c r="AP37" i="34"/>
  <c r="AQ37" i="34"/>
  <c r="AP54" i="34"/>
  <c r="AQ54" i="34"/>
  <c r="AP51" i="34"/>
  <c r="AQ51" i="34"/>
  <c r="AP33" i="34"/>
  <c r="AQ33" i="34"/>
  <c r="AG44" i="34"/>
  <c r="AP59" i="34"/>
  <c r="AQ59" i="34"/>
  <c r="AQ30" i="34"/>
  <c r="AP30" i="34"/>
  <c r="AQ182" i="34"/>
  <c r="AP182" i="34"/>
  <c r="AG68" i="34"/>
  <c r="AQ42" i="34"/>
  <c r="AP42" i="34"/>
  <c r="AP66" i="34"/>
  <c r="AQ66" i="34"/>
  <c r="AP39" i="34"/>
  <c r="AQ39" i="34"/>
  <c r="AG200" i="34"/>
  <c r="AL135" i="34"/>
  <c r="AL170" i="34"/>
  <c r="AN170" i="34" s="1"/>
  <c r="AM170" i="34"/>
  <c r="AL210" i="34"/>
  <c r="AM210" i="34"/>
  <c r="AN210" i="34"/>
  <c r="AL123" i="34"/>
  <c r="AL142" i="34"/>
  <c r="AL149" i="34"/>
  <c r="AN149" i="34" s="1"/>
  <c r="AM149" i="34"/>
  <c r="AL129" i="34"/>
  <c r="AN129" i="34"/>
  <c r="AL173" i="34"/>
  <c r="AM173" i="34"/>
  <c r="AL90" i="34"/>
  <c r="AN90" i="34"/>
  <c r="AL147" i="34"/>
  <c r="AN147" i="34" s="1"/>
  <c r="AM147" i="34"/>
  <c r="AL73" i="34"/>
  <c r="AL89" i="34"/>
  <c r="AL69" i="34"/>
  <c r="AL150" i="34"/>
  <c r="AL175" i="34"/>
  <c r="AN175" i="34" s="1"/>
  <c r="AM175" i="34"/>
  <c r="AL118" i="34"/>
  <c r="AL94" i="34"/>
  <c r="AN94" i="34"/>
  <c r="AG192" i="34"/>
  <c r="AL53" i="34"/>
  <c r="AL132" i="34"/>
  <c r="AM132" i="34" s="1"/>
  <c r="AN132" i="34"/>
  <c r="AL157" i="34"/>
  <c r="AM157" i="34"/>
  <c r="AN157" i="34"/>
  <c r="AL145" i="34"/>
  <c r="AM145" i="34"/>
  <c r="AN145" i="34"/>
  <c r="AL75" i="34"/>
  <c r="AL164" i="34"/>
  <c r="AM164" i="34" s="1"/>
  <c r="AN164" i="34"/>
  <c r="AL185" i="34"/>
  <c r="AM185" i="34"/>
  <c r="AL209" i="34"/>
  <c r="AL189" i="34"/>
  <c r="AM189" i="34"/>
  <c r="AN189" i="34"/>
  <c r="AQ12" i="34"/>
  <c r="AP12" i="34"/>
  <c r="AP8" i="34"/>
  <c r="AQ8" i="34"/>
  <c r="AP186" i="34"/>
  <c r="AQ186" i="34"/>
  <c r="AQ7" i="34"/>
  <c r="AP7" i="34"/>
  <c r="AG60" i="34"/>
  <c r="AL139" i="34"/>
  <c r="AM139" i="34" s="1"/>
  <c r="AN139" i="34"/>
  <c r="AL133" i="34"/>
  <c r="AL161" i="34"/>
  <c r="AL153" i="34"/>
  <c r="AM153" i="34" s="1"/>
  <c r="AN153" i="34"/>
  <c r="AL128" i="34"/>
  <c r="AM128" i="34"/>
  <c r="AN128" i="34"/>
  <c r="AP21" i="34"/>
  <c r="AQ21" i="34"/>
  <c r="AL111" i="34"/>
  <c r="AG40" i="34"/>
  <c r="AG158" i="34"/>
  <c r="AP31" i="34"/>
  <c r="AQ31" i="34"/>
  <c r="AQ18" i="34"/>
  <c r="AP18" i="34"/>
  <c r="AP160" i="34"/>
  <c r="AQ160" i="34"/>
  <c r="AP10" i="34"/>
  <c r="AQ10" i="34"/>
  <c r="AP62" i="34"/>
  <c r="AQ62" i="34"/>
  <c r="AP67" i="34"/>
  <c r="AQ67" i="34"/>
  <c r="AG64" i="34"/>
  <c r="AG176" i="34"/>
  <c r="AQ19" i="34"/>
  <c r="AP19" i="34"/>
  <c r="AQ26" i="34"/>
  <c r="AP26" i="34"/>
  <c r="AL102" i="34"/>
  <c r="AG166" i="34"/>
  <c r="AL48" i="34"/>
  <c r="AL98" i="34"/>
  <c r="AN98" i="34"/>
  <c r="AL171" i="34"/>
  <c r="AM171" i="34"/>
  <c r="AL163" i="34"/>
  <c r="AL183" i="34"/>
  <c r="AL87" i="34"/>
  <c r="AL177" i="34"/>
  <c r="AN25" i="34"/>
  <c r="AM25" i="34"/>
  <c r="AL211" i="34"/>
  <c r="AM211" i="34" s="1"/>
  <c r="AN211" i="34"/>
  <c r="AL172" i="34"/>
  <c r="AM172" i="34"/>
  <c r="AL83" i="34"/>
  <c r="AL196" i="34"/>
  <c r="AM196" i="34"/>
  <c r="AN196" i="34"/>
  <c r="AL136" i="34"/>
  <c r="AN136" i="34" s="1"/>
  <c r="AM136" i="34"/>
  <c r="AL127" i="34"/>
  <c r="AL88" i="34"/>
  <c r="AL100" i="34"/>
  <c r="AL181" i="34"/>
  <c r="AM181" i="34"/>
  <c r="AL81" i="34"/>
  <c r="AN81" i="34"/>
  <c r="AG206" i="34"/>
  <c r="AL140" i="34"/>
  <c r="AN140" i="34"/>
  <c r="AL95" i="34"/>
  <c r="AL105" i="34"/>
  <c r="AL72" i="34"/>
  <c r="AN72" i="34"/>
  <c r="AL110" i="34"/>
  <c r="AN110" i="34"/>
  <c r="AL4" i="34"/>
  <c r="AM4" i="34" s="1"/>
  <c r="AN4" i="34"/>
  <c r="AL205" i="34"/>
  <c r="AP15" i="34"/>
  <c r="AQ15" i="34"/>
  <c r="AQ14" i="34"/>
  <c r="AP14" i="34"/>
  <c r="AQ9" i="34"/>
  <c r="AP9" i="34"/>
  <c r="AL148" i="34"/>
  <c r="AN148" i="34"/>
  <c r="AL114" i="34"/>
  <c r="AN114" i="34"/>
  <c r="AL146" i="34"/>
  <c r="AL92" i="34"/>
  <c r="AN92" i="34"/>
  <c r="AL82" i="34"/>
  <c r="AN82" i="34"/>
  <c r="AL134" i="34"/>
  <c r="AL57" i="34"/>
  <c r="AL152" i="34"/>
  <c r="AP36" i="34"/>
  <c r="AQ36" i="34"/>
  <c r="AP20" i="34"/>
  <c r="AQ20" i="34"/>
  <c r="AG167" i="34"/>
  <c r="AP23" i="34"/>
  <c r="AQ23" i="34"/>
  <c r="AQ22" i="34"/>
  <c r="AP22" i="34"/>
  <c r="AG56" i="34"/>
  <c r="AP16" i="34"/>
  <c r="AQ16" i="34"/>
  <c r="AQ5" i="34"/>
  <c r="AP5" i="34"/>
  <c r="AG52" i="34"/>
  <c r="AQ17" i="34"/>
  <c r="AP17" i="34"/>
  <c r="AL126" i="34"/>
  <c r="AL80" i="34"/>
  <c r="AN80" i="34"/>
  <c r="AL96" i="34"/>
  <c r="AL107" i="34"/>
  <c r="AL84" i="34"/>
  <c r="AN84" i="34"/>
  <c r="AL155" i="34"/>
  <c r="AM155" i="34"/>
  <c r="AL79" i="34"/>
  <c r="AL106" i="34"/>
  <c r="AL45" i="34"/>
  <c r="AG208" i="34"/>
  <c r="AL76" i="34"/>
  <c r="AN76" i="34"/>
  <c r="AL212" i="34"/>
  <c r="AL112" i="34"/>
  <c r="AL125" i="34"/>
  <c r="AL124" i="34"/>
  <c r="AL41" i="34"/>
  <c r="AL117" i="34"/>
  <c r="AG202" i="34"/>
  <c r="AG190" i="34"/>
  <c r="AG198" i="34"/>
  <c r="AL101" i="34"/>
  <c r="AL120" i="34"/>
  <c r="AN120" i="34"/>
  <c r="AM120" i="34"/>
  <c r="AL113" i="34"/>
  <c r="AL116" i="34"/>
  <c r="AL86" i="34"/>
  <c r="AN86" i="34"/>
  <c r="AL159" i="34"/>
  <c r="AL197" i="34"/>
  <c r="AM197" i="34"/>
  <c r="AN197" i="34"/>
  <c r="AP32" i="34"/>
  <c r="AQ32" i="34"/>
  <c r="AP195" i="34"/>
  <c r="AQ195" i="34"/>
  <c r="AP27" i="34"/>
  <c r="AQ27" i="34"/>
  <c r="AP174" i="34"/>
  <c r="AQ174" i="34"/>
  <c r="AL99" i="34"/>
  <c r="AL78" i="34"/>
  <c r="AN78" i="34"/>
  <c r="AL49" i="34"/>
  <c r="AM49" i="34"/>
  <c r="AL97" i="34"/>
  <c r="AL154" i="34"/>
  <c r="AN154" i="34" s="1"/>
  <c r="AM154" i="34"/>
  <c r="AL119" i="34"/>
  <c r="AL43" i="34"/>
  <c r="AP156" i="34"/>
  <c r="AQ156" i="34"/>
  <c r="AQ6" i="34"/>
  <c r="AP6" i="34"/>
  <c r="AQ178" i="34"/>
  <c r="AP178" i="34"/>
  <c r="AQ13" i="34"/>
  <c r="AP13" i="34"/>
  <c r="AQ63" i="34"/>
  <c r="AP63" i="34"/>
  <c r="AG180" i="34"/>
  <c r="AP47" i="34"/>
  <c r="AQ47" i="34"/>
  <c r="AP34" i="34"/>
  <c r="AQ34" i="34"/>
  <c r="AP50" i="34"/>
  <c r="AQ50" i="34"/>
  <c r="AQ46" i="34"/>
  <c r="AP46" i="34"/>
  <c r="AP28" i="34"/>
  <c r="AQ28" i="34"/>
  <c r="AP35" i="34"/>
  <c r="AQ35" i="34"/>
  <c r="AP55" i="34"/>
  <c r="AQ55" i="34"/>
  <c r="AL65" i="34"/>
  <c r="AM65" i="34"/>
  <c r="AL204" i="34"/>
  <c r="AM204" i="34" s="1"/>
  <c r="AN204" i="34"/>
  <c r="AL194" i="34"/>
  <c r="AN194" i="34" s="1"/>
  <c r="AM194" i="34"/>
  <c r="AL85" i="34"/>
  <c r="AL74" i="34"/>
  <c r="AN74" i="34"/>
  <c r="AL137" i="34"/>
  <c r="AM137" i="34"/>
  <c r="AN137" i="34"/>
  <c r="AL122" i="34"/>
  <c r="AN122" i="34"/>
  <c r="AL144" i="34"/>
  <c r="AL103" i="34"/>
  <c r="AN103" i="34"/>
  <c r="AL70" i="34"/>
  <c r="AN70" i="34"/>
  <c r="AL141" i="34"/>
  <c r="AL130" i="34"/>
  <c r="AN130" i="34"/>
  <c r="AL168" i="34"/>
  <c r="AM168" i="34"/>
  <c r="AL91" i="34"/>
  <c r="AL115" i="34"/>
  <c r="AL108" i="34"/>
  <c r="AL71" i="34"/>
  <c r="AN71" i="34"/>
  <c r="AL213" i="34"/>
  <c r="AM213" i="34"/>
  <c r="AN213" i="34"/>
  <c r="AL61" i="34"/>
  <c r="AL143" i="34"/>
  <c r="AN143" i="34"/>
  <c r="AM143" i="34"/>
  <c r="AL151" i="34"/>
  <c r="AN151" i="34"/>
  <c r="AM151" i="34"/>
  <c r="AL104" i="34"/>
  <c r="AN104" i="34"/>
  <c r="AL138" i="34"/>
  <c r="AL131" i="34"/>
  <c r="AM131" i="34" s="1"/>
  <c r="AN131" i="34"/>
  <c r="AL77" i="34"/>
  <c r="AM193" i="34"/>
  <c r="AM201" i="34"/>
  <c r="AN109" i="34"/>
  <c r="AN93" i="34"/>
  <c r="AN121" i="34"/>
  <c r="AN135" i="34"/>
  <c r="AM135" i="34"/>
  <c r="AM123" i="34"/>
  <c r="AN123" i="34"/>
  <c r="AN142" i="34"/>
  <c r="AN73" i="34"/>
  <c r="AN89" i="34"/>
  <c r="AM69" i="34"/>
  <c r="AN150" i="34"/>
  <c r="AN118" i="34"/>
  <c r="AM53" i="34"/>
  <c r="AN75" i="34"/>
  <c r="AM209" i="34"/>
  <c r="AN133" i="34"/>
  <c r="AN161" i="34"/>
  <c r="AM161" i="34"/>
  <c r="AN111" i="34"/>
  <c r="AN102" i="34"/>
  <c r="AM48" i="34"/>
  <c r="AM163" i="34"/>
  <c r="AN183" i="34"/>
  <c r="AM183" i="34"/>
  <c r="AN87" i="34"/>
  <c r="AM177" i="34"/>
  <c r="AN83" i="34"/>
  <c r="AM127" i="34"/>
  <c r="AN127" i="34"/>
  <c r="AN88" i="34"/>
  <c r="AN100" i="34"/>
  <c r="AN95" i="34"/>
  <c r="AN105" i="34"/>
  <c r="AN205" i="34"/>
  <c r="AM205" i="34"/>
  <c r="AN146" i="34"/>
  <c r="AN134" i="34"/>
  <c r="AM57" i="34"/>
  <c r="AN152" i="34"/>
  <c r="AN126" i="34"/>
  <c r="AN96" i="34"/>
  <c r="AN107" i="34"/>
  <c r="AN79" i="34"/>
  <c r="AN106" i="34"/>
  <c r="AM45" i="34"/>
  <c r="AN212" i="34"/>
  <c r="AM212" i="34"/>
  <c r="AN112" i="34"/>
  <c r="AN125" i="34"/>
  <c r="AN124" i="34"/>
  <c r="AM124" i="34"/>
  <c r="AM41" i="34"/>
  <c r="AN117" i="34"/>
  <c r="AN101" i="34"/>
  <c r="AN113" i="34"/>
  <c r="AN116" i="34"/>
  <c r="AM159" i="34"/>
  <c r="AN99" i="34"/>
  <c r="AN97" i="34"/>
  <c r="AN119" i="34"/>
  <c r="AN43" i="34"/>
  <c r="AM43" i="34"/>
  <c r="AN85" i="34"/>
  <c r="AN144" i="34"/>
  <c r="AN141" i="34"/>
  <c r="AM141" i="34"/>
  <c r="AN91" i="34"/>
  <c r="AN115" i="34"/>
  <c r="AN108" i="34"/>
  <c r="AM61" i="34"/>
  <c r="AN138" i="34"/>
  <c r="AN77" i="34"/>
  <c r="AW27" i="36" l="1"/>
  <c r="AY27" i="36" s="1"/>
  <c r="AU27" i="36"/>
  <c r="AV27" i="36"/>
  <c r="AU28" i="36"/>
  <c r="AV28" i="36"/>
  <c r="AW28" i="36"/>
  <c r="AU8" i="36"/>
  <c r="AX8" i="36" s="1"/>
  <c r="AV8" i="36"/>
  <c r="AW8" i="36"/>
  <c r="AU19" i="36"/>
  <c r="AV19" i="36"/>
  <c r="AW19" i="36"/>
  <c r="AU9" i="36"/>
  <c r="AW9" i="36"/>
  <c r="AV9" i="36"/>
  <c r="AU23" i="36"/>
  <c r="AX23" i="36" s="1"/>
  <c r="AV23" i="36"/>
  <c r="AW23" i="36"/>
  <c r="AW13" i="36"/>
  <c r="AU13" i="36"/>
  <c r="AX13" i="36" s="1"/>
  <c r="AV13" i="36"/>
  <c r="AW24" i="36"/>
  <c r="AU24" i="36"/>
  <c r="AX24" i="36" s="1"/>
  <c r="AV24" i="36"/>
  <c r="AW12" i="36"/>
  <c r="AY12" i="36" s="1"/>
  <c r="AU12" i="36"/>
  <c r="AV12" i="36"/>
  <c r="AW29" i="36"/>
  <c r="AU29" i="36"/>
  <c r="AV29" i="36"/>
  <c r="AV20" i="36"/>
  <c r="AW20" i="36"/>
  <c r="AY20" i="36" s="1"/>
  <c r="AU20" i="36"/>
  <c r="AV25" i="36"/>
  <c r="AU25" i="36"/>
  <c r="AX25" i="36" s="1"/>
  <c r="AW25" i="36"/>
  <c r="AU15" i="36"/>
  <c r="AW15" i="36"/>
  <c r="AV15" i="36"/>
  <c r="AW7" i="36"/>
  <c r="AY7" i="36" s="1"/>
  <c r="AV7" i="36"/>
  <c r="AU7" i="36"/>
  <c r="AW18" i="36"/>
  <c r="AY18" i="36" s="1"/>
  <c r="AU18" i="36"/>
  <c r="AX18" i="36" s="1"/>
  <c r="AV18" i="36"/>
  <c r="AU14" i="36"/>
  <c r="AW14" i="36"/>
  <c r="AY14" i="36" s="1"/>
  <c r="AV14" i="36"/>
  <c r="AU30" i="36"/>
  <c r="AX30" i="36" s="1"/>
  <c r="AW30" i="36"/>
  <c r="AV30" i="36"/>
  <c r="AW17" i="36"/>
  <c r="AY17" i="36" s="1"/>
  <c r="AU17" i="36"/>
  <c r="AV17" i="36"/>
  <c r="AV10" i="36"/>
  <c r="AU10" i="36"/>
  <c r="AX10" i="36" s="1"/>
  <c r="AW10" i="36"/>
  <c r="AW22" i="36"/>
  <c r="AU22" i="36"/>
  <c r="AV22" i="36"/>
  <c r="AT7" i="36"/>
  <c r="AX27" i="36"/>
  <c r="AX28" i="36"/>
  <c r="AY28" i="36"/>
  <c r="AY8" i="36"/>
  <c r="AY19" i="36"/>
  <c r="AX19" i="36"/>
  <c r="AY9" i="36"/>
  <c r="AX9" i="36"/>
  <c r="AY23" i="36"/>
  <c r="AY13" i="36"/>
  <c r="AY24" i="36"/>
  <c r="AX12" i="36"/>
  <c r="AY29" i="36"/>
  <c r="AX29" i="36"/>
  <c r="AX20" i="36"/>
  <c r="AY25" i="36"/>
  <c r="AY15" i="36"/>
  <c r="AX15" i="36"/>
  <c r="AX7" i="36"/>
  <c r="AX14" i="36"/>
  <c r="AY30" i="36"/>
  <c r="AX17" i="36"/>
  <c r="AY10" i="36"/>
  <c r="AX22" i="36"/>
  <c r="AY22" i="36"/>
  <c r="AE9" i="30"/>
  <c r="W9" i="30"/>
  <c r="Q9" i="30"/>
  <c r="W8" i="30"/>
  <c r="P8" i="30"/>
  <c r="K29" i="30"/>
  <c r="AC9" i="30"/>
  <c r="V9" i="30"/>
  <c r="O9" i="30"/>
  <c r="AB8" i="30"/>
  <c r="V8" i="30"/>
  <c r="O8" i="30"/>
  <c r="K13" i="30"/>
  <c r="AA9" i="30"/>
  <c r="U9" i="30"/>
  <c r="M9" i="30"/>
  <c r="AA8" i="30"/>
  <c r="T8" i="30"/>
  <c r="L8" i="30"/>
  <c r="Z9" i="30"/>
  <c r="R9" i="30"/>
  <c r="AF8" i="30"/>
  <c r="Z8" i="30"/>
  <c r="R8" i="30"/>
  <c r="AE8" i="30"/>
  <c r="K25" i="30"/>
  <c r="AD9" i="30"/>
  <c r="Y9" i="30"/>
  <c r="S9" i="30"/>
  <c r="N9" i="30"/>
  <c r="AD8" i="30"/>
  <c r="X8" i="30"/>
  <c r="S8" i="30"/>
  <c r="N8" i="30"/>
  <c r="AF9" i="30"/>
  <c r="AB9" i="30"/>
  <c r="X9" i="30"/>
  <c r="T9" i="30"/>
  <c r="P9" i="30"/>
  <c r="L9" i="30"/>
  <c r="AC8" i="30"/>
  <c r="Y8" i="30"/>
  <c r="U8" i="30"/>
  <c r="Q8" i="30"/>
  <c r="K21" i="30"/>
  <c r="K33" i="30"/>
  <c r="K17" i="30"/>
  <c r="K36" i="30"/>
  <c r="K32" i="30"/>
  <c r="K28" i="30"/>
  <c r="K24" i="30"/>
  <c r="K20" i="30"/>
  <c r="K16" i="30"/>
  <c r="K35" i="30"/>
  <c r="K31" i="30"/>
  <c r="K27" i="30"/>
  <c r="K23" i="30"/>
  <c r="K19" i="30"/>
  <c r="K15" i="30"/>
  <c r="K34" i="30"/>
  <c r="K30" i="30"/>
  <c r="K26" i="30"/>
  <c r="K22" i="30"/>
  <c r="K18" i="30"/>
  <c r="C19" i="29"/>
  <c r="C35" i="29"/>
  <c r="C34" i="29"/>
  <c r="C18" i="29"/>
  <c r="C79" i="29"/>
  <c r="D78" i="18"/>
  <c r="L78" i="18"/>
  <c r="T78" i="18"/>
  <c r="AB78" i="18"/>
  <c r="AJ78" i="18"/>
  <c r="AR78" i="18"/>
  <c r="AZ78" i="18"/>
  <c r="BH78" i="18"/>
  <c r="BP78" i="18"/>
  <c r="BX78" i="18"/>
  <c r="CF78" i="18"/>
  <c r="CN78" i="18"/>
  <c r="CV78" i="18"/>
  <c r="E78" i="18"/>
  <c r="Q78" i="18"/>
  <c r="Y78" i="18"/>
  <c r="AG78" i="18"/>
  <c r="AW78" i="18"/>
  <c r="BE78" i="18"/>
  <c r="BM78" i="18"/>
  <c r="BY78" i="18"/>
  <c r="CC78" i="18"/>
  <c r="CK78" i="18"/>
  <c r="CS78" i="18"/>
  <c r="F78" i="18"/>
  <c r="J78" i="18"/>
  <c r="N78" i="18"/>
  <c r="R78" i="18"/>
  <c r="V78" i="18"/>
  <c r="AD78" i="18"/>
  <c r="AH78" i="18"/>
  <c r="AL78" i="18"/>
  <c r="AP78" i="18"/>
  <c r="AT78" i="18"/>
  <c r="AX78" i="18"/>
  <c r="BB78" i="18"/>
  <c r="BJ78" i="18"/>
  <c r="BN78" i="18"/>
  <c r="BR78" i="18"/>
  <c r="BV78" i="18"/>
  <c r="BZ78" i="18"/>
  <c r="CD78" i="18"/>
  <c r="CH78" i="18"/>
  <c r="CP78" i="18"/>
  <c r="CT78" i="18"/>
  <c r="CX78" i="18"/>
  <c r="H78" i="18"/>
  <c r="P78" i="18"/>
  <c r="X78" i="18"/>
  <c r="AF78" i="18"/>
  <c r="AN78" i="18"/>
  <c r="AV78" i="18"/>
  <c r="BD78" i="18"/>
  <c r="BL78" i="18"/>
  <c r="BT78" i="18"/>
  <c r="CB78" i="18"/>
  <c r="CJ78" i="18"/>
  <c r="CR78" i="18"/>
  <c r="M78" i="18"/>
  <c r="U78" i="18"/>
  <c r="AC78" i="18"/>
  <c r="AK78" i="18"/>
  <c r="AS78" i="18"/>
  <c r="BA78" i="18"/>
  <c r="BI78" i="18"/>
  <c r="BQ78" i="18"/>
  <c r="CG78" i="18"/>
  <c r="CO78" i="18"/>
  <c r="CW78" i="18"/>
  <c r="C78" i="18"/>
  <c r="G78" i="18"/>
  <c r="K78" i="18"/>
  <c r="O78" i="18"/>
  <c r="S78" i="18"/>
  <c r="W78" i="18"/>
  <c r="AA78" i="18"/>
  <c r="AE78" i="18"/>
  <c r="AI78" i="18"/>
  <c r="AM78" i="18"/>
  <c r="AQ78" i="18"/>
  <c r="AU78" i="18"/>
  <c r="AY78" i="18"/>
  <c r="BC78" i="18"/>
  <c r="BG78" i="18"/>
  <c r="BK78" i="18"/>
  <c r="BO78" i="18"/>
  <c r="BS78" i="18"/>
  <c r="BW78" i="18"/>
  <c r="CA78" i="18"/>
  <c r="CE78" i="18"/>
  <c r="CI78" i="18"/>
  <c r="CM78" i="18"/>
  <c r="CQ78" i="18"/>
  <c r="CU78" i="18"/>
  <c r="D34" i="18"/>
  <c r="D18" i="18"/>
  <c r="L34" i="18"/>
  <c r="L18" i="18"/>
  <c r="T34" i="18"/>
  <c r="T18" i="18"/>
  <c r="AB34" i="18"/>
  <c r="AB18" i="18"/>
  <c r="AJ34" i="18"/>
  <c r="AJ18" i="18"/>
  <c r="AR34" i="18"/>
  <c r="AR18" i="18"/>
  <c r="AZ34" i="18"/>
  <c r="AZ18" i="18"/>
  <c r="BH34" i="18"/>
  <c r="BH18" i="18"/>
  <c r="BP34" i="18"/>
  <c r="BP18" i="18"/>
  <c r="BX34" i="18"/>
  <c r="BX18" i="18"/>
  <c r="CF34" i="18"/>
  <c r="CF18" i="18"/>
  <c r="CN34" i="18"/>
  <c r="CN18" i="18"/>
  <c r="CV34" i="18"/>
  <c r="CV18" i="18"/>
  <c r="I78" i="18"/>
  <c r="AO78" i="18"/>
  <c r="BU78" i="18"/>
  <c r="E34" i="18"/>
  <c r="E18" i="18"/>
  <c r="I34" i="18"/>
  <c r="I18" i="18"/>
  <c r="Q34" i="18"/>
  <c r="Q18" i="18"/>
  <c r="Y18" i="18"/>
  <c r="Y34" i="18"/>
  <c r="AG34" i="18"/>
  <c r="AG18" i="18"/>
  <c r="AO34" i="18"/>
  <c r="AO18" i="18"/>
  <c r="AW34" i="18"/>
  <c r="AW18" i="18"/>
  <c r="BE34" i="18"/>
  <c r="BE18" i="18"/>
  <c r="BM34" i="18"/>
  <c r="BM18" i="18"/>
  <c r="BY18" i="18"/>
  <c r="BY34" i="18"/>
  <c r="CC34" i="18"/>
  <c r="CC18" i="18"/>
  <c r="CK34" i="18"/>
  <c r="CK18" i="18"/>
  <c r="CS34" i="18"/>
  <c r="CS18" i="18"/>
  <c r="Z78" i="18"/>
  <c r="BF78" i="18"/>
  <c r="CL78" i="18"/>
  <c r="F34" i="18"/>
  <c r="F18" i="18"/>
  <c r="N18" i="18"/>
  <c r="N34" i="18"/>
  <c r="R18" i="18"/>
  <c r="R34" i="18"/>
  <c r="V34" i="18"/>
  <c r="V18" i="18"/>
  <c r="Z34" i="18"/>
  <c r="Z18" i="18"/>
  <c r="AH18" i="18"/>
  <c r="AH34" i="18"/>
  <c r="AL34" i="18"/>
  <c r="AL18" i="18"/>
  <c r="AT18" i="18"/>
  <c r="AT34" i="18"/>
  <c r="AX18" i="18"/>
  <c r="AX34" i="18"/>
  <c r="BB34" i="18"/>
  <c r="BB18" i="18"/>
  <c r="BF34" i="18"/>
  <c r="BF18" i="18"/>
  <c r="BN18" i="18"/>
  <c r="BN34" i="18"/>
  <c r="BR34" i="18"/>
  <c r="BR18" i="18"/>
  <c r="BZ18" i="18"/>
  <c r="BZ34" i="18"/>
  <c r="CD18" i="18"/>
  <c r="CD34" i="18"/>
  <c r="CH34" i="18"/>
  <c r="CH18" i="18"/>
  <c r="CL34" i="18"/>
  <c r="CL18" i="18"/>
  <c r="CT18" i="18"/>
  <c r="CT34" i="18"/>
  <c r="CX34" i="18"/>
  <c r="CX18" i="18"/>
  <c r="X34" i="18"/>
  <c r="X18" i="18"/>
  <c r="BD34" i="18"/>
  <c r="BD18" i="18"/>
  <c r="CJ34" i="18"/>
  <c r="CJ18" i="18"/>
  <c r="M18" i="18"/>
  <c r="M34" i="18"/>
  <c r="U34" i="18"/>
  <c r="U18" i="18"/>
  <c r="AC18" i="18"/>
  <c r="AC34" i="18"/>
  <c r="AK34" i="18"/>
  <c r="AK18" i="18"/>
  <c r="AS18" i="18"/>
  <c r="AS34" i="18"/>
  <c r="BA34" i="18"/>
  <c r="BA18" i="18"/>
  <c r="BI18" i="18"/>
  <c r="BI34" i="18"/>
  <c r="BQ34" i="18"/>
  <c r="BQ18" i="18"/>
  <c r="BU34" i="18"/>
  <c r="BU18" i="18"/>
  <c r="CG34" i="18"/>
  <c r="CG18" i="18"/>
  <c r="CO18" i="18"/>
  <c r="CO34" i="18"/>
  <c r="CW34" i="18"/>
  <c r="CW18" i="18"/>
  <c r="C18" i="18"/>
  <c r="C34" i="18"/>
  <c r="G18" i="18"/>
  <c r="G34" i="18"/>
  <c r="W18" i="18"/>
  <c r="W34" i="18"/>
  <c r="AM18" i="18"/>
  <c r="AM34" i="18"/>
  <c r="BC18" i="18"/>
  <c r="BC34" i="18"/>
  <c r="BS18" i="18"/>
  <c r="BS34" i="18"/>
  <c r="CI18" i="18"/>
  <c r="CI34" i="18"/>
  <c r="D33" i="18"/>
  <c r="D17" i="18"/>
  <c r="L33" i="18"/>
  <c r="L17" i="18"/>
  <c r="T33" i="18"/>
  <c r="T17" i="18"/>
  <c r="AB33" i="18"/>
  <c r="AB17" i="18"/>
  <c r="AJ33" i="18"/>
  <c r="AJ17" i="18"/>
  <c r="AR33" i="18"/>
  <c r="AR17" i="18"/>
  <c r="AZ33" i="18"/>
  <c r="AZ17" i="18"/>
  <c r="BH33" i="18"/>
  <c r="BH17" i="18"/>
  <c r="BP33" i="18"/>
  <c r="BP17" i="18"/>
  <c r="BX33" i="18"/>
  <c r="BX17" i="18"/>
  <c r="CF33" i="18"/>
  <c r="CF17" i="18"/>
  <c r="CN33" i="18"/>
  <c r="CN17" i="18"/>
  <c r="CV33" i="18"/>
  <c r="CV17" i="18"/>
  <c r="H34" i="18"/>
  <c r="H18" i="18"/>
  <c r="S18" i="18"/>
  <c r="S34" i="18"/>
  <c r="AD18" i="18"/>
  <c r="AD34" i="18"/>
  <c r="AN34" i="18"/>
  <c r="AN18" i="18"/>
  <c r="AY18" i="18"/>
  <c r="AY34" i="18"/>
  <c r="BJ18" i="18"/>
  <c r="BJ34" i="18"/>
  <c r="BT34" i="18"/>
  <c r="BT18" i="18"/>
  <c r="CE18" i="18"/>
  <c r="CE34" i="18"/>
  <c r="CP18" i="18"/>
  <c r="CP34" i="18"/>
  <c r="E33" i="18"/>
  <c r="E17" i="18"/>
  <c r="I33" i="18"/>
  <c r="I17" i="18"/>
  <c r="Q17" i="18"/>
  <c r="Q33" i="18"/>
  <c r="Y33" i="18"/>
  <c r="Y17" i="18"/>
  <c r="AG17" i="18"/>
  <c r="AG33" i="18"/>
  <c r="AO33" i="18"/>
  <c r="AO17" i="18"/>
  <c r="AW17" i="18"/>
  <c r="AW33" i="18"/>
  <c r="BE33" i="18"/>
  <c r="BE17" i="18"/>
  <c r="BM17" i="18"/>
  <c r="BM33" i="18"/>
  <c r="BY33" i="18"/>
  <c r="BY17" i="18"/>
  <c r="CC17" i="18"/>
  <c r="CC33" i="18"/>
  <c r="CK33" i="18"/>
  <c r="CK17" i="18"/>
  <c r="CS17" i="18"/>
  <c r="CS33" i="18"/>
  <c r="J34" i="18"/>
  <c r="J18" i="18"/>
  <c r="AE18" i="18"/>
  <c r="AE34" i="18"/>
  <c r="AP34" i="18"/>
  <c r="AP18" i="18"/>
  <c r="BK18" i="18"/>
  <c r="BK34" i="18"/>
  <c r="BV34" i="18"/>
  <c r="BV18" i="18"/>
  <c r="CQ18" i="18"/>
  <c r="CQ34" i="18"/>
  <c r="F17" i="18"/>
  <c r="F33" i="18"/>
  <c r="J33" i="18"/>
  <c r="J17" i="18"/>
  <c r="N33" i="18"/>
  <c r="N17" i="18"/>
  <c r="R17" i="18"/>
  <c r="R33" i="18"/>
  <c r="V17" i="18"/>
  <c r="V33" i="18"/>
  <c r="Z33" i="18"/>
  <c r="Z17" i="18"/>
  <c r="AD33" i="18"/>
  <c r="AD17" i="18"/>
  <c r="AH17" i="18"/>
  <c r="AH33" i="18"/>
  <c r="AL17" i="18"/>
  <c r="AL33" i="18"/>
  <c r="AP33" i="18"/>
  <c r="AP17" i="18"/>
  <c r="AT33" i="18"/>
  <c r="AT17" i="18"/>
  <c r="AX17" i="18"/>
  <c r="AX33" i="18"/>
  <c r="BB17" i="18"/>
  <c r="BB33" i="18"/>
  <c r="BF33" i="18"/>
  <c r="BF17" i="18"/>
  <c r="BJ33" i="18"/>
  <c r="BJ17" i="18"/>
  <c r="BN17" i="18"/>
  <c r="BN33" i="18"/>
  <c r="BR17" i="18"/>
  <c r="BR33" i="18"/>
  <c r="BV33" i="18"/>
  <c r="BV17" i="18"/>
  <c r="BZ33" i="18"/>
  <c r="BZ17" i="18"/>
  <c r="CD17" i="18"/>
  <c r="CD33" i="18"/>
  <c r="CH17" i="18"/>
  <c r="CH33" i="18"/>
  <c r="CL33" i="18"/>
  <c r="CL17" i="18"/>
  <c r="CP33" i="18"/>
  <c r="CP17" i="18"/>
  <c r="CT17" i="18"/>
  <c r="CT33" i="18"/>
  <c r="CX17" i="18"/>
  <c r="CX33" i="18"/>
  <c r="K34" i="18"/>
  <c r="K18" i="18"/>
  <c r="P34" i="18"/>
  <c r="P18" i="18"/>
  <c r="AA34" i="18"/>
  <c r="AA18" i="18"/>
  <c r="AF34" i="18"/>
  <c r="AF18" i="18"/>
  <c r="AQ34" i="18"/>
  <c r="AQ18" i="18"/>
  <c r="AV34" i="18"/>
  <c r="AV18" i="18"/>
  <c r="BG34" i="18"/>
  <c r="BG18" i="18"/>
  <c r="BL34" i="18"/>
  <c r="BL18" i="18"/>
  <c r="BW34" i="18"/>
  <c r="BW18" i="18"/>
  <c r="CB34" i="18"/>
  <c r="CB18" i="18"/>
  <c r="CM34" i="18"/>
  <c r="CM18" i="18"/>
  <c r="CR34" i="18"/>
  <c r="CR18" i="18"/>
  <c r="DA16" i="18"/>
  <c r="H33" i="18"/>
  <c r="H17" i="18"/>
  <c r="P33" i="18"/>
  <c r="P17" i="18"/>
  <c r="X33" i="18"/>
  <c r="X17" i="18"/>
  <c r="AF33" i="18"/>
  <c r="AF17" i="18"/>
  <c r="AN33" i="18"/>
  <c r="AN17" i="18"/>
  <c r="AV33" i="18"/>
  <c r="AV17" i="18"/>
  <c r="BD33" i="18"/>
  <c r="BD17" i="18"/>
  <c r="BL33" i="18"/>
  <c r="BL17" i="18"/>
  <c r="BT33" i="18"/>
  <c r="BT17" i="18"/>
  <c r="CB33" i="18"/>
  <c r="CB17" i="18"/>
  <c r="CJ33" i="18"/>
  <c r="CJ17" i="18"/>
  <c r="CR33" i="18"/>
  <c r="CR17" i="18"/>
  <c r="AI18" i="18"/>
  <c r="AI34" i="18"/>
  <c r="BO18" i="18"/>
  <c r="BO34" i="18"/>
  <c r="CU18" i="18"/>
  <c r="CU34" i="18"/>
  <c r="M33" i="18"/>
  <c r="M17" i="18"/>
  <c r="U33" i="18"/>
  <c r="U17" i="18"/>
  <c r="AC33" i="18"/>
  <c r="AC17" i="18"/>
  <c r="AK33" i="18"/>
  <c r="AK17" i="18"/>
  <c r="AS33" i="18"/>
  <c r="AS17" i="18"/>
  <c r="BA33" i="18"/>
  <c r="BA17" i="18"/>
  <c r="BI33" i="18"/>
  <c r="BI17" i="18"/>
  <c r="BQ33" i="18"/>
  <c r="BQ17" i="18"/>
  <c r="BU33" i="18"/>
  <c r="BU17" i="18"/>
  <c r="CG33" i="18"/>
  <c r="CG17" i="18"/>
  <c r="CO33" i="18"/>
  <c r="CO17" i="18"/>
  <c r="CW33" i="18"/>
  <c r="CW17" i="18"/>
  <c r="O18" i="18"/>
  <c r="O34" i="18"/>
  <c r="AU18" i="18"/>
  <c r="AU34" i="18"/>
  <c r="CA18" i="18"/>
  <c r="CA34" i="18"/>
  <c r="C17" i="18"/>
  <c r="C33" i="18"/>
  <c r="G17" i="18"/>
  <c r="G33" i="18"/>
  <c r="K17" i="18"/>
  <c r="K33" i="18"/>
  <c r="O33" i="18"/>
  <c r="O17" i="18"/>
  <c r="S17" i="18"/>
  <c r="S33" i="18"/>
  <c r="W17" i="18"/>
  <c r="W33" i="18"/>
  <c r="AA17" i="18"/>
  <c r="AA33" i="18"/>
  <c r="AE33" i="18"/>
  <c r="AE17" i="18"/>
  <c r="AI17" i="18"/>
  <c r="AI33" i="18"/>
  <c r="AM17" i="18"/>
  <c r="AM33" i="18"/>
  <c r="AQ17" i="18"/>
  <c r="AQ33" i="18"/>
  <c r="AU33" i="18"/>
  <c r="AU17" i="18"/>
  <c r="AY17" i="18"/>
  <c r="AY33" i="18"/>
  <c r="BC17" i="18"/>
  <c r="BC33" i="18"/>
  <c r="BG17" i="18"/>
  <c r="BG33" i="18"/>
  <c r="BK33" i="18"/>
  <c r="BK17" i="18"/>
  <c r="BO17" i="18"/>
  <c r="BO33" i="18"/>
  <c r="BS17" i="18"/>
  <c r="BS33" i="18"/>
  <c r="BW17" i="18"/>
  <c r="BW33" i="18"/>
  <c r="CA33" i="18"/>
  <c r="CA17" i="18"/>
  <c r="CE17" i="18"/>
  <c r="CE33" i="18"/>
  <c r="CI17" i="18"/>
  <c r="CI33" i="18"/>
  <c r="CM17" i="18"/>
  <c r="CM33" i="18"/>
  <c r="CQ33" i="18"/>
  <c r="CQ17" i="18"/>
  <c r="CU17" i="18"/>
  <c r="CU33" i="18"/>
  <c r="K52" i="23"/>
  <c r="K48" i="23"/>
  <c r="K44" i="23"/>
  <c r="K39" i="23"/>
  <c r="K32" i="23"/>
  <c r="K28" i="23"/>
  <c r="K24" i="23"/>
  <c r="K20" i="23"/>
  <c r="K50" i="23"/>
  <c r="K46" i="23"/>
  <c r="K41" i="23"/>
  <c r="K36" i="23"/>
  <c r="K30" i="23"/>
  <c r="K26" i="23"/>
  <c r="K22" i="23"/>
  <c r="K45" i="23"/>
  <c r="K40" i="23"/>
  <c r="K35" i="23"/>
  <c r="K33" i="23"/>
  <c r="K25" i="23"/>
  <c r="K49" i="23"/>
  <c r="K34" i="23"/>
  <c r="K29" i="23"/>
  <c r="K21" i="23"/>
  <c r="K19" i="23"/>
  <c r="K43" i="23"/>
  <c r="K38" i="23"/>
  <c r="K23" i="23"/>
  <c r="K47" i="23"/>
  <c r="K42" i="23"/>
  <c r="K37" i="23"/>
  <c r="K27" i="23"/>
  <c r="K51" i="23"/>
  <c r="K31" i="23"/>
  <c r="F16" i="30"/>
  <c r="F12" i="30"/>
  <c r="F8" i="30"/>
  <c r="F13" i="30"/>
  <c r="F7" i="30"/>
  <c r="F11" i="30"/>
  <c r="F6" i="30"/>
  <c r="F15" i="30"/>
  <c r="F10" i="30"/>
  <c r="F14" i="30"/>
  <c r="F9" i="30"/>
  <c r="B46" i="30"/>
  <c r="B42" i="30"/>
  <c r="B38" i="30"/>
  <c r="B34" i="30"/>
  <c r="B30" i="30"/>
  <c r="B26" i="30"/>
  <c r="B22" i="30"/>
  <c r="B18" i="30"/>
  <c r="B14" i="30"/>
  <c r="B10" i="30"/>
  <c r="B6" i="30"/>
  <c r="B44" i="30"/>
  <c r="B39" i="30"/>
  <c r="B33" i="30"/>
  <c r="B28" i="30"/>
  <c r="B23" i="30"/>
  <c r="B17" i="30"/>
  <c r="B12" i="30"/>
  <c r="B7" i="30"/>
  <c r="B48" i="30"/>
  <c r="B43" i="30"/>
  <c r="B37" i="30"/>
  <c r="B32" i="30"/>
  <c r="B27" i="30"/>
  <c r="B21" i="30"/>
  <c r="B16" i="30"/>
  <c r="B11" i="30"/>
  <c r="B47" i="30"/>
  <c r="B36" i="30"/>
  <c r="B31" i="30"/>
  <c r="B25" i="30"/>
  <c r="B20" i="30"/>
  <c r="B9" i="30"/>
  <c r="B40" i="30"/>
  <c r="B29" i="30"/>
  <c r="B19" i="30"/>
  <c r="B8" i="30"/>
  <c r="B41" i="30"/>
  <c r="B15" i="30"/>
  <c r="B45" i="30"/>
  <c r="B35" i="30"/>
  <c r="B24" i="30"/>
  <c r="B13" i="30"/>
  <c r="G16" i="30"/>
  <c r="G12" i="30"/>
  <c r="G8" i="30"/>
  <c r="G11" i="30"/>
  <c r="G6" i="30"/>
  <c r="G15" i="30"/>
  <c r="G10" i="30"/>
  <c r="G9" i="30"/>
  <c r="G14" i="30"/>
  <c r="G13" i="30"/>
  <c r="G7" i="30"/>
  <c r="C46" i="30"/>
  <c r="C42" i="30"/>
  <c r="C38" i="30"/>
  <c r="C34" i="30"/>
  <c r="C30" i="30"/>
  <c r="C26" i="30"/>
  <c r="C22" i="30"/>
  <c r="C18" i="30"/>
  <c r="C14" i="30"/>
  <c r="C10" i="30"/>
  <c r="C6" i="30"/>
  <c r="C48" i="30"/>
  <c r="C43" i="30"/>
  <c r="C37" i="30"/>
  <c r="C32" i="30"/>
  <c r="C27" i="30"/>
  <c r="C21" i="30"/>
  <c r="C16" i="30"/>
  <c r="C11" i="30"/>
  <c r="C47" i="30"/>
  <c r="C41" i="30"/>
  <c r="C36" i="30"/>
  <c r="C31" i="30"/>
  <c r="C25" i="30"/>
  <c r="C20" i="30"/>
  <c r="C15" i="30"/>
  <c r="C9" i="30"/>
  <c r="C40" i="30"/>
  <c r="C35" i="30"/>
  <c r="C29" i="30"/>
  <c r="C24" i="30"/>
  <c r="C13" i="30"/>
  <c r="C8" i="30"/>
  <c r="C33" i="30"/>
  <c r="C23" i="30"/>
  <c r="C7" i="30"/>
  <c r="C45" i="30"/>
  <c r="C19" i="30"/>
  <c r="C44" i="30"/>
  <c r="C39" i="30"/>
  <c r="C28" i="30"/>
  <c r="C17" i="30"/>
  <c r="C12" i="30"/>
  <c r="R11" i="30"/>
  <c r="Z11" i="30"/>
  <c r="W11" i="30"/>
  <c r="X11" i="30"/>
  <c r="V11" i="30"/>
  <c r="O11" i="30"/>
  <c r="AF11" i="30"/>
  <c r="S11" i="30"/>
  <c r="AC11" i="30"/>
  <c r="P11" i="30"/>
  <c r="L11" i="30"/>
  <c r="N11" i="30"/>
  <c r="U11" i="30"/>
  <c r="AA11" i="30"/>
  <c r="AB11" i="30"/>
  <c r="AD11" i="30"/>
  <c r="Q11" i="30"/>
  <c r="AE11" i="30"/>
  <c r="T11" i="30"/>
  <c r="Y11" i="30"/>
  <c r="C87" i="29"/>
  <c r="C31" i="29"/>
  <c r="C32" i="29"/>
  <c r="C15" i="29"/>
  <c r="C16" i="29" s="1"/>
  <c r="CW86" i="18"/>
  <c r="AK86" i="18"/>
  <c r="BQ86" i="18"/>
  <c r="AP86" i="18"/>
  <c r="L86" i="18"/>
  <c r="R86" i="18"/>
  <c r="T86" i="18"/>
  <c r="BV86" i="18"/>
  <c r="AC86" i="18"/>
  <c r="BF86" i="18"/>
  <c r="BO86" i="18"/>
  <c r="Q86" i="18"/>
  <c r="CC86" i="18"/>
  <c r="AT86" i="18"/>
  <c r="AJ86" i="18"/>
  <c r="CM86" i="18"/>
  <c r="Y86" i="18"/>
  <c r="CK86" i="18"/>
  <c r="BB86" i="18"/>
  <c r="AR30" i="18"/>
  <c r="E30" i="18"/>
  <c r="BM14" i="18"/>
  <c r="N30" i="18"/>
  <c r="AT30" i="18"/>
  <c r="BZ30" i="18"/>
  <c r="H14" i="18"/>
  <c r="BT14" i="18"/>
  <c r="BA14" i="18"/>
  <c r="C30" i="18"/>
  <c r="AI30" i="18"/>
  <c r="BO30" i="18"/>
  <c r="CU30" i="18"/>
  <c r="AZ30" i="18"/>
  <c r="I30" i="18"/>
  <c r="BY30" i="18"/>
  <c r="Z30" i="18"/>
  <c r="BF30" i="18"/>
  <c r="CL30" i="18"/>
  <c r="AF14" i="18"/>
  <c r="CR14" i="18"/>
  <c r="BI14" i="18"/>
  <c r="O14" i="18"/>
  <c r="AU14" i="18"/>
  <c r="CA14" i="18"/>
  <c r="Y14" i="18"/>
  <c r="CK14" i="18"/>
  <c r="AJ14" i="18"/>
  <c r="AL30" i="18"/>
  <c r="CX30" i="18"/>
  <c r="AC30" i="18"/>
  <c r="AE30" i="18"/>
  <c r="CI14" i="18"/>
  <c r="BH14" i="18"/>
  <c r="R30" i="18"/>
  <c r="AX30" i="18"/>
  <c r="CD30" i="18"/>
  <c r="X30" i="18"/>
  <c r="CJ30" i="18"/>
  <c r="BQ30" i="18"/>
  <c r="K14" i="18"/>
  <c r="AQ14" i="18"/>
  <c r="CE14" i="18"/>
  <c r="Q30" i="18"/>
  <c r="CS30" i="18"/>
  <c r="F30" i="18"/>
  <c r="BJ14" i="18"/>
  <c r="BL30" i="18"/>
  <c r="BU30" i="18"/>
  <c r="BC14" i="18"/>
  <c r="BX86" i="18"/>
  <c r="BN86" i="18"/>
  <c r="CT86" i="18"/>
  <c r="AY86" i="18"/>
  <c r="U86" i="18"/>
  <c r="AX86" i="18"/>
  <c r="M86" i="18"/>
  <c r="C86" i="18"/>
  <c r="BI86" i="18"/>
  <c r="E86" i="18"/>
  <c r="CV86" i="18"/>
  <c r="AQ86" i="18"/>
  <c r="CF86" i="18"/>
  <c r="BA86" i="18"/>
  <c r="CD86" i="18"/>
  <c r="BY86" i="18"/>
  <c r="BP86" i="18"/>
  <c r="CO86" i="18"/>
  <c r="CU86" i="18"/>
  <c r="BG86" i="18"/>
  <c r="AW86" i="18"/>
  <c r="N86" i="18"/>
  <c r="BZ86" i="18"/>
  <c r="D86" i="18"/>
  <c r="CN86" i="18"/>
  <c r="BE86" i="18"/>
  <c r="V86" i="18"/>
  <c r="CH86" i="18"/>
  <c r="L30" i="18"/>
  <c r="BX30" i="18"/>
  <c r="AG14" i="18"/>
  <c r="CS14" i="18"/>
  <c r="AD30" i="18"/>
  <c r="BJ30" i="18"/>
  <c r="CP30" i="18"/>
  <c r="AN14" i="18"/>
  <c r="U14" i="18"/>
  <c r="CG14" i="18"/>
  <c r="S30" i="18"/>
  <c r="AY30" i="18"/>
  <c r="CE30" i="18"/>
  <c r="T30" i="18"/>
  <c r="CF30" i="18"/>
  <c r="AO30" i="18"/>
  <c r="J30" i="18"/>
  <c r="AP30" i="18"/>
  <c r="BV30" i="18"/>
  <c r="DA13" i="18"/>
  <c r="BL14" i="18"/>
  <c r="AC14" i="18"/>
  <c r="CO14" i="18"/>
  <c r="AE14" i="18"/>
  <c r="BK14" i="18"/>
  <c r="CQ14" i="18"/>
  <c r="BE14" i="18"/>
  <c r="BM30" i="18"/>
  <c r="CV14" i="18"/>
  <c r="BZ14" i="18"/>
  <c r="AV30" i="18"/>
  <c r="CO30" i="18"/>
  <c r="BK30" i="18"/>
  <c r="AB14" i="18"/>
  <c r="CN14" i="18"/>
  <c r="AH30" i="18"/>
  <c r="BN30" i="18"/>
  <c r="CT30" i="18"/>
  <c r="BD30" i="18"/>
  <c r="AK30" i="18"/>
  <c r="CW30" i="18"/>
  <c r="AA14" i="18"/>
  <c r="BO14" i="18"/>
  <c r="CU14" i="18"/>
  <c r="AW30" i="18"/>
  <c r="AZ14" i="18"/>
  <c r="AD14" i="18"/>
  <c r="CP14" i="18"/>
  <c r="M30" i="18"/>
  <c r="W14" i="18"/>
  <c r="CQ30" i="18"/>
  <c r="AH86" i="18"/>
  <c r="K86" i="18"/>
  <c r="AS86" i="18"/>
  <c r="BW86" i="18"/>
  <c r="CG86" i="18"/>
  <c r="AI86" i="18"/>
  <c r="J86" i="18"/>
  <c r="AR86" i="18"/>
  <c r="AZ86" i="18"/>
  <c r="CS86" i="18"/>
  <c r="CE86" i="18"/>
  <c r="AO86" i="18"/>
  <c r="BR86" i="18"/>
  <c r="AB30" i="18"/>
  <c r="AB31" i="18" s="1"/>
  <c r="AW14" i="18"/>
  <c r="AW15" i="18" s="1"/>
  <c r="AL14" i="18"/>
  <c r="AL15" i="18" s="1"/>
  <c r="CX14" i="18"/>
  <c r="CX15" i="18" s="1"/>
  <c r="AK14" i="18"/>
  <c r="AK15" i="18" s="1"/>
  <c r="AA30" i="18"/>
  <c r="AA31" i="18" s="1"/>
  <c r="CM30" i="18"/>
  <c r="CM31" i="18" s="1"/>
  <c r="CV30" i="18"/>
  <c r="CV31" i="18" s="1"/>
  <c r="R14" i="18"/>
  <c r="R15" i="18" s="1"/>
  <c r="CD14" i="18"/>
  <c r="CD15" i="18" s="1"/>
  <c r="CB14" i="18"/>
  <c r="CB15" i="18" s="1"/>
  <c r="G30" i="18"/>
  <c r="G31" i="18" s="1"/>
  <c r="BS30" i="18"/>
  <c r="BS31" i="18" s="1"/>
  <c r="BY14" i="18"/>
  <c r="BY15" i="18" s="1"/>
  <c r="N14" i="18"/>
  <c r="N15" i="18" s="1"/>
  <c r="CB30" i="18"/>
  <c r="CB31" i="18" s="1"/>
  <c r="BS14" i="18"/>
  <c r="BS15" i="18" s="1"/>
  <c r="J14" i="18"/>
  <c r="J15" i="18" s="1"/>
  <c r="BV14" i="18"/>
  <c r="BV15" i="18" s="1"/>
  <c r="BT30" i="18"/>
  <c r="BT31" i="18" s="1"/>
  <c r="C14" i="18"/>
  <c r="C15" i="18" s="1"/>
  <c r="BW14" i="18"/>
  <c r="BW15" i="18" s="1"/>
  <c r="CC30" i="18"/>
  <c r="CC31" i="18" s="1"/>
  <c r="AT14" i="18"/>
  <c r="AT15" i="18" s="1"/>
  <c r="AS30" i="18"/>
  <c r="AS31" i="18" s="1"/>
  <c r="L31" i="18"/>
  <c r="AG15" i="18"/>
  <c r="AD31" i="18"/>
  <c r="CP31" i="18"/>
  <c r="U15" i="18"/>
  <c r="S31" i="18"/>
  <c r="CE31" i="18"/>
  <c r="CF31" i="18"/>
  <c r="J31" i="18"/>
  <c r="BV31" i="18"/>
  <c r="BL15" i="18"/>
  <c r="CO15" i="18"/>
  <c r="BK15" i="18"/>
  <c r="BE15" i="18"/>
  <c r="CV15" i="18"/>
  <c r="AV31" i="18"/>
  <c r="BK31" i="18"/>
  <c r="CN15" i="18"/>
  <c r="BN31" i="18"/>
  <c r="BD31" i="18"/>
  <c r="CW31" i="18"/>
  <c r="BO15" i="18"/>
  <c r="AW31" i="18"/>
  <c r="AD15" i="18"/>
  <c r="M31" i="18"/>
  <c r="CQ31" i="18"/>
  <c r="AH14" i="18"/>
  <c r="AH15" i="18" s="1"/>
  <c r="W30" i="18"/>
  <c r="W31" i="18" s="1"/>
  <c r="AY14" i="18"/>
  <c r="AY15" i="18" s="1"/>
  <c r="BI30" i="18"/>
  <c r="BI31" i="18" s="1"/>
  <c r="Z14" i="18"/>
  <c r="Z15" i="18" s="1"/>
  <c r="U30" i="18"/>
  <c r="U31" i="18" s="1"/>
  <c r="S14" i="18"/>
  <c r="S15" i="18" s="1"/>
  <c r="T14" i="18"/>
  <c r="T15" i="18" s="1"/>
  <c r="G14" i="18"/>
  <c r="G15" i="18" s="1"/>
  <c r="AT31" i="18"/>
  <c r="BA15" i="18"/>
  <c r="CU31" i="18"/>
  <c r="I31" i="18"/>
  <c r="CL31" i="18"/>
  <c r="CR15" i="18"/>
  <c r="CA15" i="18"/>
  <c r="AL31" i="18"/>
  <c r="AC31" i="18"/>
  <c r="R31" i="18"/>
  <c r="CD31" i="18"/>
  <c r="K15" i="18"/>
  <c r="CS31" i="18"/>
  <c r="BJ15" i="18"/>
  <c r="CL86" i="18"/>
  <c r="F14" i="18"/>
  <c r="F15" i="18" s="1"/>
  <c r="BD14" i="18"/>
  <c r="BD15" i="18" s="1"/>
  <c r="BG30" i="18"/>
  <c r="BG31" i="18" s="1"/>
  <c r="BE30" i="18"/>
  <c r="BE31" i="18" s="1"/>
  <c r="P14" i="18"/>
  <c r="P15" i="18" s="1"/>
  <c r="AM30" i="18"/>
  <c r="AM31" i="18" s="1"/>
  <c r="D14" i="18"/>
  <c r="D15" i="18" s="1"/>
  <c r="O30" i="18"/>
  <c r="O31" i="18" s="1"/>
  <c r="AP14" i="18"/>
  <c r="AP15" i="18" s="1"/>
  <c r="BA30" i="18"/>
  <c r="BA31" i="18" s="1"/>
  <c r="E14" i="18"/>
  <c r="E15" i="18" s="1"/>
  <c r="AF30" i="18"/>
  <c r="AF31" i="18" s="1"/>
  <c r="BX31" i="18"/>
  <c r="CS15" i="18"/>
  <c r="AN15" i="18"/>
  <c r="CG15" i="18"/>
  <c r="T31" i="18"/>
  <c r="AP31" i="18"/>
  <c r="AC15" i="18"/>
  <c r="CQ15" i="18"/>
  <c r="BM31" i="18"/>
  <c r="CO31" i="18"/>
  <c r="AH31" i="18"/>
  <c r="AK31" i="18"/>
  <c r="CU15" i="18"/>
  <c r="CP15" i="18"/>
  <c r="S86" i="18"/>
  <c r="CP86" i="18"/>
  <c r="I86" i="18"/>
  <c r="AL86" i="18"/>
  <c r="V14" i="18"/>
  <c r="V15" i="18" s="1"/>
  <c r="CJ14" i="18"/>
  <c r="CJ15" i="18" s="1"/>
  <c r="BW30" i="18"/>
  <c r="BW31" i="18" s="1"/>
  <c r="CK30" i="18"/>
  <c r="CK31" i="18" s="1"/>
  <c r="AV14" i="18"/>
  <c r="AV15" i="18" s="1"/>
  <c r="BC30" i="18"/>
  <c r="BC31" i="18" s="1"/>
  <c r="BP14" i="18"/>
  <c r="BP15" i="18" s="1"/>
  <c r="AU30" i="18"/>
  <c r="AU31" i="18" s="1"/>
  <c r="BF14" i="18"/>
  <c r="BF15" i="18" s="1"/>
  <c r="CG30" i="18"/>
  <c r="CG31" i="18" s="1"/>
  <c r="AG30" i="18"/>
  <c r="AG31" i="18" s="1"/>
  <c r="CR30" i="18"/>
  <c r="CR31" i="18" s="1"/>
  <c r="E31" i="18"/>
  <c r="N31" i="18"/>
  <c r="BT15" i="18"/>
  <c r="BO31" i="18"/>
  <c r="BY31" i="18"/>
  <c r="AF15" i="18"/>
  <c r="AU15" i="18"/>
  <c r="CX31" i="18"/>
  <c r="BH15" i="18"/>
  <c r="X31" i="18"/>
  <c r="AQ15" i="18"/>
  <c r="F31" i="18"/>
  <c r="BC15" i="18"/>
  <c r="Z86" i="18"/>
  <c r="BH86" i="18"/>
  <c r="AD86" i="18"/>
  <c r="AA86" i="18"/>
  <c r="BU86" i="18"/>
  <c r="CX86" i="18"/>
  <c r="BH30" i="18"/>
  <c r="BH31" i="18" s="1"/>
  <c r="CC14" i="18"/>
  <c r="CC15" i="18" s="1"/>
  <c r="BB14" i="18"/>
  <c r="BB15" i="18" s="1"/>
  <c r="X14" i="18"/>
  <c r="X15" i="18" s="1"/>
  <c r="BQ14" i="18"/>
  <c r="BQ15" i="18" s="1"/>
  <c r="AQ30" i="18"/>
  <c r="AQ31" i="18" s="1"/>
  <c r="D30" i="18"/>
  <c r="D31" i="18" s="1"/>
  <c r="Y30" i="18"/>
  <c r="Y31" i="18" s="1"/>
  <c r="CT14" i="18"/>
  <c r="CT15" i="18" s="1"/>
  <c r="M14" i="18"/>
  <c r="M15" i="18" s="1"/>
  <c r="CI30" i="18"/>
  <c r="CI31" i="18" s="1"/>
  <c r="BB30" i="18"/>
  <c r="BB31" i="18" s="1"/>
  <c r="L14" i="18"/>
  <c r="L15" i="18" s="1"/>
  <c r="CL14" i="18"/>
  <c r="CL15" i="18" s="1"/>
  <c r="CM14" i="18"/>
  <c r="CM15" i="18" s="1"/>
  <c r="BR30" i="18"/>
  <c r="BR31" i="18" s="1"/>
  <c r="AR31" i="18"/>
  <c r="BM15" i="18"/>
  <c r="H15" i="18"/>
  <c r="AI31" i="18"/>
  <c r="Z31" i="18"/>
  <c r="O15" i="18"/>
  <c r="CK15" i="18"/>
  <c r="CI15" i="18"/>
  <c r="CJ31" i="18"/>
  <c r="CE15" i="18"/>
  <c r="BU31" i="18"/>
  <c r="AG86" i="18"/>
  <c r="BJ86" i="18"/>
  <c r="AB86" i="18"/>
  <c r="F86" i="18"/>
  <c r="CN30" i="18"/>
  <c r="CN31" i="18" s="1"/>
  <c r="BR14" i="18"/>
  <c r="BR15" i="18" s="1"/>
  <c r="CW14" i="18"/>
  <c r="CW15" i="18" s="1"/>
  <c r="AJ30" i="18"/>
  <c r="AJ31" i="18" s="1"/>
  <c r="AX14" i="18"/>
  <c r="AX15" i="18" s="1"/>
  <c r="AS14" i="18"/>
  <c r="AS15" i="18" s="1"/>
  <c r="I14" i="18"/>
  <c r="I15" i="18" s="1"/>
  <c r="CH30" i="18"/>
  <c r="CH31" i="18" s="1"/>
  <c r="AR14" i="18"/>
  <c r="AR15" i="18" s="1"/>
  <c r="H30" i="18"/>
  <c r="H31" i="18" s="1"/>
  <c r="AI14" i="18"/>
  <c r="AI15" i="18" s="1"/>
  <c r="CF14" i="18"/>
  <c r="CF15" i="18" s="1"/>
  <c r="AM14" i="18"/>
  <c r="AM15" i="18" s="1"/>
  <c r="BJ31" i="18"/>
  <c r="AY31" i="18"/>
  <c r="AO31" i="18"/>
  <c r="DA14" i="18"/>
  <c r="AE15" i="18"/>
  <c r="BZ15" i="18"/>
  <c r="AB15" i="18"/>
  <c r="CT31" i="18"/>
  <c r="AA15" i="18"/>
  <c r="AZ15" i="18"/>
  <c r="W15" i="18"/>
  <c r="BM86" i="18"/>
  <c r="Q14" i="18"/>
  <c r="Q15" i="18" s="1"/>
  <c r="CH14" i="18"/>
  <c r="CH15" i="18" s="1"/>
  <c r="K30" i="18"/>
  <c r="K31" i="18" s="1"/>
  <c r="BP30" i="18"/>
  <c r="BP31" i="18" s="1"/>
  <c r="BN14" i="18"/>
  <c r="BN15" i="18" s="1"/>
  <c r="BU14" i="18"/>
  <c r="BU15" i="18" s="1"/>
  <c r="AO14" i="18"/>
  <c r="AO15" i="18" s="1"/>
  <c r="P30" i="18"/>
  <c r="P31" i="18" s="1"/>
  <c r="BX14" i="18"/>
  <c r="BX15" i="18" s="1"/>
  <c r="AN30" i="18"/>
  <c r="AN31" i="18" s="1"/>
  <c r="BG14" i="18"/>
  <c r="BG15" i="18" s="1"/>
  <c r="V30" i="18"/>
  <c r="V31" i="18" s="1"/>
  <c r="CA30" i="18"/>
  <c r="CA31" i="18" s="1"/>
  <c r="BZ31" i="18"/>
  <c r="C31" i="18"/>
  <c r="AZ31" i="18"/>
  <c r="BF31" i="18"/>
  <c r="BI15" i="18"/>
  <c r="Y15" i="18"/>
  <c r="AJ15" i="18"/>
  <c r="AE31" i="18"/>
  <c r="AX31" i="18"/>
  <c r="BQ31" i="18"/>
  <c r="Q31" i="18"/>
  <c r="BL31" i="18"/>
  <c r="AO138" i="34"/>
  <c r="AO141" i="34"/>
  <c r="AO119" i="34"/>
  <c r="AO113" i="34"/>
  <c r="AO125" i="34"/>
  <c r="AO79" i="34"/>
  <c r="AO152" i="34"/>
  <c r="AO105" i="34"/>
  <c r="AO127" i="34"/>
  <c r="AO102" i="34"/>
  <c r="AO75" i="34"/>
  <c r="AO73" i="34"/>
  <c r="AO121" i="34"/>
  <c r="AO131" i="34"/>
  <c r="AO151" i="34"/>
  <c r="AO71" i="34"/>
  <c r="AM91" i="34"/>
  <c r="AO70" i="34"/>
  <c r="AM144" i="34"/>
  <c r="AO74" i="34"/>
  <c r="AO204" i="34"/>
  <c r="AO154" i="34"/>
  <c r="AM78" i="34"/>
  <c r="AO86" i="34"/>
  <c r="AO120" i="34"/>
  <c r="AJ202" i="34"/>
  <c r="AM112" i="34"/>
  <c r="AN45" i="34"/>
  <c r="AO84" i="34"/>
  <c r="AO80" i="34"/>
  <c r="AJ56" i="34"/>
  <c r="AM134" i="34"/>
  <c r="AM92" i="34"/>
  <c r="AO148" i="34"/>
  <c r="AM110" i="34"/>
  <c r="AM95" i="34"/>
  <c r="AO81" i="34"/>
  <c r="AM88" i="34"/>
  <c r="AN172" i="34"/>
  <c r="AM87" i="34"/>
  <c r="AM98" i="34"/>
  <c r="AJ176" i="34"/>
  <c r="AM111" i="34"/>
  <c r="AO139" i="34"/>
  <c r="AN185" i="34"/>
  <c r="AO157" i="34"/>
  <c r="AO94" i="34"/>
  <c r="AM150" i="34"/>
  <c r="AO147" i="34"/>
  <c r="AO129" i="34"/>
  <c r="AO210" i="34"/>
  <c r="AJ44" i="34"/>
  <c r="AM93" i="34"/>
  <c r="AN193" i="34"/>
  <c r="AO165" i="34"/>
  <c r="AO91" i="34"/>
  <c r="AO116" i="34"/>
  <c r="AO205" i="34"/>
  <c r="AO183" i="34"/>
  <c r="AM77" i="34"/>
  <c r="AO213" i="34"/>
  <c r="AO194" i="34"/>
  <c r="AM113" i="34"/>
  <c r="AJ208" i="34"/>
  <c r="AJ52" i="34"/>
  <c r="AM114" i="34"/>
  <c r="AM105" i="34"/>
  <c r="AM100" i="34"/>
  <c r="AN177" i="34"/>
  <c r="AJ40" i="34"/>
  <c r="AJ192" i="34"/>
  <c r="AO175" i="34"/>
  <c r="AO162" i="34"/>
  <c r="AO108" i="34"/>
  <c r="AO144" i="34"/>
  <c r="AO97" i="34"/>
  <c r="AO101" i="34"/>
  <c r="AO112" i="34"/>
  <c r="AO107" i="34"/>
  <c r="AO134" i="34"/>
  <c r="AO95" i="34"/>
  <c r="AO83" i="34"/>
  <c r="AO111" i="34"/>
  <c r="AO118" i="34"/>
  <c r="AO142" i="34"/>
  <c r="AO93" i="34"/>
  <c r="AM138" i="34"/>
  <c r="AO143" i="34"/>
  <c r="AM71" i="34"/>
  <c r="AN168" i="34"/>
  <c r="AM70" i="34"/>
  <c r="AO122" i="34"/>
  <c r="AM74" i="34"/>
  <c r="AN65" i="34"/>
  <c r="AM97" i="34"/>
  <c r="AM99" i="34"/>
  <c r="AM86" i="34"/>
  <c r="AM101" i="34"/>
  <c r="AM117" i="34"/>
  <c r="AO76" i="34"/>
  <c r="AM106" i="34"/>
  <c r="AM84" i="34"/>
  <c r="AM80" i="34"/>
  <c r="AJ167" i="34"/>
  <c r="AO82" i="34"/>
  <c r="AM146" i="34"/>
  <c r="AM148" i="34"/>
  <c r="AO72" i="34"/>
  <c r="AO140" i="34"/>
  <c r="AM81" i="34"/>
  <c r="AO136" i="34"/>
  <c r="AO211" i="34"/>
  <c r="AN163" i="34"/>
  <c r="AN48" i="34"/>
  <c r="AJ64" i="34"/>
  <c r="AO128" i="34"/>
  <c r="AJ60" i="34"/>
  <c r="AO164" i="34"/>
  <c r="AO132" i="34"/>
  <c r="AM94" i="34"/>
  <c r="AN69" i="34"/>
  <c r="AO90" i="34"/>
  <c r="AM129" i="34"/>
  <c r="AO170" i="34"/>
  <c r="AM121" i="34"/>
  <c r="AM109" i="34"/>
  <c r="AO207" i="34"/>
  <c r="AO199" i="34"/>
  <c r="AO43" i="34"/>
  <c r="AO106" i="34"/>
  <c r="AO88" i="34"/>
  <c r="AO89" i="34"/>
  <c r="AM104" i="34"/>
  <c r="AM130" i="34"/>
  <c r="AO137" i="34"/>
  <c r="AN159" i="34"/>
  <c r="AM125" i="34"/>
  <c r="AM96" i="34"/>
  <c r="AO92" i="34"/>
  <c r="AJ206" i="34"/>
  <c r="AO98" i="34"/>
  <c r="AN209" i="34"/>
  <c r="AM73" i="34"/>
  <c r="AM142" i="34"/>
  <c r="AN201" i="34"/>
  <c r="AO203" i="34"/>
  <c r="AO115" i="34"/>
  <c r="AO85" i="34"/>
  <c r="AO99" i="34"/>
  <c r="AO117" i="34"/>
  <c r="AO212" i="34"/>
  <c r="AO96" i="34"/>
  <c r="AO146" i="34"/>
  <c r="AO100" i="34"/>
  <c r="AO87" i="34"/>
  <c r="AO161" i="34"/>
  <c r="AO150" i="34"/>
  <c r="AO123" i="34"/>
  <c r="AO109" i="34"/>
  <c r="AO104" i="34"/>
  <c r="AN61" i="34"/>
  <c r="AM108" i="34"/>
  <c r="AO130" i="34"/>
  <c r="AO103" i="34"/>
  <c r="AM122" i="34"/>
  <c r="AM85" i="34"/>
  <c r="AJ180" i="34"/>
  <c r="AN49" i="34"/>
  <c r="AO197" i="34"/>
  <c r="AM116" i="34"/>
  <c r="AJ198" i="34"/>
  <c r="AN41" i="34"/>
  <c r="AM76" i="34"/>
  <c r="AM79" i="34"/>
  <c r="AM107" i="34"/>
  <c r="AM126" i="34"/>
  <c r="AM152" i="34"/>
  <c r="AM82" i="34"/>
  <c r="AO114" i="34"/>
  <c r="AO4" i="34"/>
  <c r="AM72" i="34"/>
  <c r="AM140" i="34"/>
  <c r="AN181" i="34"/>
  <c r="AO196" i="34"/>
  <c r="AO25" i="34"/>
  <c r="AN171" i="34"/>
  <c r="AJ166" i="34"/>
  <c r="AJ158" i="34"/>
  <c r="AO153" i="34"/>
  <c r="AO189" i="34"/>
  <c r="AM75" i="34"/>
  <c r="AN53" i="34"/>
  <c r="AM118" i="34"/>
  <c r="AM89" i="34"/>
  <c r="AM90" i="34"/>
  <c r="AO149" i="34"/>
  <c r="AJ200" i="34"/>
  <c r="AJ184" i="34"/>
  <c r="AO188" i="34"/>
  <c r="AO187" i="34"/>
  <c r="AO191" i="34"/>
  <c r="AO77" i="34"/>
  <c r="AO124" i="34"/>
  <c r="AO126" i="34"/>
  <c r="AO133" i="34"/>
  <c r="AO135" i="34"/>
  <c r="AM115" i="34"/>
  <c r="AM103" i="34"/>
  <c r="AM119" i="34"/>
  <c r="AO78" i="34"/>
  <c r="AJ190" i="34"/>
  <c r="AN155" i="34"/>
  <c r="AN57" i="34"/>
  <c r="AO110" i="34"/>
  <c r="AM83" i="34"/>
  <c r="AM102" i="34"/>
  <c r="AM133" i="34"/>
  <c r="AO145" i="34"/>
  <c r="AN173" i="34"/>
  <c r="AJ68" i="34"/>
  <c r="AO169" i="34"/>
  <c r="O24" i="23"/>
  <c r="O27" i="23"/>
  <c r="P24" i="23"/>
  <c r="O39" i="23"/>
  <c r="O49" i="23"/>
  <c r="O20" i="23"/>
  <c r="O19" i="23"/>
  <c r="O33" i="23"/>
  <c r="O23" i="23"/>
  <c r="P33" i="23"/>
  <c r="O40" i="23"/>
  <c r="O37" i="23"/>
  <c r="O35" i="23"/>
  <c r="O45" i="23"/>
  <c r="O52" i="23"/>
  <c r="O50" i="23"/>
  <c r="O47" i="23"/>
  <c r="O29" i="23"/>
  <c r="P29" i="23" s="1"/>
  <c r="P45" i="23"/>
  <c r="O41" i="23"/>
  <c r="O25" i="23"/>
  <c r="O48" i="23"/>
  <c r="O22" i="23"/>
  <c r="O21" i="23"/>
  <c r="O28" i="23"/>
  <c r="P41" i="23"/>
  <c r="P37" i="23"/>
  <c r="O46" i="23"/>
  <c r="O31" i="23"/>
  <c r="O38" i="23"/>
  <c r="P27" i="23"/>
  <c r="O34" i="23"/>
  <c r="P22" i="23"/>
  <c r="O43" i="23"/>
  <c r="O30" i="23"/>
  <c r="O42" i="23"/>
  <c r="P53" i="23"/>
  <c r="O26" i="23"/>
  <c r="O32" i="23"/>
  <c r="P48" i="23"/>
  <c r="O51" i="23"/>
  <c r="O44" i="23"/>
  <c r="O36" i="23"/>
  <c r="P31" i="23"/>
  <c r="U29" i="36"/>
  <c r="U10" i="36"/>
  <c r="U19" i="36"/>
  <c r="U8" i="36"/>
  <c r="U20" i="36"/>
  <c r="U27" i="36"/>
  <c r="U24" i="36"/>
  <c r="U15" i="36"/>
  <c r="U17" i="36"/>
  <c r="U13" i="36"/>
  <c r="U23" i="36"/>
  <c r="U18" i="36"/>
  <c r="U22" i="36"/>
  <c r="U12" i="36"/>
  <c r="U28" i="36"/>
  <c r="U25" i="36"/>
  <c r="U9" i="36"/>
  <c r="U30" i="36"/>
  <c r="U14" i="36"/>
  <c r="AP138" i="34"/>
  <c r="AQ138" i="34"/>
  <c r="AQ141" i="34"/>
  <c r="AP141" i="34"/>
  <c r="AP119" i="34"/>
  <c r="AQ119" i="34"/>
  <c r="AP113" i="34"/>
  <c r="AQ113" i="34"/>
  <c r="AQ125" i="34"/>
  <c r="AP125" i="34"/>
  <c r="AQ79" i="34"/>
  <c r="AP79" i="34"/>
  <c r="AQ152" i="34"/>
  <c r="AP152" i="34"/>
  <c r="AP105" i="34"/>
  <c r="AQ105" i="34"/>
  <c r="AQ127" i="34"/>
  <c r="AP127" i="34"/>
  <c r="AP102" i="34"/>
  <c r="AQ102" i="34"/>
  <c r="AP75" i="34"/>
  <c r="AQ75" i="34"/>
  <c r="AQ73" i="34"/>
  <c r="AP73" i="34"/>
  <c r="AP121" i="34"/>
  <c r="AQ121" i="34"/>
  <c r="AP131" i="34"/>
  <c r="AQ131" i="34"/>
  <c r="AQ151" i="34"/>
  <c r="AP151" i="34"/>
  <c r="AQ71" i="34"/>
  <c r="AP71" i="34"/>
  <c r="AP70" i="34"/>
  <c r="AQ70" i="34"/>
  <c r="AP74" i="34"/>
  <c r="AQ74" i="34"/>
  <c r="AP204" i="34"/>
  <c r="AQ204" i="34"/>
  <c r="AP154" i="34"/>
  <c r="AQ154" i="34"/>
  <c r="AQ86" i="34"/>
  <c r="AP86" i="34"/>
  <c r="AP120" i="34"/>
  <c r="AQ120" i="34"/>
  <c r="AL202" i="34"/>
  <c r="AM202" i="34"/>
  <c r="AN202" i="34"/>
  <c r="AQ84" i="34"/>
  <c r="AP84" i="34"/>
  <c r="AQ80" i="34"/>
  <c r="AP80" i="34"/>
  <c r="AL56" i="34"/>
  <c r="AP148" i="34"/>
  <c r="AQ148" i="34"/>
  <c r="AP81" i="34"/>
  <c r="AQ81" i="34"/>
  <c r="AL176" i="34"/>
  <c r="AM176" i="34"/>
  <c r="AP139" i="34"/>
  <c r="AQ139" i="34"/>
  <c r="AP157" i="34"/>
  <c r="AQ157" i="34"/>
  <c r="AQ94" i="34"/>
  <c r="AP94" i="34"/>
  <c r="AP147" i="34"/>
  <c r="AQ147" i="34"/>
  <c r="AQ129" i="34"/>
  <c r="AP129" i="34"/>
  <c r="AQ210" i="34"/>
  <c r="AP210" i="34"/>
  <c r="AL44" i="34"/>
  <c r="AM44" i="34"/>
  <c r="AQ165" i="34"/>
  <c r="AP165" i="34"/>
  <c r="AQ91" i="34"/>
  <c r="AP91" i="34"/>
  <c r="AQ116" i="34"/>
  <c r="AP116" i="34"/>
  <c r="AP205" i="34"/>
  <c r="AQ205" i="34"/>
  <c r="AP183" i="34"/>
  <c r="AQ183" i="34"/>
  <c r="AP213" i="34"/>
  <c r="AQ213" i="34"/>
  <c r="AQ194" i="34"/>
  <c r="AP194" i="34"/>
  <c r="AL208" i="34"/>
  <c r="AL52" i="34"/>
  <c r="AL40" i="34"/>
  <c r="AM40" i="34"/>
  <c r="AN40" i="34"/>
  <c r="AL192" i="34"/>
  <c r="AM192" i="34"/>
  <c r="AN192" i="34"/>
  <c r="AQ175" i="34"/>
  <c r="AP175" i="34"/>
  <c r="AP162" i="34"/>
  <c r="AQ162" i="34"/>
  <c r="AQ108" i="34"/>
  <c r="AP108" i="34"/>
  <c r="AQ144" i="34"/>
  <c r="AP144" i="34"/>
  <c r="AP97" i="34"/>
  <c r="AQ97" i="34"/>
  <c r="AQ101" i="34"/>
  <c r="AP101" i="34"/>
  <c r="AQ112" i="34"/>
  <c r="AP112" i="34"/>
  <c r="AP107" i="34"/>
  <c r="AQ107" i="34"/>
  <c r="AQ134" i="34"/>
  <c r="AP134" i="34"/>
  <c r="AP95" i="34"/>
  <c r="AQ95" i="34"/>
  <c r="AP83" i="34"/>
  <c r="AQ83" i="34"/>
  <c r="AP111" i="34"/>
  <c r="AQ111" i="34"/>
  <c r="AQ118" i="34"/>
  <c r="AP118" i="34"/>
  <c r="AP142" i="34"/>
  <c r="AQ142" i="34"/>
  <c r="AP93" i="34"/>
  <c r="AQ93" i="34"/>
  <c r="AP143" i="34"/>
  <c r="AQ143" i="34"/>
  <c r="AQ122" i="34"/>
  <c r="AP122" i="34"/>
  <c r="AP76" i="34"/>
  <c r="AQ76" i="34"/>
  <c r="AL167" i="34"/>
  <c r="AP82" i="34"/>
  <c r="AQ82" i="34"/>
  <c r="AQ72" i="34"/>
  <c r="AP72" i="34"/>
  <c r="AP140" i="34"/>
  <c r="AQ140" i="34"/>
  <c r="AQ136" i="34"/>
  <c r="AP136" i="34"/>
  <c r="AP211" i="34"/>
  <c r="AQ211" i="34"/>
  <c r="AL64" i="34"/>
  <c r="AP128" i="34"/>
  <c r="AQ128" i="34"/>
  <c r="AL60" i="34"/>
  <c r="AP164" i="34"/>
  <c r="AQ164" i="34"/>
  <c r="AP132" i="34"/>
  <c r="AQ132" i="34"/>
  <c r="AQ90" i="34"/>
  <c r="AP90" i="34"/>
  <c r="AP170" i="34"/>
  <c r="AQ170" i="34"/>
  <c r="AQ207" i="34"/>
  <c r="AP207" i="34"/>
  <c r="AP199" i="34"/>
  <c r="AQ199" i="34"/>
  <c r="AP43" i="34"/>
  <c r="AQ43" i="34"/>
  <c r="AP106" i="34"/>
  <c r="AQ106" i="34"/>
  <c r="AQ88" i="34"/>
  <c r="AP88" i="34"/>
  <c r="AP89" i="34"/>
  <c r="AQ89" i="34"/>
  <c r="AQ137" i="34"/>
  <c r="AP137" i="34"/>
  <c r="AP92" i="34"/>
  <c r="AQ92" i="34"/>
  <c r="AL206" i="34"/>
  <c r="AN206" i="34"/>
  <c r="AM206" i="34"/>
  <c r="AQ98" i="34"/>
  <c r="AP98" i="34"/>
  <c r="AQ203" i="34"/>
  <c r="AP203" i="34"/>
  <c r="AP115" i="34"/>
  <c r="AQ115" i="34"/>
  <c r="AQ85" i="34"/>
  <c r="AP85" i="34"/>
  <c r="AQ99" i="34"/>
  <c r="AP99" i="34"/>
  <c r="AP117" i="34"/>
  <c r="AQ117" i="34"/>
  <c r="AP212" i="34"/>
  <c r="AQ212" i="34"/>
  <c r="AP96" i="34"/>
  <c r="AQ96" i="34"/>
  <c r="AP146" i="34"/>
  <c r="AQ146" i="34"/>
  <c r="AP100" i="34"/>
  <c r="AQ100" i="34"/>
  <c r="AQ87" i="34"/>
  <c r="AP87" i="34"/>
  <c r="AQ161" i="34"/>
  <c r="AP161" i="34"/>
  <c r="AP150" i="34"/>
  <c r="AQ150" i="34"/>
  <c r="AP123" i="34"/>
  <c r="AQ123" i="34"/>
  <c r="AQ109" i="34"/>
  <c r="AP109" i="34"/>
  <c r="AP104" i="34"/>
  <c r="AQ104" i="34"/>
  <c r="AP130" i="34"/>
  <c r="AQ130" i="34"/>
  <c r="AP103" i="34"/>
  <c r="AQ103" i="34"/>
  <c r="AL180" i="34"/>
  <c r="AM180" i="34"/>
  <c r="AQ197" i="34"/>
  <c r="AP197" i="34"/>
  <c r="AL198" i="34"/>
  <c r="AN198" i="34"/>
  <c r="AM198" i="34"/>
  <c r="AQ114" i="34"/>
  <c r="AP114" i="34"/>
  <c r="AQ4" i="34"/>
  <c r="AP4" i="34"/>
  <c r="AQ196" i="34"/>
  <c r="AP196" i="34"/>
  <c r="AP25" i="34"/>
  <c r="AQ25" i="34"/>
  <c r="AL166" i="34"/>
  <c r="AN166" i="34" s="1"/>
  <c r="AM166" i="34"/>
  <c r="AL158" i="34"/>
  <c r="AQ153" i="34"/>
  <c r="AP153" i="34"/>
  <c r="AP189" i="34"/>
  <c r="AQ189" i="34"/>
  <c r="AQ149" i="34"/>
  <c r="AP149" i="34"/>
  <c r="AL200" i="34"/>
  <c r="AN200" i="34"/>
  <c r="AM200" i="34"/>
  <c r="AL184" i="34"/>
  <c r="AM184" i="34"/>
  <c r="AQ188" i="34"/>
  <c r="AP188" i="34"/>
  <c r="AQ187" i="34"/>
  <c r="AP187" i="34"/>
  <c r="AQ191" i="34"/>
  <c r="AP191" i="34"/>
  <c r="AP77" i="34"/>
  <c r="AQ77" i="34"/>
  <c r="AQ124" i="34"/>
  <c r="AP124" i="34"/>
  <c r="AQ126" i="34"/>
  <c r="AP126" i="34"/>
  <c r="AP133" i="34"/>
  <c r="AQ133" i="34"/>
  <c r="AQ135" i="34"/>
  <c r="AP135" i="34"/>
  <c r="AQ78" i="34"/>
  <c r="AP78" i="34"/>
  <c r="AL190" i="34"/>
  <c r="AP110" i="34"/>
  <c r="AQ110" i="34"/>
  <c r="AP145" i="34"/>
  <c r="AQ145" i="34"/>
  <c r="AL68" i="34"/>
  <c r="AQ169" i="34"/>
  <c r="AP169" i="34"/>
  <c r="AM56" i="34"/>
  <c r="AM208" i="34"/>
  <c r="AN208" i="34"/>
  <c r="AM52" i="34"/>
  <c r="AM167" i="34"/>
  <c r="AN167" i="34"/>
  <c r="AM64" i="34"/>
  <c r="AM60" i="34"/>
  <c r="AM158" i="34"/>
  <c r="AN190" i="34"/>
  <c r="AM190" i="34"/>
  <c r="AM68" i="34"/>
  <c r="AT14" i="36" l="1"/>
  <c r="AT30" i="36"/>
  <c r="AT9" i="36"/>
  <c r="AT25" i="36"/>
  <c r="AT28" i="36"/>
  <c r="AT12" i="36"/>
  <c r="AT22" i="36"/>
  <c r="AT18" i="36"/>
  <c r="AT23" i="36"/>
  <c r="AT13" i="36"/>
  <c r="AT17" i="36"/>
  <c r="AT15" i="36"/>
  <c r="AT24" i="36"/>
  <c r="AT27" i="36"/>
  <c r="AT20" i="36"/>
  <c r="AT8" i="36"/>
  <c r="AT19" i="36"/>
  <c r="AT10" i="36"/>
  <c r="AT29" i="36"/>
  <c r="D53" i="30"/>
  <c r="D46" i="30"/>
  <c r="D42" i="30"/>
  <c r="D38" i="30"/>
  <c r="D34" i="30"/>
  <c r="D30" i="30"/>
  <c r="D26" i="30"/>
  <c r="D22" i="30"/>
  <c r="D18" i="30"/>
  <c r="D14" i="30"/>
  <c r="D10" i="30"/>
  <c r="D6" i="30"/>
  <c r="D39" i="30"/>
  <c r="D23" i="30"/>
  <c r="D11" i="30"/>
  <c r="D45" i="30"/>
  <c r="D41" i="30"/>
  <c r="D37" i="30"/>
  <c r="D33" i="30"/>
  <c r="D29" i="30"/>
  <c r="D25" i="30"/>
  <c r="D21" i="30"/>
  <c r="D17" i="30"/>
  <c r="D13" i="30"/>
  <c r="D9" i="30"/>
  <c r="D43" i="30"/>
  <c r="D35" i="30"/>
  <c r="D27" i="30"/>
  <c r="D19" i="30"/>
  <c r="D7" i="30"/>
  <c r="D44" i="30"/>
  <c r="D40" i="30"/>
  <c r="D36" i="30"/>
  <c r="D32" i="30"/>
  <c r="D28" i="30"/>
  <c r="D24" i="30"/>
  <c r="D20" i="30"/>
  <c r="D16" i="30"/>
  <c r="D12" i="30"/>
  <c r="D8" i="30"/>
  <c r="D47" i="30"/>
  <c r="D31" i="30"/>
  <c r="D15" i="30"/>
  <c r="C54" i="29"/>
  <c r="C57" i="29"/>
  <c r="CQ56" i="18"/>
  <c r="CA56" i="18"/>
  <c r="BC53" i="18"/>
  <c r="AM53" i="18"/>
  <c r="W53" i="18"/>
  <c r="G53" i="18"/>
  <c r="BU56" i="18"/>
  <c r="AS56" i="18"/>
  <c r="M56" i="18"/>
  <c r="CR56" i="18"/>
  <c r="BL56" i="18"/>
  <c r="AF56" i="18"/>
  <c r="CP53" i="18"/>
  <c r="BR56" i="18"/>
  <c r="BJ53" i="18"/>
  <c r="AT53" i="18"/>
  <c r="AD53" i="18"/>
  <c r="V56" i="18"/>
  <c r="F56" i="18"/>
  <c r="CF53" i="18"/>
  <c r="AZ53" i="18"/>
  <c r="T53" i="18"/>
  <c r="CS56" i="18"/>
  <c r="CC56" i="18"/>
  <c r="AW56" i="18"/>
  <c r="AG56" i="18"/>
  <c r="Q56" i="18"/>
  <c r="E53" i="18"/>
  <c r="CU53" i="18"/>
  <c r="CM53" i="18"/>
  <c r="CE53" i="18"/>
  <c r="BW53" i="18"/>
  <c r="BO53" i="18"/>
  <c r="BG53" i="18"/>
  <c r="AQ53" i="18"/>
  <c r="AI53" i="18"/>
  <c r="AA53" i="18"/>
  <c r="S53" i="18"/>
  <c r="K53" i="18"/>
  <c r="C53" i="18"/>
  <c r="CW56" i="18"/>
  <c r="CG56" i="18"/>
  <c r="BQ56" i="18"/>
  <c r="BA56" i="18"/>
  <c r="AK56" i="18"/>
  <c r="U56" i="18"/>
  <c r="CJ56" i="18"/>
  <c r="BT56" i="18"/>
  <c r="BD56" i="18"/>
  <c r="AN56" i="18"/>
  <c r="X56" i="18"/>
  <c r="H56" i="18"/>
  <c r="CT56" i="18"/>
  <c r="CL53" i="18"/>
  <c r="CD56" i="18"/>
  <c r="BV53" i="18"/>
  <c r="BN56" i="18"/>
  <c r="BF53" i="18"/>
  <c r="AX56" i="18"/>
  <c r="AP53" i="18"/>
  <c r="AH56" i="18"/>
  <c r="Z53" i="18"/>
  <c r="R56" i="18"/>
  <c r="J53" i="18"/>
  <c r="CN53" i="18"/>
  <c r="BX53" i="18"/>
  <c r="BH53" i="18"/>
  <c r="AR53" i="18"/>
  <c r="AB53" i="18"/>
  <c r="L53" i="18"/>
  <c r="CI53" i="18"/>
  <c r="BS53" i="18"/>
  <c r="BK56" i="18"/>
  <c r="AU56" i="18"/>
  <c r="AE56" i="18"/>
  <c r="O56" i="18"/>
  <c r="CO56" i="18"/>
  <c r="BI56" i="18"/>
  <c r="AC56" i="18"/>
  <c r="CB56" i="18"/>
  <c r="AV56" i="18"/>
  <c r="P56" i="18"/>
  <c r="CX56" i="18"/>
  <c r="CH56" i="18"/>
  <c r="BZ53" i="18"/>
  <c r="BB56" i="18"/>
  <c r="AL56" i="18"/>
  <c r="N53" i="18"/>
  <c r="CV53" i="18"/>
  <c r="BP53" i="18"/>
  <c r="AJ53" i="18"/>
  <c r="D53" i="18"/>
  <c r="BM56" i="18"/>
  <c r="AY53" i="18"/>
  <c r="CK53" i="18"/>
  <c r="BY53" i="18"/>
  <c r="BE53" i="18"/>
  <c r="AO53" i="18"/>
  <c r="Y53" i="18"/>
  <c r="I53" i="18"/>
  <c r="CQ53" i="18"/>
  <c r="CI56" i="18"/>
  <c r="CA53" i="18"/>
  <c r="BS56" i="18"/>
  <c r="BK53" i="18"/>
  <c r="BC56" i="18"/>
  <c r="AU53" i="18"/>
  <c r="AM56" i="18"/>
  <c r="AE53" i="18"/>
  <c r="W56" i="18"/>
  <c r="O53" i="18"/>
  <c r="G56" i="18"/>
  <c r="CO53" i="18"/>
  <c r="BU53" i="18"/>
  <c r="BI53" i="18"/>
  <c r="AS53" i="18"/>
  <c r="AC53" i="18"/>
  <c r="M53" i="18"/>
  <c r="CR53" i="18"/>
  <c r="CB53" i="18"/>
  <c r="BL53" i="18"/>
  <c r="AV53" i="18"/>
  <c r="AF53" i="18"/>
  <c r="P53" i="18"/>
  <c r="DA27" i="18"/>
  <c r="CT53" i="18"/>
  <c r="CL56" i="18"/>
  <c r="CD53" i="18"/>
  <c r="BV56" i="18"/>
  <c r="BN53" i="18"/>
  <c r="BF56" i="18"/>
  <c r="AX53" i="18"/>
  <c r="AP56" i="18"/>
  <c r="AH53" i="18"/>
  <c r="Z56" i="18"/>
  <c r="R53" i="18"/>
  <c r="J56" i="18"/>
  <c r="CK56" i="18"/>
  <c r="BY56" i="18"/>
  <c r="BE56" i="18"/>
  <c r="AO56" i="18"/>
  <c r="Y56" i="18"/>
  <c r="I56" i="18"/>
  <c r="CV56" i="18"/>
  <c r="CF56" i="18"/>
  <c r="BP56" i="18"/>
  <c r="AZ56" i="18"/>
  <c r="AJ56" i="18"/>
  <c r="T56" i="18"/>
  <c r="D56" i="18"/>
  <c r="CU56" i="18"/>
  <c r="CM56" i="18"/>
  <c r="CE56" i="18"/>
  <c r="BW56" i="18"/>
  <c r="BO56" i="18"/>
  <c r="BG56" i="18"/>
  <c r="AY56" i="18"/>
  <c r="AQ56" i="18"/>
  <c r="AI56" i="18"/>
  <c r="AA56" i="18"/>
  <c r="S56" i="18"/>
  <c r="K56" i="18"/>
  <c r="C56" i="18"/>
  <c r="CW53" i="18"/>
  <c r="CG53" i="18"/>
  <c r="BQ53" i="18"/>
  <c r="BA53" i="18"/>
  <c r="AK53" i="18"/>
  <c r="U53" i="18"/>
  <c r="CJ53" i="18"/>
  <c r="BT53" i="18"/>
  <c r="BD53" i="18"/>
  <c r="AN53" i="18"/>
  <c r="X53" i="18"/>
  <c r="H53" i="18"/>
  <c r="CX53" i="18"/>
  <c r="CP56" i="18"/>
  <c r="CH53" i="18"/>
  <c r="BZ56" i="18"/>
  <c r="BR53" i="18"/>
  <c r="BJ56" i="18"/>
  <c r="BB53" i="18"/>
  <c r="AT56" i="18"/>
  <c r="AL53" i="18"/>
  <c r="AD56" i="18"/>
  <c r="V53" i="18"/>
  <c r="N56" i="18"/>
  <c r="F53" i="18"/>
  <c r="CS53" i="18"/>
  <c r="CC53" i="18"/>
  <c r="BM53" i="18"/>
  <c r="AW53" i="18"/>
  <c r="AG53" i="18"/>
  <c r="Q53" i="18"/>
  <c r="E56" i="18"/>
  <c r="CN56" i="18"/>
  <c r="BX56" i="18"/>
  <c r="BH56" i="18"/>
  <c r="AR56" i="18"/>
  <c r="AB56" i="18"/>
  <c r="L56" i="18"/>
  <c r="D51" i="30"/>
  <c r="H13" i="30"/>
  <c r="H9" i="30"/>
  <c r="H8" i="30"/>
  <c r="H7" i="30"/>
  <c r="H6" i="30"/>
  <c r="H12" i="30"/>
  <c r="H11" i="30"/>
  <c r="H10" i="30"/>
  <c r="H15" i="30"/>
  <c r="H14" i="30"/>
  <c r="C49" i="29"/>
  <c r="C50" i="29" s="1"/>
  <c r="AD48" i="18"/>
  <c r="AA48" i="18"/>
  <c r="CV48" i="18"/>
  <c r="AE48" i="18"/>
  <c r="CG48" i="18"/>
  <c r="AG48" i="18"/>
  <c r="N48" i="18"/>
  <c r="AL48" i="18"/>
  <c r="BG48" i="18"/>
  <c r="Z48" i="18"/>
  <c r="AY48" i="18"/>
  <c r="AV48" i="18"/>
  <c r="BQ48" i="18"/>
  <c r="BB48" i="18"/>
  <c r="AM48" i="18"/>
  <c r="AR48" i="18"/>
  <c r="AK48" i="18"/>
  <c r="BJ48" i="18"/>
  <c r="BH48" i="18"/>
  <c r="Y48" i="18"/>
  <c r="BI48" i="18"/>
  <c r="BT48" i="18"/>
  <c r="BV48" i="18"/>
  <c r="AS48" i="18"/>
  <c r="BR48" i="18"/>
  <c r="AD49" i="18"/>
  <c r="AA49" i="18"/>
  <c r="CV49" i="18"/>
  <c r="AE49" i="18"/>
  <c r="CG49" i="18"/>
  <c r="AG49" i="18"/>
  <c r="N49" i="18"/>
  <c r="AL49" i="18"/>
  <c r="BG49" i="18"/>
  <c r="Z49" i="18"/>
  <c r="AY49" i="18"/>
  <c r="AV49" i="18"/>
  <c r="BQ49" i="18"/>
  <c r="BB49" i="18"/>
  <c r="AM49" i="18"/>
  <c r="AR49" i="18"/>
  <c r="AK49" i="18"/>
  <c r="BH49" i="18"/>
  <c r="Y49" i="18"/>
  <c r="BV49" i="18"/>
  <c r="BR49" i="18"/>
  <c r="CN48" i="18"/>
  <c r="CO48" i="18"/>
  <c r="AT48" i="18"/>
  <c r="G48" i="18"/>
  <c r="AO48" i="18"/>
  <c r="CJ48" i="18"/>
  <c r="CF48" i="18"/>
  <c r="CX48" i="18"/>
  <c r="CI48" i="18"/>
  <c r="CR48" i="18"/>
  <c r="J48" i="18"/>
  <c r="F48" i="18"/>
  <c r="CN49" i="18"/>
  <c r="J49" i="18"/>
  <c r="F49" i="18"/>
  <c r="CU48" i="18"/>
  <c r="CQ48" i="18"/>
  <c r="AN48" i="18"/>
  <c r="AX48" i="18"/>
  <c r="CL48" i="18"/>
  <c r="BU48" i="18"/>
  <c r="X48" i="18"/>
  <c r="E48" i="18"/>
  <c r="AW48" i="18"/>
  <c r="AJ48" i="18"/>
  <c r="AF48" i="18"/>
  <c r="BS48" i="18"/>
  <c r="CQ49" i="18"/>
  <c r="AN49" i="18"/>
  <c r="AX49" i="18"/>
  <c r="CL49" i="18"/>
  <c r="BU49" i="18"/>
  <c r="X49" i="18"/>
  <c r="E49" i="18"/>
  <c r="AW49" i="18"/>
  <c r="AJ49" i="18"/>
  <c r="AF49" i="18"/>
  <c r="BS49" i="18"/>
  <c r="CP48" i="18"/>
  <c r="BO48" i="18"/>
  <c r="BZ48" i="18"/>
  <c r="BK48" i="18"/>
  <c r="BL48" i="18"/>
  <c r="CS48" i="18"/>
  <c r="AP48" i="18"/>
  <c r="CW48" i="18"/>
  <c r="CM48" i="18"/>
  <c r="BF48" i="18"/>
  <c r="BP48" i="18"/>
  <c r="M48" i="18"/>
  <c r="AH48" i="18"/>
  <c r="CH48" i="18"/>
  <c r="Q48" i="18"/>
  <c r="C48" i="18"/>
  <c r="CD48" i="18"/>
  <c r="BC48" i="18"/>
  <c r="K48" i="18"/>
  <c r="CK48" i="18"/>
  <c r="O48" i="18"/>
  <c r="BA48" i="18"/>
  <c r="BW48" i="18"/>
  <c r="BY48" i="18"/>
  <c r="BD48" i="18"/>
  <c r="CP49" i="18"/>
  <c r="BO49" i="18"/>
  <c r="BZ49" i="18"/>
  <c r="BK49" i="18"/>
  <c r="BL49" i="18"/>
  <c r="CS49" i="18"/>
  <c r="AP49" i="18"/>
  <c r="CW49" i="18"/>
  <c r="CM49" i="18"/>
  <c r="BF49" i="18"/>
  <c r="BP49" i="18"/>
  <c r="M49" i="18"/>
  <c r="AH49" i="18"/>
  <c r="CH49" i="18"/>
  <c r="Q49" i="18"/>
  <c r="C49" i="18"/>
  <c r="CD49" i="18"/>
  <c r="BC49" i="18"/>
  <c r="K49" i="18"/>
  <c r="CK49" i="18"/>
  <c r="O49" i="18"/>
  <c r="BA49" i="18"/>
  <c r="BW49" i="18"/>
  <c r="BY49" i="18"/>
  <c r="BD49" i="18"/>
  <c r="BJ49" i="18"/>
  <c r="BI49" i="18"/>
  <c r="BT49" i="18"/>
  <c r="AS49" i="18"/>
  <c r="AZ48" i="18"/>
  <c r="BE48" i="18"/>
  <c r="U48" i="18"/>
  <c r="U49" i="18" s="1"/>
  <c r="CB48" i="18"/>
  <c r="CB49" i="18" s="1"/>
  <c r="S48" i="18"/>
  <c r="S49" i="18" s="1"/>
  <c r="BX48" i="18"/>
  <c r="CT48" i="18"/>
  <c r="CT49" i="18" s="1"/>
  <c r="V48" i="18"/>
  <c r="V49" i="18" s="1"/>
  <c r="D48" i="18"/>
  <c r="D49" i="18" s="1"/>
  <c r="CE48" i="18"/>
  <c r="CE49" i="18" s="1"/>
  <c r="CA48" i="18"/>
  <c r="CA49" i="18" s="1"/>
  <c r="H48" i="18"/>
  <c r="H49" i="18" s="1"/>
  <c r="P48" i="18"/>
  <c r="AZ49" i="18"/>
  <c r="BE49" i="18"/>
  <c r="CO49" i="18"/>
  <c r="AT49" i="18"/>
  <c r="G49" i="18"/>
  <c r="BX49" i="18"/>
  <c r="AO49" i="18"/>
  <c r="CJ49" i="18"/>
  <c r="CF49" i="18"/>
  <c r="CX49" i="18"/>
  <c r="CI49" i="18"/>
  <c r="CR49" i="18"/>
  <c r="P49" i="18"/>
  <c r="W48" i="18"/>
  <c r="W49" i="18" s="1"/>
  <c r="AB48" i="18"/>
  <c r="AB49" i="18" s="1"/>
  <c r="AC48" i="18"/>
  <c r="AI48" i="18"/>
  <c r="T48" i="18"/>
  <c r="L48" i="18"/>
  <c r="BN48" i="18"/>
  <c r="CC48" i="18"/>
  <c r="I48" i="18"/>
  <c r="AQ48" i="18"/>
  <c r="AU48" i="18"/>
  <c r="BM48" i="18"/>
  <c r="R48" i="18"/>
  <c r="CU49" i="18"/>
  <c r="AC49" i="18"/>
  <c r="AI49" i="18"/>
  <c r="T49" i="18"/>
  <c r="L49" i="18"/>
  <c r="BN49" i="18"/>
  <c r="CC49" i="18"/>
  <c r="I49" i="18"/>
  <c r="AQ49" i="18"/>
  <c r="AU49" i="18"/>
  <c r="BM49" i="18"/>
  <c r="R49" i="18"/>
  <c r="AO190" i="34"/>
  <c r="AN184" i="34"/>
  <c r="AO198" i="34"/>
  <c r="AN64" i="34"/>
  <c r="AN44" i="34"/>
  <c r="AO173" i="34"/>
  <c r="AO171" i="34"/>
  <c r="AO61" i="34"/>
  <c r="AO69" i="34"/>
  <c r="AO168" i="34"/>
  <c r="AO172" i="34"/>
  <c r="AO53" i="34"/>
  <c r="AO167" i="34"/>
  <c r="AO200" i="34"/>
  <c r="AN180" i="34"/>
  <c r="AO192" i="34"/>
  <c r="AN176" i="34"/>
  <c r="AO57" i="34"/>
  <c r="AO181" i="34"/>
  <c r="AO201" i="34"/>
  <c r="AO48" i="34"/>
  <c r="AO177" i="34"/>
  <c r="AO45" i="34"/>
  <c r="AO202" i="34"/>
  <c r="AO185" i="34"/>
  <c r="AO208" i="34"/>
  <c r="AN158" i="34"/>
  <c r="AO206" i="34"/>
  <c r="AO40" i="34"/>
  <c r="AN56" i="34"/>
  <c r="AO155" i="34"/>
  <c r="AO41" i="34"/>
  <c r="AO209" i="34"/>
  <c r="AO163" i="34"/>
  <c r="AO193" i="34"/>
  <c r="AN68" i="34"/>
  <c r="AO166" i="34"/>
  <c r="AN60" i="34"/>
  <c r="AN52" i="34"/>
  <c r="AO49" i="34"/>
  <c r="AO159" i="34"/>
  <c r="AO65" i="34"/>
  <c r="P44" i="23"/>
  <c r="P52" i="23"/>
  <c r="P21" i="23"/>
  <c r="P20" i="23"/>
  <c r="P34" i="23"/>
  <c r="P49" i="23"/>
  <c r="P25" i="23"/>
  <c r="P40" i="23"/>
  <c r="P43" i="23"/>
  <c r="P51" i="23"/>
  <c r="P35" i="23"/>
  <c r="P32" i="23"/>
  <c r="P26" i="23"/>
  <c r="P28" i="23"/>
  <c r="P50" i="23"/>
  <c r="P30" i="23"/>
  <c r="P23" i="23"/>
  <c r="P42" i="23"/>
  <c r="P46" i="23"/>
  <c r="P47" i="23"/>
  <c r="P36" i="23"/>
  <c r="P38" i="23"/>
  <c r="P39" i="23"/>
  <c r="P19" i="23"/>
  <c r="AQ190" i="34"/>
  <c r="AP190" i="34"/>
  <c r="AQ198" i="34"/>
  <c r="AP198" i="34"/>
  <c r="AQ173" i="34"/>
  <c r="AP173" i="34"/>
  <c r="AP171" i="34"/>
  <c r="AQ171" i="34"/>
  <c r="AP61" i="34"/>
  <c r="AQ61" i="34"/>
  <c r="AQ69" i="34"/>
  <c r="AP69" i="34"/>
  <c r="AP168" i="34"/>
  <c r="AQ168" i="34"/>
  <c r="AP172" i="34"/>
  <c r="AQ172" i="34"/>
  <c r="AQ53" i="34"/>
  <c r="AP53" i="34"/>
  <c r="AP167" i="34"/>
  <c r="AQ167" i="34"/>
  <c r="AQ200" i="34"/>
  <c r="AP200" i="34"/>
  <c r="AQ192" i="34"/>
  <c r="AP192" i="34"/>
  <c r="AP57" i="34"/>
  <c r="AQ57" i="34"/>
  <c r="AQ181" i="34"/>
  <c r="AP181" i="34"/>
  <c r="AP201" i="34"/>
  <c r="AQ201" i="34"/>
  <c r="AQ48" i="34"/>
  <c r="AP48" i="34"/>
  <c r="AQ177" i="34"/>
  <c r="AP177" i="34"/>
  <c r="AQ45" i="34"/>
  <c r="AP45" i="34"/>
  <c r="AP202" i="34"/>
  <c r="AQ202" i="34"/>
  <c r="AP185" i="34"/>
  <c r="AQ185" i="34"/>
  <c r="AP208" i="34"/>
  <c r="AQ208" i="34"/>
  <c r="AQ206" i="34"/>
  <c r="AP206" i="34"/>
  <c r="AP40" i="34"/>
  <c r="AQ40" i="34"/>
  <c r="AP155" i="34"/>
  <c r="AQ155" i="34"/>
  <c r="AQ41" i="34"/>
  <c r="AP41" i="34"/>
  <c r="AP209" i="34"/>
  <c r="AQ209" i="34"/>
  <c r="AQ163" i="34"/>
  <c r="AP163" i="34"/>
  <c r="AP193" i="34"/>
  <c r="AQ193" i="34"/>
  <c r="AQ166" i="34"/>
  <c r="AP166" i="34"/>
  <c r="AQ49" i="34"/>
  <c r="AP49" i="34"/>
  <c r="AP159" i="34"/>
  <c r="AQ159" i="34"/>
  <c r="AP65" i="34"/>
  <c r="AQ65" i="34"/>
  <c r="D54" i="30" l="1"/>
  <c r="D52" i="30"/>
  <c r="D55" i="30" s="1"/>
  <c r="D57" i="30" s="1"/>
  <c r="C78" i="29"/>
  <c r="F77" i="18"/>
  <c r="BR77" i="18"/>
  <c r="BD77" i="18"/>
  <c r="R77" i="18"/>
  <c r="P77" i="18"/>
  <c r="AS77" i="18"/>
  <c r="BY77" i="18"/>
  <c r="BS77" i="18"/>
  <c r="J77" i="18"/>
  <c r="BV77" i="18"/>
  <c r="BW77" i="18"/>
  <c r="BM77" i="18"/>
  <c r="H77" i="18"/>
  <c r="BT77" i="18"/>
  <c r="BA77" i="18"/>
  <c r="AF77" i="18"/>
  <c r="CR77" i="18"/>
  <c r="BI77" i="18"/>
  <c r="O77" i="18"/>
  <c r="AU77" i="18"/>
  <c r="CA77" i="18"/>
  <c r="Y77" i="18"/>
  <c r="CK77" i="18"/>
  <c r="AJ77" i="18"/>
  <c r="CI77" i="18"/>
  <c r="BH77" i="18"/>
  <c r="K77" i="18"/>
  <c r="AQ77" i="18"/>
  <c r="CE77" i="18"/>
  <c r="BJ77" i="18"/>
  <c r="BC77" i="18"/>
  <c r="AW77" i="18"/>
  <c r="CX77" i="18"/>
  <c r="AK77" i="18"/>
  <c r="CD77" i="18"/>
  <c r="I77" i="18"/>
  <c r="D77" i="18"/>
  <c r="AR77" i="18"/>
  <c r="C77" i="18"/>
  <c r="E77" i="18"/>
  <c r="CF77" i="18"/>
  <c r="AM77" i="18"/>
  <c r="Q77" i="18"/>
  <c r="CC77" i="18"/>
  <c r="V77" i="18"/>
  <c r="BB77" i="18"/>
  <c r="CH77" i="18"/>
  <c r="X77" i="18"/>
  <c r="CJ77" i="18"/>
  <c r="BQ77" i="18"/>
  <c r="AH77" i="18"/>
  <c r="BN77" i="18"/>
  <c r="CT77" i="18"/>
  <c r="AV77" i="18"/>
  <c r="M77" i="18"/>
  <c r="BU77" i="18"/>
  <c r="AO77" i="18"/>
  <c r="AY77" i="18"/>
  <c r="BP77" i="18"/>
  <c r="L77" i="18"/>
  <c r="BX77" i="18"/>
  <c r="Z77" i="18"/>
  <c r="BF77" i="18"/>
  <c r="CL77" i="18"/>
  <c r="S77" i="18"/>
  <c r="BG77" i="18"/>
  <c r="CM77" i="18"/>
  <c r="T77" i="18"/>
  <c r="G77" i="18"/>
  <c r="AL77" i="18"/>
  <c r="CW77" i="18"/>
  <c r="AX77" i="18"/>
  <c r="CB77" i="18"/>
  <c r="N77" i="18"/>
  <c r="AP77" i="18"/>
  <c r="AI77" i="18"/>
  <c r="AT77" i="18"/>
  <c r="AG77" i="18"/>
  <c r="CS77" i="18"/>
  <c r="AN77" i="18"/>
  <c r="U77" i="18"/>
  <c r="CG77" i="18"/>
  <c r="BL77" i="18"/>
  <c r="AC77" i="18"/>
  <c r="CO77" i="18"/>
  <c r="AE77" i="18"/>
  <c r="BK77" i="18"/>
  <c r="CQ77" i="18"/>
  <c r="BE77" i="18"/>
  <c r="CV77" i="18"/>
  <c r="BZ77" i="18"/>
  <c r="AB77" i="18"/>
  <c r="CN77" i="18"/>
  <c r="AA77" i="18"/>
  <c r="BO77" i="18"/>
  <c r="CU77" i="18"/>
  <c r="AZ77" i="18"/>
  <c r="AD77" i="18"/>
  <c r="CP77" i="18"/>
  <c r="W77" i="18"/>
  <c r="C75" i="29"/>
  <c r="F7" i="29"/>
  <c r="E12" i="29" s="1" a="1"/>
  <c r="F12" i="29" a="1"/>
  <c r="C76" i="29"/>
  <c r="G12" i="29" a="1"/>
  <c r="F9" i="29"/>
  <c r="H12" i="29" a="1"/>
  <c r="F74" i="18"/>
  <c r="CR74" i="18"/>
  <c r="CX74" i="18"/>
  <c r="CJ74" i="18"/>
  <c r="S74" i="18"/>
  <c r="U74" i="18"/>
  <c r="AZ74" i="18"/>
  <c r="BG74" i="18"/>
  <c r="AD74" i="18"/>
  <c r="BA74" i="18"/>
  <c r="BC74" i="18"/>
  <c r="CH74" i="18"/>
  <c r="BF74" i="18"/>
  <c r="CS74" i="18"/>
  <c r="BO74" i="18"/>
  <c r="BM74" i="18"/>
  <c r="AQ74" i="18"/>
  <c r="CC74" i="18"/>
  <c r="L74" i="18"/>
  <c r="AI74" i="18"/>
  <c r="AB74" i="18"/>
  <c r="AS74" i="18"/>
  <c r="BH74" i="18"/>
  <c r="AM74" i="18"/>
  <c r="AL74" i="18"/>
  <c r="F75" i="18"/>
  <c r="CR102" i="18"/>
  <c r="CX102" i="18"/>
  <c r="CJ102" i="18"/>
  <c r="S75" i="18"/>
  <c r="U75" i="18"/>
  <c r="U102" i="18"/>
  <c r="AZ75" i="18"/>
  <c r="AD102" i="18"/>
  <c r="CH75" i="18"/>
  <c r="CS102" i="18"/>
  <c r="BO75" i="18"/>
  <c r="BM102" i="18"/>
  <c r="H74" i="18"/>
  <c r="H75" i="18" s="1"/>
  <c r="CE74" i="18"/>
  <c r="V74" i="18"/>
  <c r="BX74" i="18"/>
  <c r="AT74" i="18"/>
  <c r="CN74" i="18"/>
  <c r="AY74" i="18"/>
  <c r="CV74" i="18"/>
  <c r="BW74" i="18"/>
  <c r="K74" i="18"/>
  <c r="Q74" i="18"/>
  <c r="Q95" i="18" s="1"/>
  <c r="BP74" i="18"/>
  <c r="AP74" i="18"/>
  <c r="BZ74" i="18"/>
  <c r="BS74" i="18"/>
  <c r="AJ74" i="18"/>
  <c r="E74" i="18"/>
  <c r="BU74" i="18"/>
  <c r="AX74" i="18"/>
  <c r="CQ74" i="18"/>
  <c r="BR74" i="18"/>
  <c r="Y74" i="18"/>
  <c r="AR74" i="18"/>
  <c r="Z74" i="18"/>
  <c r="AA74" i="18"/>
  <c r="H102" i="18"/>
  <c r="CE95" i="18"/>
  <c r="CE98" i="18"/>
  <c r="CX95" i="18"/>
  <c r="CX96" i="18" s="1"/>
  <c r="CX99" i="18"/>
  <c r="V102" i="18"/>
  <c r="BX75" i="18"/>
  <c r="S95" i="18"/>
  <c r="S99" i="18" s="1"/>
  <c r="S98" i="18"/>
  <c r="AT102" i="18"/>
  <c r="CN95" i="18"/>
  <c r="CN96" i="18"/>
  <c r="AZ102" i="18"/>
  <c r="AY75" i="18"/>
  <c r="BG102" i="18"/>
  <c r="AD95" i="18"/>
  <c r="AD96" i="18" s="1"/>
  <c r="AD99" i="18"/>
  <c r="BW95" i="18"/>
  <c r="BW98" i="18"/>
  <c r="BA95" i="18"/>
  <c r="BA96" i="18" s="1"/>
  <c r="K75" i="18"/>
  <c r="BC102" i="18"/>
  <c r="Q102" i="18"/>
  <c r="Q99" i="18"/>
  <c r="BP95" i="18"/>
  <c r="BP98" i="18"/>
  <c r="BF102" i="18"/>
  <c r="CS75" i="18"/>
  <c r="BO95" i="18"/>
  <c r="BO99" i="18" s="1"/>
  <c r="BO98" i="18"/>
  <c r="BM75" i="18"/>
  <c r="AQ75" i="18"/>
  <c r="J74" i="18"/>
  <c r="CF74" i="18"/>
  <c r="CB74" i="18"/>
  <c r="BB74" i="18"/>
  <c r="BY74" i="18"/>
  <c r="C74" i="18"/>
  <c r="CW74" i="18"/>
  <c r="R74" i="18"/>
  <c r="I74" i="18"/>
  <c r="T74" i="18"/>
  <c r="W74" i="18"/>
  <c r="AK74" i="18"/>
  <c r="AE74" i="18"/>
  <c r="F102" i="18"/>
  <c r="CE97" i="18"/>
  <c r="CX98" i="18"/>
  <c r="V95" i="18"/>
  <c r="CJ95" i="18"/>
  <c r="S97" i="18"/>
  <c r="AT95" i="18"/>
  <c r="CN75" i="18"/>
  <c r="AY95" i="18"/>
  <c r="AY99" i="18" s="1"/>
  <c r="BG75" i="18"/>
  <c r="AD75" i="18"/>
  <c r="BY102" i="18"/>
  <c r="BA75" i="18"/>
  <c r="K95" i="18"/>
  <c r="K99" i="18" s="1"/>
  <c r="BC95" i="18"/>
  <c r="Q97" i="18"/>
  <c r="CH102" i="18"/>
  <c r="BP96" i="18"/>
  <c r="BO97" i="18"/>
  <c r="BS102" i="18"/>
  <c r="AQ95" i="18"/>
  <c r="I75" i="18"/>
  <c r="CC102" i="18"/>
  <c r="BU75" i="18"/>
  <c r="T75" i="18"/>
  <c r="AX75" i="18"/>
  <c r="AI75" i="18"/>
  <c r="CQ75" i="18"/>
  <c r="BR95" i="18"/>
  <c r="BR99" i="18"/>
  <c r="AR75" i="18"/>
  <c r="AM75" i="18"/>
  <c r="AL75" i="18"/>
  <c r="AE75" i="18"/>
  <c r="AA75" i="18"/>
  <c r="CJ96" i="18"/>
  <c r="CA74" i="18"/>
  <c r="CT74" i="18"/>
  <c r="CO74" i="18"/>
  <c r="N74" i="18"/>
  <c r="O74" i="18"/>
  <c r="AH74" i="18"/>
  <c r="BL74" i="18"/>
  <c r="AF74" i="18"/>
  <c r="X74" i="18"/>
  <c r="AN74" i="18"/>
  <c r="BT74" i="18"/>
  <c r="BT75" i="18" s="1"/>
  <c r="BQ74" i="18"/>
  <c r="F95" i="18"/>
  <c r="CR75" i="18"/>
  <c r="CE102" i="18"/>
  <c r="CF75" i="18"/>
  <c r="V98" i="18"/>
  <c r="CT75" i="18"/>
  <c r="S102" i="18"/>
  <c r="CB75" i="18"/>
  <c r="AT98" i="18"/>
  <c r="CO75" i="18"/>
  <c r="CN102" i="18"/>
  <c r="AY97" i="18"/>
  <c r="AD97" i="18"/>
  <c r="BW96" i="18"/>
  <c r="BA98" i="18"/>
  <c r="K97" i="18"/>
  <c r="BC98" i="18"/>
  <c r="C102" i="18"/>
  <c r="CH95" i="18"/>
  <c r="BF75" i="18"/>
  <c r="BL75" i="18"/>
  <c r="BO102" i="18"/>
  <c r="R75" i="18"/>
  <c r="BS95" i="18"/>
  <c r="BS97" i="18" s="1"/>
  <c r="BM95" i="18"/>
  <c r="BM99" i="18" s="1"/>
  <c r="AQ97" i="18"/>
  <c r="I102" i="18"/>
  <c r="CC95" i="18"/>
  <c r="X75" i="18"/>
  <c r="BU102" i="18"/>
  <c r="L95" i="18"/>
  <c r="L98" i="18"/>
  <c r="AX95" i="18"/>
  <c r="AX98" i="18" s="1"/>
  <c r="AX99" i="18"/>
  <c r="AI102" i="18"/>
  <c r="CQ95" i="18"/>
  <c r="CQ98" i="18" s="1"/>
  <c r="CQ99" i="18"/>
  <c r="CI74" i="18"/>
  <c r="AO74" i="18"/>
  <c r="BE74" i="18"/>
  <c r="CG74" i="18"/>
  <c r="CK74" i="18"/>
  <c r="M74" i="18"/>
  <c r="BK74" i="18"/>
  <c r="AU74" i="18"/>
  <c r="BN74" i="18"/>
  <c r="AC74" i="18"/>
  <c r="BI74" i="18"/>
  <c r="AV74" i="18"/>
  <c r="F96" i="18"/>
  <c r="J102" i="18"/>
  <c r="CR95" i="18"/>
  <c r="CI102" i="18"/>
  <c r="CX75" i="18"/>
  <c r="V99" i="18"/>
  <c r="CT95" i="18"/>
  <c r="AO95" i="18"/>
  <c r="BX102" i="18"/>
  <c r="CB95" i="18"/>
  <c r="CB98" i="18" s="1"/>
  <c r="AT99" i="18"/>
  <c r="CO95" i="18"/>
  <c r="AZ95" i="18"/>
  <c r="AY98" i="18"/>
  <c r="N102" i="18"/>
  <c r="CV75" i="18"/>
  <c r="AD98" i="18"/>
  <c r="BY75" i="18"/>
  <c r="BW97" i="18"/>
  <c r="BA102" i="18"/>
  <c r="CK102" i="18"/>
  <c r="K98" i="18"/>
  <c r="BC99" i="18"/>
  <c r="Q75" i="18"/>
  <c r="CH96" i="18"/>
  <c r="M102" i="18"/>
  <c r="BF95" i="18"/>
  <c r="AP102" i="18"/>
  <c r="BL95" i="18"/>
  <c r="BZ102" i="18"/>
  <c r="R95" i="18"/>
  <c r="R99" i="18" s="1"/>
  <c r="BS96" i="18"/>
  <c r="BM97" i="18"/>
  <c r="AU95" i="18"/>
  <c r="AJ75" i="18"/>
  <c r="AQ98" i="18"/>
  <c r="I95" i="18"/>
  <c r="E75" i="18"/>
  <c r="E102" i="18"/>
  <c r="CC97" i="18"/>
  <c r="X95" i="18"/>
  <c r="BN95" i="18"/>
  <c r="BN99" i="18"/>
  <c r="BU95" i="18"/>
  <c r="BU99" i="18" s="1"/>
  <c r="L99" i="18"/>
  <c r="L102" i="18"/>
  <c r="T95" i="18"/>
  <c r="T98" i="18"/>
  <c r="AX96" i="18"/>
  <c r="AX102" i="18"/>
  <c r="AN102" i="18"/>
  <c r="CQ96" i="18"/>
  <c r="CQ102" i="18"/>
  <c r="AB75" i="18"/>
  <c r="W95" i="18"/>
  <c r="W102" i="18"/>
  <c r="BR97" i="18"/>
  <c r="AS75" i="18"/>
  <c r="AS102" i="18"/>
  <c r="Y102" i="18"/>
  <c r="BH75" i="18"/>
  <c r="AK95" i="18"/>
  <c r="AK98" i="18" s="1"/>
  <c r="AR95" i="18"/>
  <c r="AR98" i="18"/>
  <c r="AM102" i="18"/>
  <c r="AV95" i="18"/>
  <c r="Z95" i="18"/>
  <c r="Z97" i="18" s="1"/>
  <c r="Z99" i="18"/>
  <c r="AL102" i="18"/>
  <c r="AE102" i="18"/>
  <c r="CR98" i="18"/>
  <c r="AO96" i="18"/>
  <c r="BA97" i="18"/>
  <c r="BM98" i="18"/>
  <c r="CC98" i="18"/>
  <c r="BU96" i="18"/>
  <c r="AK97" i="18"/>
  <c r="AV98" i="18"/>
  <c r="P74" i="18"/>
  <c r="D74" i="18"/>
  <c r="G74" i="18"/>
  <c r="BV74" i="18"/>
  <c r="BD74" i="18"/>
  <c r="CD74" i="18"/>
  <c r="CM74" i="18"/>
  <c r="CP74" i="18"/>
  <c r="AW74" i="18"/>
  <c r="CL74" i="18"/>
  <c r="CU74" i="18"/>
  <c r="BJ74" i="18"/>
  <c r="AG74" i="18"/>
  <c r="F99" i="18"/>
  <c r="J95" i="18"/>
  <c r="H95" i="18"/>
  <c r="CA75" i="18"/>
  <c r="CI95" i="18"/>
  <c r="CE96" i="18"/>
  <c r="CX97" i="18"/>
  <c r="V75" i="18"/>
  <c r="CJ75" i="18"/>
  <c r="CT98" i="18"/>
  <c r="BX95" i="18"/>
  <c r="S96" i="18"/>
  <c r="AT75" i="18"/>
  <c r="U95" i="18"/>
  <c r="CO102" i="18"/>
  <c r="CN99" i="18"/>
  <c r="AZ96" i="18"/>
  <c r="BB102" i="18"/>
  <c r="BG95" i="18"/>
  <c r="N95" i="18"/>
  <c r="N99" i="18" s="1"/>
  <c r="CV102" i="18"/>
  <c r="BD102" i="18"/>
  <c r="BW102" i="18"/>
  <c r="BC75" i="18"/>
  <c r="CD95" i="18"/>
  <c r="Q96" i="18"/>
  <c r="CH99" i="18"/>
  <c r="AH102" i="18"/>
  <c r="BP75" i="18"/>
  <c r="BF98" i="18"/>
  <c r="AP95" i="18"/>
  <c r="CS95" i="18"/>
  <c r="BK75" i="18"/>
  <c r="BZ95" i="18"/>
  <c r="BO96" i="18"/>
  <c r="R98" i="18"/>
  <c r="BS99" i="18"/>
  <c r="AF75" i="18"/>
  <c r="AU98" i="18"/>
  <c r="AJ102" i="18"/>
  <c r="AQ102" i="18"/>
  <c r="I96" i="18"/>
  <c r="E95" i="18"/>
  <c r="CC75" i="18"/>
  <c r="CC99" i="18"/>
  <c r="X97" i="18"/>
  <c r="BN96" i="18"/>
  <c r="BN102" i="18"/>
  <c r="BU97" i="18"/>
  <c r="L75" i="18"/>
  <c r="CL75" i="18"/>
  <c r="T97" i="18"/>
  <c r="T102" i="18"/>
  <c r="AX97" i="18"/>
  <c r="AI95" i="18"/>
  <c r="AI98" i="18"/>
  <c r="AN75" i="18"/>
  <c r="AC75" i="18"/>
  <c r="AC102" i="18"/>
  <c r="CQ97" i="18"/>
  <c r="AB95" i="18"/>
  <c r="AB96" i="18"/>
  <c r="CU75" i="18"/>
  <c r="W97" i="18"/>
  <c r="BR75" i="18"/>
  <c r="BR98" i="18"/>
  <c r="AS95" i="18"/>
  <c r="BT102" i="18"/>
  <c r="Y95" i="18"/>
  <c r="BH95" i="18"/>
  <c r="BH96" i="18"/>
  <c r="BJ95" i="18"/>
  <c r="BJ99" i="18"/>
  <c r="AK96" i="18"/>
  <c r="AR99" i="18"/>
  <c r="AR102" i="18"/>
  <c r="BQ75" i="18"/>
  <c r="BQ102" i="18"/>
  <c r="AV97" i="18"/>
  <c r="Z96" i="18"/>
  <c r="Z102" i="18"/>
  <c r="AG75" i="18"/>
  <c r="AA95" i="18"/>
  <c r="AA98" i="18"/>
  <c r="CR96" i="18"/>
  <c r="AO98" i="18"/>
  <c r="U99" i="18"/>
  <c r="BA99" i="18"/>
  <c r="AB102" i="18"/>
  <c r="BR96" i="18"/>
  <c r="BI95" i="18"/>
  <c r="BH102" i="18"/>
  <c r="AR96" i="18"/>
  <c r="AV75" i="18"/>
  <c r="AA96" i="18"/>
  <c r="CB96" i="18"/>
  <c r="BL96" i="18"/>
  <c r="E99" i="18"/>
  <c r="BI97" i="18"/>
  <c r="BR102" i="18"/>
  <c r="Y75" i="18"/>
  <c r="BJ97" i="18"/>
  <c r="AM95" i="18"/>
  <c r="Z75" i="18"/>
  <c r="AG95" i="18"/>
  <c r="AA102" i="18"/>
  <c r="CO97" i="18"/>
  <c r="BM96" i="18"/>
  <c r="CC96" i="18"/>
  <c r="W75" i="18"/>
  <c r="AS98" i="18"/>
  <c r="Y97" i="18"/>
  <c r="AK75" i="18"/>
  <c r="AM99" i="18"/>
  <c r="Z98" i="18"/>
  <c r="AE95" i="18"/>
  <c r="H98" i="18"/>
  <c r="X96" i="18"/>
  <c r="AS97" i="18"/>
  <c r="W99" i="18"/>
  <c r="BT95" i="18"/>
  <c r="BH99" i="18"/>
  <c r="AK102" i="18"/>
  <c r="AL95" i="18"/>
  <c r="AE99" i="18"/>
  <c r="CJ98" i="18"/>
  <c r="CS96" i="18"/>
  <c r="BU98" i="18"/>
  <c r="BT98" i="18"/>
  <c r="AV96" i="18"/>
  <c r="AK99" i="18"/>
  <c r="CE99" i="18"/>
  <c r="CE75" i="18"/>
  <c r="CN98" i="18"/>
  <c r="CN97" i="18"/>
  <c r="AY102" i="18"/>
  <c r="AY96" i="18"/>
  <c r="CV95" i="18"/>
  <c r="BW99" i="18"/>
  <c r="BW75" i="18"/>
  <c r="K102" i="18"/>
  <c r="K96" i="18"/>
  <c r="BP102" i="18"/>
  <c r="BP97" i="18"/>
  <c r="AP98" i="18"/>
  <c r="AP75" i="18"/>
  <c r="BZ98" i="18"/>
  <c r="BZ75" i="18"/>
  <c r="BS98" i="18"/>
  <c r="BS75" i="18"/>
  <c r="AJ95" i="18"/>
  <c r="J97" i="18"/>
  <c r="J98" i="18"/>
  <c r="J75" i="18"/>
  <c r="CF95" i="18"/>
  <c r="CF102" i="18"/>
  <c r="CF97" i="18"/>
  <c r="CB97" i="18"/>
  <c r="CB99" i="18"/>
  <c r="CB102" i="18"/>
  <c r="BB75" i="18"/>
  <c r="BB95" i="18"/>
  <c r="BY95" i="18"/>
  <c r="BY96" i="18"/>
  <c r="C95" i="18"/>
  <c r="C99" i="18"/>
  <c r="C75" i="18"/>
  <c r="CW102" i="18"/>
  <c r="CW75" i="18"/>
  <c r="CW95" i="18"/>
  <c r="R102" i="18"/>
  <c r="R96" i="18"/>
  <c r="R97" i="18"/>
  <c r="V96" i="18"/>
  <c r="V97" i="18"/>
  <c r="CJ97" i="18"/>
  <c r="CJ99" i="18"/>
  <c r="AT96" i="18"/>
  <c r="AT97" i="18"/>
  <c r="BC96" i="18"/>
  <c r="BC97" i="18"/>
  <c r="AQ99" i="18"/>
  <c r="AQ96" i="18"/>
  <c r="CA95" i="18"/>
  <c r="CA102" i="18"/>
  <c r="CA96" i="18"/>
  <c r="CA97" i="18"/>
  <c r="CT99" i="18"/>
  <c r="CT102" i="18"/>
  <c r="CT96" i="18"/>
  <c r="CT97" i="18"/>
  <c r="CO99" i="18"/>
  <c r="CO96" i="18"/>
  <c r="CO98" i="18"/>
  <c r="N96" i="18"/>
  <c r="N97" i="18"/>
  <c r="N98" i="18"/>
  <c r="N75" i="18"/>
  <c r="O75" i="18"/>
  <c r="O102" i="18"/>
  <c r="O95" i="18"/>
  <c r="AH75" i="18"/>
  <c r="AH95" i="18"/>
  <c r="BL98" i="18"/>
  <c r="BL97" i="18"/>
  <c r="BL99" i="18"/>
  <c r="BL102" i="18"/>
  <c r="AF95" i="18"/>
  <c r="AF97" i="18"/>
  <c r="AF99" i="18"/>
  <c r="AF102" i="18"/>
  <c r="X98" i="18"/>
  <c r="X99" i="18"/>
  <c r="X102" i="18"/>
  <c r="AN95" i="18"/>
  <c r="BQ95" i="18"/>
  <c r="F97" i="18"/>
  <c r="F98" i="18"/>
  <c r="CH97" i="18"/>
  <c r="CH98" i="18"/>
  <c r="L96" i="18"/>
  <c r="CI99" i="18"/>
  <c r="CI96" i="18"/>
  <c r="CI97" i="18"/>
  <c r="CI98" i="18"/>
  <c r="CI75" i="18"/>
  <c r="AO102" i="18"/>
  <c r="AO97" i="18"/>
  <c r="AO99" i="18"/>
  <c r="AO75" i="18"/>
  <c r="BE75" i="18"/>
  <c r="BE102" i="18"/>
  <c r="BE95" i="18"/>
  <c r="CG102" i="18"/>
  <c r="CG75" i="18"/>
  <c r="CG95" i="18"/>
  <c r="CK75" i="18"/>
  <c r="CK95" i="18"/>
  <c r="CK97" i="18"/>
  <c r="M75" i="18"/>
  <c r="M95" i="18"/>
  <c r="M96" i="18"/>
  <c r="BK95" i="18"/>
  <c r="BK102" i="18"/>
  <c r="BK96" i="18"/>
  <c r="BK97" i="18"/>
  <c r="AU75" i="18"/>
  <c r="AU99" i="18"/>
  <c r="AU102" i="18"/>
  <c r="AU96" i="18"/>
  <c r="AU97" i="18"/>
  <c r="BN98" i="18"/>
  <c r="BN75" i="18"/>
  <c r="BN97" i="18"/>
  <c r="AC95" i="18"/>
  <c r="BI99" i="18"/>
  <c r="BI102" i="18"/>
  <c r="BI75" i="18"/>
  <c r="AV99" i="18"/>
  <c r="AV102" i="18"/>
  <c r="CR97" i="18"/>
  <c r="CR99" i="18"/>
  <c r="AZ98" i="18"/>
  <c r="AZ97" i="18"/>
  <c r="BF99" i="18"/>
  <c r="BF96" i="18"/>
  <c r="BF97" i="18"/>
  <c r="I99" i="18"/>
  <c r="I97" i="18"/>
  <c r="T96" i="18"/>
  <c r="W98" i="18"/>
  <c r="P95" i="18"/>
  <c r="P99" i="18"/>
  <c r="P102" i="18"/>
  <c r="P75" i="18"/>
  <c r="D95" i="18"/>
  <c r="D102" i="18"/>
  <c r="D75" i="18"/>
  <c r="D96" i="18"/>
  <c r="G75" i="18"/>
  <c r="G102" i="18"/>
  <c r="G95" i="18"/>
  <c r="G97" i="18"/>
  <c r="BV95" i="18"/>
  <c r="BV102" i="18"/>
  <c r="BV97" i="18"/>
  <c r="BV98" i="18"/>
  <c r="BV75" i="18"/>
  <c r="BD75" i="18"/>
  <c r="BD95" i="18"/>
  <c r="BD97" i="18"/>
  <c r="CD102" i="18"/>
  <c r="CD99" i="18"/>
  <c r="CD96" i="18"/>
  <c r="CD97" i="18"/>
  <c r="CD98" i="18"/>
  <c r="CD75" i="18"/>
  <c r="CM75" i="18"/>
  <c r="CM102" i="18"/>
  <c r="CM95" i="18"/>
  <c r="CP75" i="18"/>
  <c r="CP95" i="18"/>
  <c r="CP102" i="18"/>
  <c r="CP96" i="18"/>
  <c r="AW102" i="18"/>
  <c r="AW75" i="18"/>
  <c r="AW95" i="18"/>
  <c r="CL102" i="18"/>
  <c r="CL95" i="18"/>
  <c r="CU95" i="18"/>
  <c r="CU102" i="18"/>
  <c r="CU96" i="18"/>
  <c r="BJ98" i="18"/>
  <c r="BJ75" i="18"/>
  <c r="BJ102" i="18"/>
  <c r="BJ96" i="18"/>
  <c r="AG97" i="18"/>
  <c r="AG98" i="18"/>
  <c r="AG102" i="18"/>
  <c r="J99" i="18"/>
  <c r="J96" i="18"/>
  <c r="H96" i="18"/>
  <c r="H97" i="18"/>
  <c r="H99" i="18"/>
  <c r="BX98" i="18"/>
  <c r="BX99" i="18"/>
  <c r="BX96" i="18"/>
  <c r="U97" i="18"/>
  <c r="U96" i="18"/>
  <c r="U98" i="18"/>
  <c r="BG99" i="18"/>
  <c r="BG98" i="18"/>
  <c r="BG96" i="18"/>
  <c r="BG97" i="18"/>
  <c r="AP99" i="18"/>
  <c r="AP96" i="18"/>
  <c r="AP97" i="18"/>
  <c r="CS98" i="18"/>
  <c r="CS97" i="18"/>
  <c r="CS99" i="18"/>
  <c r="BZ99" i="18"/>
  <c r="BZ96" i="18"/>
  <c r="BZ97" i="18"/>
  <c r="E98" i="18"/>
  <c r="E97" i="18"/>
  <c r="E96" i="18"/>
  <c r="AI97" i="18"/>
  <c r="AI96" i="18"/>
  <c r="AI99" i="18"/>
  <c r="AB99" i="18"/>
  <c r="AB98" i="18"/>
  <c r="AB97" i="18"/>
  <c r="AS99" i="18"/>
  <c r="AS96" i="18"/>
  <c r="Y99" i="18"/>
  <c r="Y96" i="18"/>
  <c r="BH98" i="18"/>
  <c r="BH97" i="18"/>
  <c r="AA97" i="18"/>
  <c r="AA99" i="18"/>
  <c r="BI98" i="18"/>
  <c r="BI96" i="18"/>
  <c r="AM97" i="18"/>
  <c r="AM96" i="18"/>
  <c r="AM98" i="18"/>
  <c r="AG96" i="18"/>
  <c r="AG99" i="18"/>
  <c r="AE97" i="18"/>
  <c r="AE96" i="18"/>
  <c r="AE98" i="18"/>
  <c r="BT99" i="18"/>
  <c r="BT96" i="18"/>
  <c r="BT97" i="18"/>
  <c r="AL99" i="18"/>
  <c r="AL97" i="18"/>
  <c r="AL96" i="18"/>
  <c r="AL98" i="18"/>
  <c r="CV98" i="18"/>
  <c r="CV97" i="18"/>
  <c r="CV96" i="18"/>
  <c r="AJ98" i="18"/>
  <c r="AJ97" i="18"/>
  <c r="AJ96" i="18"/>
  <c r="CF98" i="18"/>
  <c r="CF96" i="18"/>
  <c r="BB99" i="18"/>
  <c r="BB98" i="18"/>
  <c r="BB97" i="18"/>
  <c r="BB96" i="18"/>
  <c r="BY97" i="18"/>
  <c r="BY98" i="18"/>
  <c r="BY99" i="18"/>
  <c r="C98" i="18"/>
  <c r="C96" i="18"/>
  <c r="C97" i="18"/>
  <c r="CW99" i="18"/>
  <c r="CW98" i="18"/>
  <c r="CW96" i="18"/>
  <c r="CW97" i="18"/>
  <c r="CA99" i="18"/>
  <c r="CA98" i="18"/>
  <c r="O99" i="18"/>
  <c r="O98" i="18"/>
  <c r="O97" i="18"/>
  <c r="AH99" i="18"/>
  <c r="AH98" i="18"/>
  <c r="AH97" i="18"/>
  <c r="AH96" i="18"/>
  <c r="AF98" i="18"/>
  <c r="AF96" i="18"/>
  <c r="AN96" i="18"/>
  <c r="AN98" i="18"/>
  <c r="AN99" i="18"/>
  <c r="AN97" i="18"/>
  <c r="BQ97" i="18"/>
  <c r="BQ96" i="18"/>
  <c r="BQ99" i="18"/>
  <c r="BQ98" i="18"/>
  <c r="BE97" i="18"/>
  <c r="BE98" i="18"/>
  <c r="BE96" i="18"/>
  <c r="BE99" i="18"/>
  <c r="CG98" i="18"/>
  <c r="CG97" i="18"/>
  <c r="CG99" i="18"/>
  <c r="CG96" i="18"/>
  <c r="CK96" i="18"/>
  <c r="CK98" i="18"/>
  <c r="CK99" i="18"/>
  <c r="M98" i="18"/>
  <c r="M97" i="18"/>
  <c r="M99" i="18"/>
  <c r="BK98" i="18"/>
  <c r="BK99" i="18"/>
  <c r="AC96" i="18"/>
  <c r="AC97" i="18"/>
  <c r="AC99" i="18"/>
  <c r="AC98" i="18"/>
  <c r="P97" i="18"/>
  <c r="P98" i="18"/>
  <c r="P96" i="18"/>
  <c r="D97" i="18"/>
  <c r="D98" i="18"/>
  <c r="G99" i="18"/>
  <c r="G98" i="18"/>
  <c r="BV96" i="18"/>
  <c r="BV99" i="18"/>
  <c r="BD99" i="18"/>
  <c r="BD96" i="18"/>
  <c r="BD98" i="18"/>
  <c r="CM98" i="18"/>
  <c r="CM97" i="18"/>
  <c r="CM96" i="18"/>
  <c r="CM99" i="18"/>
  <c r="CP99" i="18"/>
  <c r="CP98" i="18"/>
  <c r="CP97" i="18"/>
  <c r="AW97" i="18"/>
  <c r="AW98" i="18"/>
  <c r="AW96" i="18"/>
  <c r="AW99" i="18"/>
  <c r="CL99" i="18"/>
  <c r="CL96" i="18"/>
  <c r="CL97" i="18"/>
  <c r="CL98" i="18"/>
  <c r="CU98" i="18"/>
  <c r="CU97" i="18"/>
  <c r="CU99" i="18"/>
  <c r="C96" i="29"/>
  <c r="C97" i="29" s="1"/>
  <c r="C98" i="29" s="1"/>
  <c r="C100" i="29"/>
  <c r="C99" i="29"/>
  <c r="AO52" i="34"/>
  <c r="AO158" i="34"/>
  <c r="AO64" i="34"/>
  <c r="AO60" i="34"/>
  <c r="AO176" i="34"/>
  <c r="AO184" i="34"/>
  <c r="AO44" i="34"/>
  <c r="AO68" i="34"/>
  <c r="AO180" i="34"/>
  <c r="AO56" i="34"/>
  <c r="AQ52" i="34"/>
  <c r="AP52" i="34"/>
  <c r="AP158" i="34"/>
  <c r="AQ158" i="34"/>
  <c r="AQ64" i="34"/>
  <c r="AP64" i="34"/>
  <c r="AP60" i="34"/>
  <c r="AQ60" i="34"/>
  <c r="AQ176" i="34"/>
  <c r="AP176" i="34"/>
  <c r="AP184" i="34"/>
  <c r="AQ184" i="34"/>
  <c r="AQ44" i="34"/>
  <c r="AP44" i="34"/>
  <c r="AQ68" i="34"/>
  <c r="AP68" i="34"/>
  <c r="AP180" i="34"/>
  <c r="AQ180" i="34"/>
  <c r="AQ56" i="34"/>
  <c r="AP56" i="34"/>
  <c r="D56" i="30" l="1"/>
  <c r="H19" i="29"/>
  <c r="H15" i="29"/>
  <c r="H20" i="29"/>
  <c r="H14" i="29"/>
  <c r="H22" i="29"/>
  <c r="H17" i="29"/>
  <c r="H12" i="29"/>
  <c r="H21" i="29"/>
  <c r="H16" i="29"/>
  <c r="H13" i="29"/>
  <c r="H18" i="29"/>
  <c r="G19" i="29"/>
  <c r="G15" i="29"/>
  <c r="G21" i="29"/>
  <c r="G16" i="29"/>
  <c r="G18" i="29"/>
  <c r="G13" i="29"/>
  <c r="G22" i="29"/>
  <c r="G17" i="29"/>
  <c r="G12" i="29"/>
  <c r="G20" i="29"/>
  <c r="G14" i="29"/>
  <c r="F31" i="29"/>
  <c r="F27" i="29"/>
  <c r="F23" i="29"/>
  <c r="F19" i="29"/>
  <c r="F15" i="29"/>
  <c r="F34" i="29"/>
  <c r="F29" i="29"/>
  <c r="F24" i="29"/>
  <c r="F18" i="29"/>
  <c r="F13" i="29"/>
  <c r="F32" i="29"/>
  <c r="F26" i="29"/>
  <c r="F21" i="29"/>
  <c r="F16" i="29"/>
  <c r="F30" i="29"/>
  <c r="F25" i="29"/>
  <c r="F20" i="29"/>
  <c r="F14" i="29"/>
  <c r="F28" i="29"/>
  <c r="F22" i="29"/>
  <c r="F17" i="29"/>
  <c r="F33" i="29"/>
  <c r="F12" i="29"/>
  <c r="E31" i="29"/>
  <c r="E27" i="29"/>
  <c r="E23" i="29"/>
  <c r="E19" i="29"/>
  <c r="E15" i="29"/>
  <c r="E32" i="29"/>
  <c r="E26" i="29"/>
  <c r="E21" i="29"/>
  <c r="E16" i="29"/>
  <c r="E34" i="29"/>
  <c r="E29" i="29"/>
  <c r="E24" i="29"/>
  <c r="E18" i="29"/>
  <c r="E13" i="29"/>
  <c r="E33" i="29"/>
  <c r="E28" i="29"/>
  <c r="E22" i="29"/>
  <c r="E17" i="29"/>
  <c r="E12" i="29"/>
  <c r="E30" i="29"/>
  <c r="E25" i="29"/>
  <c r="E20" i="29"/>
  <c r="E14" i="29"/>
  <c r="DW27" i="18"/>
  <c r="DA44" i="18" a="1"/>
  <c r="DA44" i="18" s="1"/>
  <c r="DA40" i="18" a="1"/>
  <c r="DA40" i="18" s="1"/>
  <c r="DA39" i="18" a="1"/>
  <c r="DA39" i="18" s="1"/>
  <c r="DA42" i="18" a="1"/>
  <c r="DA42" i="18" s="1"/>
  <c r="DA46" i="18" a="1"/>
  <c r="DA46" i="18" s="1"/>
  <c r="DA45" i="18" a="1"/>
  <c r="DA45" i="18" s="1"/>
  <c r="DA38" i="18" a="1"/>
  <c r="DA38" i="18" s="1"/>
  <c r="DA43" i="18" a="1"/>
  <c r="DA43" i="18" s="1"/>
  <c r="DA47" i="18" a="1"/>
  <c r="DA47" i="18" s="1"/>
  <c r="DA41" i="18" a="1"/>
  <c r="DA41" i="18" s="1"/>
  <c r="I11" i="30"/>
  <c r="I6" i="30"/>
  <c r="K14" i="29" a="1"/>
  <c r="K10" i="29" a="1"/>
  <c r="K15" i="29" a="1"/>
  <c r="K22" i="29" a="1"/>
  <c r="K30" i="29" a="1"/>
  <c r="K27" i="29" a="1"/>
  <c r="L8" i="29" a="1"/>
  <c r="L16" i="29" a="1"/>
  <c r="L18" i="29" a="1"/>
  <c r="L23" i="29" a="1"/>
  <c r="L20" i="29" a="1"/>
  <c r="L28" i="29" a="1"/>
  <c r="K17" i="29" a="1"/>
  <c r="K11" i="29" a="1"/>
  <c r="K18" i="29" a="1"/>
  <c r="K24" i="29" a="1"/>
  <c r="K21" i="29" a="1"/>
  <c r="K29" i="29" a="1"/>
  <c r="L9" i="29" a="1"/>
  <c r="L12" i="29" a="1"/>
  <c r="L31" i="29" a="1"/>
  <c r="L25" i="29" a="1"/>
  <c r="L22" i="29" a="1"/>
  <c r="L30" i="29" a="1"/>
  <c r="K13" i="29" a="1"/>
  <c r="K31" i="29" a="1"/>
  <c r="K9" i="29" a="1"/>
  <c r="K19" i="29" a="1"/>
  <c r="K26" i="29" a="1"/>
  <c r="K23" i="29" a="1"/>
  <c r="L14" i="29" a="1"/>
  <c r="L11" i="29" a="1"/>
  <c r="L10" i="29" a="1"/>
  <c r="L19" i="29" a="1"/>
  <c r="L27" i="29" a="1"/>
  <c r="L24" i="29" a="1"/>
  <c r="K16" i="29" a="1"/>
  <c r="K8" i="29" a="1"/>
  <c r="K12" i="29" a="1"/>
  <c r="K20" i="29" a="1"/>
  <c r="K28" i="29" a="1"/>
  <c r="K25" i="29" a="1"/>
  <c r="L17" i="29" a="1"/>
  <c r="L13" i="29" a="1"/>
  <c r="L15" i="29" a="1"/>
  <c r="L21" i="29" a="1"/>
  <c r="L29" i="29" a="1"/>
  <c r="L26" i="29" a="1"/>
  <c r="G96" i="18"/>
  <c r="AJ99" i="18"/>
  <c r="AR97" i="18"/>
  <c r="AZ99" i="18"/>
  <c r="D99" i="18"/>
  <c r="CV99" i="18"/>
  <c r="W96" i="18"/>
  <c r="L97" i="18"/>
  <c r="O96" i="18"/>
  <c r="Y98" i="18"/>
  <c r="T99" i="18"/>
  <c r="BP99" i="18"/>
  <c r="CF99" i="18"/>
  <c r="BX97" i="18"/>
  <c r="I98" i="18"/>
  <c r="Q98" i="18"/>
  <c r="I9" i="30" l="1"/>
  <c r="AA10" i="30"/>
  <c r="AD10" i="30"/>
  <c r="Z10" i="30"/>
  <c r="V10" i="30"/>
  <c r="R10" i="30"/>
  <c r="N10" i="30"/>
  <c r="AC10" i="30"/>
  <c r="Y10" i="30"/>
  <c r="U10" i="30"/>
  <c r="Q10" i="30"/>
  <c r="M10" i="30"/>
  <c r="AF10" i="30"/>
  <c r="AB10" i="30"/>
  <c r="X10" i="30"/>
  <c r="T10" i="30"/>
  <c r="P10" i="30"/>
  <c r="L10" i="30"/>
  <c r="AE10" i="30"/>
  <c r="W10" i="30"/>
  <c r="S10" i="30"/>
  <c r="O10" i="30"/>
  <c r="I12" i="30"/>
  <c r="I14" i="30"/>
  <c r="E46" i="30"/>
  <c r="E42" i="30"/>
  <c r="E38" i="30"/>
  <c r="E34" i="30"/>
  <c r="E30" i="30"/>
  <c r="E26" i="30"/>
  <c r="E22" i="30"/>
  <c r="E18" i="30"/>
  <c r="E14" i="30"/>
  <c r="E10" i="30"/>
  <c r="E6" i="30"/>
  <c r="E43" i="30"/>
  <c r="E45" i="30"/>
  <c r="E41" i="30"/>
  <c r="E37" i="30"/>
  <c r="E33" i="30"/>
  <c r="E29" i="30"/>
  <c r="E25" i="30"/>
  <c r="E21" i="30"/>
  <c r="E17" i="30"/>
  <c r="E13" i="30"/>
  <c r="E9" i="30"/>
  <c r="E47" i="30"/>
  <c r="E35" i="30"/>
  <c r="E31" i="30"/>
  <c r="E27" i="30"/>
  <c r="E23" i="30"/>
  <c r="E19" i="30"/>
  <c r="E15" i="30"/>
  <c r="E11" i="30"/>
  <c r="E7" i="30"/>
  <c r="E44" i="30"/>
  <c r="E40" i="30"/>
  <c r="E36" i="30"/>
  <c r="E32" i="30"/>
  <c r="E28" i="30"/>
  <c r="E24" i="30"/>
  <c r="E20" i="30"/>
  <c r="E16" i="30"/>
  <c r="E12" i="30"/>
  <c r="E8" i="30"/>
  <c r="E39" i="30"/>
  <c r="I13" i="30"/>
  <c r="I10" i="30"/>
  <c r="I7" i="30"/>
  <c r="I15" i="30"/>
  <c r="I8" i="30"/>
  <c r="L30" i="29"/>
  <c r="L28" i="29"/>
  <c r="M28" i="29" s="1"/>
  <c r="L26" i="29"/>
  <c r="L24" i="29"/>
  <c r="L22" i="29"/>
  <c r="L20" i="29"/>
  <c r="M20" i="29" s="1"/>
  <c r="L29" i="29"/>
  <c r="L27" i="29"/>
  <c r="L25" i="29"/>
  <c r="M25" i="29" s="1"/>
  <c r="L23" i="29"/>
  <c r="M23" i="29" s="1"/>
  <c r="L21" i="29"/>
  <c r="L19" i="29"/>
  <c r="L31" i="29"/>
  <c r="L18" i="29"/>
  <c r="M18" i="29" s="1"/>
  <c r="L15" i="29"/>
  <c r="L10" i="29"/>
  <c r="L12" i="29"/>
  <c r="M12" i="29" s="1"/>
  <c r="L16" i="29"/>
  <c r="M16" i="29" s="1"/>
  <c r="L13" i="29"/>
  <c r="L11" i="29"/>
  <c r="L9" i="29"/>
  <c r="M9" i="29" s="1"/>
  <c r="L8" i="29"/>
  <c r="M8" i="29" s="1"/>
  <c r="L17" i="29"/>
  <c r="L14" i="29"/>
  <c r="K29" i="29"/>
  <c r="K27" i="29"/>
  <c r="K25" i="29"/>
  <c r="K23" i="29"/>
  <c r="K21" i="29"/>
  <c r="K30" i="29"/>
  <c r="K28" i="29"/>
  <c r="K26" i="29"/>
  <c r="K24" i="29"/>
  <c r="K22" i="29"/>
  <c r="K20" i="29"/>
  <c r="K19" i="29"/>
  <c r="K18" i="29"/>
  <c r="K15" i="29"/>
  <c r="K12" i="29"/>
  <c r="K9" i="29"/>
  <c r="K11" i="29"/>
  <c r="K10" i="29"/>
  <c r="K8" i="29"/>
  <c r="K31" i="29"/>
  <c r="K17" i="29"/>
  <c r="K14" i="29"/>
  <c r="K16" i="29"/>
  <c r="K13" i="29"/>
  <c r="O35" i="30" l="1"/>
  <c r="O31" i="30"/>
  <c r="O27" i="30"/>
  <c r="O23" i="30"/>
  <c r="O26" i="30"/>
  <c r="O25" i="30"/>
  <c r="O24" i="30"/>
  <c r="O18" i="30"/>
  <c r="O14" i="30"/>
  <c r="O30" i="30"/>
  <c r="O29" i="30"/>
  <c r="O28" i="30"/>
  <c r="O34" i="30"/>
  <c r="O33" i="30"/>
  <c r="O32" i="30"/>
  <c r="O36" i="30"/>
  <c r="O13" i="30"/>
  <c r="O17" i="30"/>
  <c r="O16" i="30"/>
  <c r="O15" i="30"/>
  <c r="O22" i="30"/>
  <c r="O21" i="30"/>
  <c r="O20" i="30"/>
  <c r="O19" i="30"/>
  <c r="W35" i="30"/>
  <c r="W31" i="30"/>
  <c r="W27" i="30"/>
  <c r="W23" i="30"/>
  <c r="W34" i="30"/>
  <c r="W33" i="30"/>
  <c r="W32" i="30"/>
  <c r="W18" i="30"/>
  <c r="W14" i="30"/>
  <c r="W36" i="30"/>
  <c r="W22" i="30"/>
  <c r="W21" i="30"/>
  <c r="W26" i="30"/>
  <c r="W25" i="30"/>
  <c r="W24" i="30"/>
  <c r="W17" i="30"/>
  <c r="W16" i="30"/>
  <c r="W15" i="30"/>
  <c r="W30" i="30"/>
  <c r="W29" i="30"/>
  <c r="W28" i="30"/>
  <c r="W20" i="30"/>
  <c r="W19" i="30"/>
  <c r="W13" i="30"/>
  <c r="T34" i="30"/>
  <c r="T30" i="30"/>
  <c r="T26" i="30"/>
  <c r="T22" i="30"/>
  <c r="T25" i="30"/>
  <c r="T24" i="30"/>
  <c r="T23" i="30"/>
  <c r="T17" i="30"/>
  <c r="T13" i="30"/>
  <c r="T29" i="30"/>
  <c r="T28" i="30"/>
  <c r="T27" i="30"/>
  <c r="T21" i="30"/>
  <c r="T33" i="30"/>
  <c r="T32" i="30"/>
  <c r="T31" i="30"/>
  <c r="T16" i="30"/>
  <c r="T15" i="30"/>
  <c r="T14" i="30"/>
  <c r="T36" i="30"/>
  <c r="T35" i="30"/>
  <c r="T20" i="30"/>
  <c r="T19" i="30"/>
  <c r="T18" i="30"/>
  <c r="M33" i="30"/>
  <c r="M29" i="30"/>
  <c r="M25" i="30"/>
  <c r="M21" i="30"/>
  <c r="M36" i="30"/>
  <c r="M35" i="30"/>
  <c r="M34" i="30"/>
  <c r="M20" i="30"/>
  <c r="M16" i="30"/>
  <c r="M24" i="30"/>
  <c r="M23" i="30"/>
  <c r="M22" i="30"/>
  <c r="M28" i="30"/>
  <c r="M27" i="30"/>
  <c r="M26" i="30"/>
  <c r="M19" i="30"/>
  <c r="M18" i="30"/>
  <c r="M17" i="30"/>
  <c r="M32" i="30"/>
  <c r="M31" i="30"/>
  <c r="M30" i="30"/>
  <c r="M15" i="30"/>
  <c r="M14" i="30"/>
  <c r="M13" i="30"/>
  <c r="AC33" i="30"/>
  <c r="AC29" i="30"/>
  <c r="AC25" i="30"/>
  <c r="AC21" i="30"/>
  <c r="AC36" i="30"/>
  <c r="AC35" i="30"/>
  <c r="AC34" i="30"/>
  <c r="AC20" i="30"/>
  <c r="AC16" i="30"/>
  <c r="AC24" i="30"/>
  <c r="AC23" i="30"/>
  <c r="AC22" i="30"/>
  <c r="AC19" i="30"/>
  <c r="AC18" i="30"/>
  <c r="AC17" i="30"/>
  <c r="AC28" i="30"/>
  <c r="AC27" i="30"/>
  <c r="AC26" i="30"/>
  <c r="AC32" i="30"/>
  <c r="AC31" i="30"/>
  <c r="AC30" i="30"/>
  <c r="AC15" i="30"/>
  <c r="AC14" i="30"/>
  <c r="AC13" i="30"/>
  <c r="Z36" i="30"/>
  <c r="Z32" i="30"/>
  <c r="Z28" i="30"/>
  <c r="Z24" i="30"/>
  <c r="Z27" i="30"/>
  <c r="Z26" i="30"/>
  <c r="Z25" i="30"/>
  <c r="Z19" i="30"/>
  <c r="Z15" i="30"/>
  <c r="Z31" i="30"/>
  <c r="Z30" i="30"/>
  <c r="Z29" i="30"/>
  <c r="Z35" i="30"/>
  <c r="Z34" i="30"/>
  <c r="Z33" i="30"/>
  <c r="Z14" i="30"/>
  <c r="Z13" i="30"/>
  <c r="Z18" i="30"/>
  <c r="Z17" i="30"/>
  <c r="Z16" i="30"/>
  <c r="Z23" i="30"/>
  <c r="Z22" i="30"/>
  <c r="Z21" i="30"/>
  <c r="Z20" i="30"/>
  <c r="AE35" i="30"/>
  <c r="AE31" i="30"/>
  <c r="AE27" i="30"/>
  <c r="AE23" i="30"/>
  <c r="AE26" i="30"/>
  <c r="AE25" i="30"/>
  <c r="AE24" i="30"/>
  <c r="AE18" i="30"/>
  <c r="AE14" i="30"/>
  <c r="AE30" i="30"/>
  <c r="AE29" i="30"/>
  <c r="AE28" i="30"/>
  <c r="AE22" i="30"/>
  <c r="AE21" i="30"/>
  <c r="AE20" i="30"/>
  <c r="AE13" i="30"/>
  <c r="AE34" i="30"/>
  <c r="AE33" i="30"/>
  <c r="AE32" i="30"/>
  <c r="AE17" i="30"/>
  <c r="AE16" i="30"/>
  <c r="AE15" i="30"/>
  <c r="AE36" i="30"/>
  <c r="AE19" i="30"/>
  <c r="X34" i="30"/>
  <c r="X30" i="30"/>
  <c r="X26" i="30"/>
  <c r="X22" i="30"/>
  <c r="X36" i="30"/>
  <c r="X35" i="30"/>
  <c r="X21" i="30"/>
  <c r="X17" i="30"/>
  <c r="X13" i="30"/>
  <c r="X25" i="30"/>
  <c r="X24" i="30"/>
  <c r="X23" i="30"/>
  <c r="X29" i="30"/>
  <c r="X28" i="30"/>
  <c r="X27" i="30"/>
  <c r="X20" i="30"/>
  <c r="X19" i="30"/>
  <c r="X18" i="30"/>
  <c r="X33" i="30"/>
  <c r="X32" i="30"/>
  <c r="X31" i="30"/>
  <c r="X16" i="30"/>
  <c r="X15" i="30"/>
  <c r="X14" i="30"/>
  <c r="Q33" i="30"/>
  <c r="Q29" i="30"/>
  <c r="Q25" i="30"/>
  <c r="Q21" i="30"/>
  <c r="Q32" i="30"/>
  <c r="Q31" i="30"/>
  <c r="Q30" i="30"/>
  <c r="Q20" i="30"/>
  <c r="Q16" i="30"/>
  <c r="Q36" i="30"/>
  <c r="Q35" i="30"/>
  <c r="Q34" i="30"/>
  <c r="Q15" i="30"/>
  <c r="Q14" i="30"/>
  <c r="Q13" i="30"/>
  <c r="Q19" i="30"/>
  <c r="Q18" i="30"/>
  <c r="Q17" i="30"/>
  <c r="Q24" i="30"/>
  <c r="Q23" i="30"/>
  <c r="Q22" i="30"/>
  <c r="Q28" i="30"/>
  <c r="Q27" i="30"/>
  <c r="Q26" i="30"/>
  <c r="N36" i="30"/>
  <c r="N32" i="30"/>
  <c r="N28" i="30"/>
  <c r="N24" i="30"/>
  <c r="N23" i="30"/>
  <c r="N22" i="30"/>
  <c r="N21" i="30"/>
  <c r="N19" i="30"/>
  <c r="N15" i="30"/>
  <c r="N27" i="30"/>
  <c r="N26" i="30"/>
  <c r="N25" i="30"/>
  <c r="N31" i="30"/>
  <c r="N30" i="30"/>
  <c r="N29" i="30"/>
  <c r="N20" i="30"/>
  <c r="N35" i="30"/>
  <c r="N34" i="30"/>
  <c r="N33" i="30"/>
  <c r="N14" i="30"/>
  <c r="N13" i="30"/>
  <c r="N18" i="30"/>
  <c r="N17" i="30"/>
  <c r="N16" i="30"/>
  <c r="AD36" i="30"/>
  <c r="AD32" i="30"/>
  <c r="AD28" i="30"/>
  <c r="AD24" i="30"/>
  <c r="AD20" i="30"/>
  <c r="AD23" i="30"/>
  <c r="AD22" i="30"/>
  <c r="AD21" i="30"/>
  <c r="AD19" i="30"/>
  <c r="AD15" i="30"/>
  <c r="AD27" i="30"/>
  <c r="AD26" i="30"/>
  <c r="AD25" i="30"/>
  <c r="AD31" i="30"/>
  <c r="AD30" i="30"/>
  <c r="AD29" i="30"/>
  <c r="AD14" i="30"/>
  <c r="AD13" i="30"/>
  <c r="AD35" i="30"/>
  <c r="AD34" i="30"/>
  <c r="AD33" i="30"/>
  <c r="AD18" i="30"/>
  <c r="AD17" i="30"/>
  <c r="AD16" i="30"/>
  <c r="L34" i="30"/>
  <c r="L30" i="30"/>
  <c r="L26" i="30"/>
  <c r="L22" i="30"/>
  <c r="L33" i="30"/>
  <c r="L32" i="30"/>
  <c r="L31" i="30"/>
  <c r="L17" i="30"/>
  <c r="L13" i="30"/>
  <c r="L36" i="30"/>
  <c r="L35" i="30"/>
  <c r="L21" i="30"/>
  <c r="L25" i="30"/>
  <c r="L24" i="30"/>
  <c r="L23" i="30"/>
  <c r="L16" i="30"/>
  <c r="L15" i="30"/>
  <c r="L14" i="30"/>
  <c r="L29" i="30"/>
  <c r="L28" i="30"/>
  <c r="L27" i="30"/>
  <c r="L20" i="30"/>
  <c r="L19" i="30"/>
  <c r="L18" i="30"/>
  <c r="AB34" i="30"/>
  <c r="AB30" i="30"/>
  <c r="AB26" i="30"/>
  <c r="AB22" i="30"/>
  <c r="AB33" i="30"/>
  <c r="AB32" i="30"/>
  <c r="AB31" i="30"/>
  <c r="AB17" i="30"/>
  <c r="AB13" i="30"/>
  <c r="AB36" i="30"/>
  <c r="AB35" i="30"/>
  <c r="AB21" i="30"/>
  <c r="AB20" i="30"/>
  <c r="AB16" i="30"/>
  <c r="AB15" i="30"/>
  <c r="AB14" i="30"/>
  <c r="AB19" i="30"/>
  <c r="AB18" i="30"/>
  <c r="AB25" i="30"/>
  <c r="AB24" i="30"/>
  <c r="AB23" i="30"/>
  <c r="AB29" i="30"/>
  <c r="AB28" i="30"/>
  <c r="AB27" i="30"/>
  <c r="U33" i="30"/>
  <c r="U29" i="30"/>
  <c r="U25" i="30"/>
  <c r="U21" i="30"/>
  <c r="U28" i="30"/>
  <c r="U27" i="30"/>
  <c r="U26" i="30"/>
  <c r="U20" i="30"/>
  <c r="U16" i="30"/>
  <c r="U32" i="30"/>
  <c r="U31" i="30"/>
  <c r="U30" i="30"/>
  <c r="U24" i="30"/>
  <c r="U23" i="30"/>
  <c r="U22" i="30"/>
  <c r="U15" i="30"/>
  <c r="U14" i="30"/>
  <c r="U13" i="30"/>
  <c r="U36" i="30"/>
  <c r="U35" i="30"/>
  <c r="U34" i="30"/>
  <c r="U19" i="30"/>
  <c r="U18" i="30"/>
  <c r="U17" i="30"/>
  <c r="R36" i="30"/>
  <c r="R32" i="30"/>
  <c r="R28" i="30"/>
  <c r="R24" i="30"/>
  <c r="R35" i="30"/>
  <c r="R34" i="30"/>
  <c r="R33" i="30"/>
  <c r="R19" i="30"/>
  <c r="R15" i="30"/>
  <c r="R23" i="30"/>
  <c r="R22" i="30"/>
  <c r="R21" i="30"/>
  <c r="R18" i="30"/>
  <c r="R17" i="30"/>
  <c r="R16" i="30"/>
  <c r="R20" i="30"/>
  <c r="R27" i="30"/>
  <c r="R26" i="30"/>
  <c r="R25" i="30"/>
  <c r="R31" i="30"/>
  <c r="R30" i="30"/>
  <c r="R29" i="30"/>
  <c r="R14" i="30"/>
  <c r="R13" i="30"/>
  <c r="AA35" i="30"/>
  <c r="AA31" i="30"/>
  <c r="AA27" i="30"/>
  <c r="AA23" i="30"/>
  <c r="AA30" i="30"/>
  <c r="AA29" i="30"/>
  <c r="AA28" i="30"/>
  <c r="AA18" i="30"/>
  <c r="AA14" i="30"/>
  <c r="AA34" i="30"/>
  <c r="AA33" i="30"/>
  <c r="AA32" i="30"/>
  <c r="AA36" i="30"/>
  <c r="AA13" i="30"/>
  <c r="AA17" i="30"/>
  <c r="AA16" i="30"/>
  <c r="AA15" i="30"/>
  <c r="AA22" i="30"/>
  <c r="AA21" i="30"/>
  <c r="AA20" i="30"/>
  <c r="AA19" i="30"/>
  <c r="AA26" i="30"/>
  <c r="AA25" i="30"/>
  <c r="AA24" i="30"/>
  <c r="S35" i="30"/>
  <c r="S31" i="30"/>
  <c r="S27" i="30"/>
  <c r="S23" i="30"/>
  <c r="S36" i="30"/>
  <c r="S22" i="30"/>
  <c r="S21" i="30"/>
  <c r="S18" i="30"/>
  <c r="S14" i="30"/>
  <c r="S26" i="30"/>
  <c r="S25" i="30"/>
  <c r="S24" i="30"/>
  <c r="S20" i="30"/>
  <c r="S19" i="30"/>
  <c r="S30" i="30"/>
  <c r="S29" i="30"/>
  <c r="S28" i="30"/>
  <c r="S13" i="30"/>
  <c r="S34" i="30"/>
  <c r="S33" i="30"/>
  <c r="S32" i="30"/>
  <c r="S17" i="30"/>
  <c r="S16" i="30"/>
  <c r="S15" i="30"/>
  <c r="P34" i="30"/>
  <c r="P30" i="30"/>
  <c r="P26" i="30"/>
  <c r="P22" i="30"/>
  <c r="P29" i="30"/>
  <c r="P28" i="30"/>
  <c r="P27" i="30"/>
  <c r="P17" i="30"/>
  <c r="P13" i="30"/>
  <c r="P33" i="30"/>
  <c r="P32" i="30"/>
  <c r="P31" i="30"/>
  <c r="P36" i="30"/>
  <c r="P35" i="30"/>
  <c r="P16" i="30"/>
  <c r="P15" i="30"/>
  <c r="P14" i="30"/>
  <c r="P21" i="30"/>
  <c r="P20" i="30"/>
  <c r="P19" i="30"/>
  <c r="P18" i="30"/>
  <c r="P25" i="30"/>
  <c r="P24" i="30"/>
  <c r="P23" i="30"/>
  <c r="AF34" i="30"/>
  <c r="AF30" i="30"/>
  <c r="AF26" i="30"/>
  <c r="AF22" i="30"/>
  <c r="AF29" i="30"/>
  <c r="AF28" i="30"/>
  <c r="AF27" i="30"/>
  <c r="AF17" i="30"/>
  <c r="AF13" i="30"/>
  <c r="AF33" i="30"/>
  <c r="AF32" i="30"/>
  <c r="AF31" i="30"/>
  <c r="AF21" i="30"/>
  <c r="AF20" i="30"/>
  <c r="AF25" i="30"/>
  <c r="AF24" i="30"/>
  <c r="AF23" i="30"/>
  <c r="AF16" i="30"/>
  <c r="AF15" i="30"/>
  <c r="AF14" i="30"/>
  <c r="AF36" i="30"/>
  <c r="AF35" i="30"/>
  <c r="AF19" i="30"/>
  <c r="AF18" i="30"/>
  <c r="Y33" i="30"/>
  <c r="Y29" i="30"/>
  <c r="Y25" i="30"/>
  <c r="Y21" i="30"/>
  <c r="Y24" i="30"/>
  <c r="Y23" i="30"/>
  <c r="Y22" i="30"/>
  <c r="Y20" i="30"/>
  <c r="Y16" i="30"/>
  <c r="Y28" i="30"/>
  <c r="Y27" i="30"/>
  <c r="Y26" i="30"/>
  <c r="Y32" i="30"/>
  <c r="Y31" i="30"/>
  <c r="Y30" i="30"/>
  <c r="Y36" i="30"/>
  <c r="Y35" i="30"/>
  <c r="Y34" i="30"/>
  <c r="Y15" i="30"/>
  <c r="Y14" i="30"/>
  <c r="Y13" i="30"/>
  <c r="Y19" i="30"/>
  <c r="Y18" i="30"/>
  <c r="Y17" i="30"/>
  <c r="V36" i="30"/>
  <c r="V32" i="30"/>
  <c r="V28" i="30"/>
  <c r="V24" i="30"/>
  <c r="V31" i="30"/>
  <c r="V30" i="30"/>
  <c r="V29" i="30"/>
  <c r="V19" i="30"/>
  <c r="V15" i="30"/>
  <c r="V35" i="30"/>
  <c r="V34" i="30"/>
  <c r="V33" i="30"/>
  <c r="V23" i="30"/>
  <c r="V22" i="30"/>
  <c r="V21" i="30"/>
  <c r="V14" i="30"/>
  <c r="V13" i="30"/>
  <c r="V27" i="30"/>
  <c r="V26" i="30"/>
  <c r="V25" i="30"/>
  <c r="V18" i="30"/>
  <c r="V17" i="30"/>
  <c r="V16" i="30"/>
  <c r="V20" i="30"/>
  <c r="D60" i="30"/>
  <c r="D59" i="30"/>
  <c r="M14" i="29"/>
  <c r="M11" i="29"/>
  <c r="M10" i="29"/>
  <c r="M19" i="29"/>
  <c r="M27" i="29"/>
  <c r="M24" i="29"/>
  <c r="M17" i="29"/>
  <c r="M13" i="29"/>
  <c r="M15" i="29"/>
  <c r="M21" i="29"/>
  <c r="M29" i="29"/>
  <c r="M26" i="29"/>
  <c r="M31" i="29"/>
  <c r="M22" i="29"/>
  <c r="M30" i="29"/>
  <c r="Q17" i="29"/>
  <c r="AA11" i="29"/>
  <c r="O18" i="29"/>
  <c r="AG21" i="29"/>
  <c r="AD21" i="29"/>
  <c r="X29" i="29"/>
  <c r="AD13" i="29"/>
  <c r="AB31" i="29"/>
  <c r="Q31" i="29"/>
  <c r="P9" i="29"/>
  <c r="T19" i="29"/>
  <c r="W26" i="29"/>
  <c r="P26" i="29"/>
  <c r="X23" i="29"/>
  <c r="N16" i="29"/>
  <c r="AD8" i="29"/>
  <c r="AE12" i="29"/>
  <c r="R12" i="29"/>
  <c r="Z20" i="29"/>
  <c r="AC28" i="29"/>
  <c r="AC25" i="29"/>
  <c r="V25" i="29"/>
  <c r="Y14" i="29"/>
  <c r="AG10" i="29"/>
  <c r="O15" i="29"/>
  <c r="P15" i="29"/>
  <c r="R22" i="29"/>
  <c r="AD30" i="29"/>
  <c r="AE27" i="29"/>
  <c r="AE24" i="29"/>
  <c r="X24" i="29"/>
  <c r="X17" i="29"/>
  <c r="T11" i="29"/>
  <c r="W11" i="29"/>
  <c r="V18" i="29"/>
  <c r="O21" i="29"/>
  <c r="Q29" i="29"/>
  <c r="Z29" i="29"/>
  <c r="S13" i="29"/>
  <c r="N31" i="29"/>
  <c r="AD9" i="29"/>
  <c r="AE19" i="29"/>
  <c r="X19" i="29"/>
  <c r="V26" i="29"/>
  <c r="AA23" i="29"/>
  <c r="T16" i="29"/>
  <c r="AC16" i="29"/>
  <c r="Z8" i="29"/>
  <c r="P12" i="29"/>
  <c r="O20" i="29"/>
  <c r="AB20" i="29"/>
  <c r="N28" i="29"/>
  <c r="AF25" i="29"/>
  <c r="AB14" i="29"/>
  <c r="W10" i="29"/>
  <c r="AC10" i="29"/>
  <c r="T15" i="29"/>
  <c r="Y30" i="29"/>
  <c r="AA24" i="29"/>
  <c r="N17" i="29"/>
  <c r="AF11" i="29"/>
  <c r="O11" i="29"/>
  <c r="Z18" i="29"/>
  <c r="AA21" i="29"/>
  <c r="AC29" i="29"/>
  <c r="R29" i="29"/>
  <c r="W13" i="29"/>
  <c r="Z31" i="29"/>
  <c r="Y9" i="29"/>
  <c r="AB9" i="29"/>
  <c r="AC19" i="29"/>
  <c r="U26" i="29"/>
  <c r="U23" i="29"/>
  <c r="N23" i="29"/>
  <c r="W16" i="29"/>
  <c r="S8" i="29"/>
  <c r="AC12" i="29"/>
  <c r="O12" i="29"/>
  <c r="AD20" i="29"/>
  <c r="U28" i="29"/>
  <c r="U25" i="29"/>
  <c r="R25" i="29"/>
  <c r="U14" i="29"/>
  <c r="T10" i="29"/>
  <c r="W15" i="29"/>
  <c r="AF15" i="29"/>
  <c r="AH22" i="29"/>
  <c r="U30" i="29"/>
  <c r="U27" i="29"/>
  <c r="AD27" i="29"/>
  <c r="V24" i="29"/>
  <c r="P17" i="29"/>
  <c r="AD11" i="29"/>
  <c r="AH18" i="29"/>
  <c r="AB18" i="29"/>
  <c r="X21" i="29"/>
  <c r="AA29" i="29"/>
  <c r="AB13" i="29"/>
  <c r="Y13" i="29"/>
  <c r="S31" i="29"/>
  <c r="S9" i="29"/>
  <c r="W19" i="29"/>
  <c r="U19" i="29"/>
  <c r="AH26" i="29"/>
  <c r="S23" i="29"/>
  <c r="AB16" i="29"/>
  <c r="Y16" i="29"/>
  <c r="Q8" i="29"/>
  <c r="AA12" i="29"/>
  <c r="W20" i="29"/>
  <c r="X20" i="29"/>
  <c r="AD28" i="29"/>
  <c r="S25" i="29"/>
  <c r="AD14" i="29"/>
  <c r="W14" i="29"/>
  <c r="Q10" i="29"/>
  <c r="Y15" i="29"/>
  <c r="W22" i="29"/>
  <c r="AB17" i="29"/>
  <c r="X11" i="29"/>
  <c r="AC11" i="29"/>
  <c r="AD18" i="29"/>
  <c r="S21" i="29"/>
  <c r="U29" i="29"/>
  <c r="N29" i="29"/>
  <c r="AA13" i="29"/>
  <c r="R31" i="29"/>
  <c r="Q9" i="29"/>
  <c r="AH9" i="29"/>
  <c r="AH19" i="29"/>
  <c r="AD26" i="29"/>
  <c r="AE23" i="29"/>
  <c r="X16" i="29"/>
  <c r="Q16" i="29"/>
  <c r="AE8" i="29"/>
  <c r="V12" i="29"/>
  <c r="S20" i="29"/>
  <c r="T20" i="29"/>
  <c r="V28" i="29"/>
  <c r="O25" i="29"/>
  <c r="AF14" i="29"/>
  <c r="AA10" i="29"/>
  <c r="R10" i="29"/>
  <c r="R15" i="29"/>
  <c r="Y22" i="29"/>
  <c r="W30" i="29"/>
  <c r="T30" i="29"/>
  <c r="X27" i="29"/>
  <c r="U24" i="29"/>
  <c r="AH17" i="29"/>
  <c r="AE17" i="29"/>
  <c r="V11" i="29"/>
  <c r="AG18" i="29"/>
  <c r="AC21" i="29"/>
  <c r="N21" i="29"/>
  <c r="P29" i="29"/>
  <c r="Z13" i="29"/>
  <c r="X31" i="29"/>
  <c r="AC31" i="29"/>
  <c r="AE9" i="29"/>
  <c r="N19" i="29"/>
  <c r="S26" i="29"/>
  <c r="AB26" i="29"/>
  <c r="P23" i="29"/>
  <c r="AE16" i="29"/>
  <c r="Y8" i="29"/>
  <c r="AG12" i="29"/>
  <c r="T12" i="29"/>
  <c r="R20" i="29"/>
  <c r="Y28" i="29"/>
  <c r="Y25" i="29"/>
  <c r="AH25" i="29"/>
  <c r="Q14" i="29"/>
  <c r="AB10" i="29"/>
  <c r="AG15" i="29"/>
  <c r="N22" i="29"/>
  <c r="Y27" i="29"/>
  <c r="AF24" i="29"/>
  <c r="AG17" i="29"/>
  <c r="N11" i="29"/>
  <c r="W18" i="29"/>
  <c r="AF18" i="29"/>
  <c r="T21" i="29"/>
  <c r="O29" i="29"/>
  <c r="P13" i="29"/>
  <c r="AC13" i="29"/>
  <c r="O31" i="29"/>
  <c r="AA9" i="29"/>
  <c r="AD19" i="29"/>
  <c r="AE26" i="29"/>
  <c r="T26" i="29"/>
  <c r="T23" i="29"/>
  <c r="P16" i="29"/>
  <c r="U16" i="29"/>
  <c r="U8" i="29"/>
  <c r="AD12" i="29"/>
  <c r="AG20" i="29"/>
  <c r="AE28" i="29"/>
  <c r="AF28" i="29"/>
  <c r="X25" i="29"/>
  <c r="R14" i="29"/>
  <c r="S14" i="29"/>
  <c r="U10" i="29"/>
  <c r="AH15" i="29"/>
  <c r="AG22" i="29"/>
  <c r="AE30" i="29"/>
  <c r="AB30" i="29"/>
  <c r="T27" i="29"/>
  <c r="AC24" i="29"/>
  <c r="Z17" i="29"/>
  <c r="O17" i="29"/>
  <c r="AE11" i="29"/>
  <c r="Y18" i="29"/>
  <c r="U21" i="29"/>
  <c r="AH21" i="29"/>
  <c r="T29" i="29"/>
  <c r="R13" i="29"/>
  <c r="P31" i="29"/>
  <c r="U31" i="29"/>
  <c r="T9" i="29"/>
  <c r="AB19" i="29"/>
  <c r="AG26" i="29"/>
  <c r="AG23" i="29"/>
  <c r="R23" i="29"/>
  <c r="R16" i="29"/>
  <c r="P8" i="29"/>
  <c r="AH8" i="29"/>
  <c r="W12" i="29"/>
  <c r="AH20" i="29"/>
  <c r="AG28" i="29"/>
  <c r="AG25" i="29"/>
  <c r="N25" i="29"/>
  <c r="T14" i="29"/>
  <c r="O10" i="29"/>
  <c r="X10" i="29"/>
  <c r="N15" i="29"/>
  <c r="AD22" i="29"/>
  <c r="AG30" i="29"/>
  <c r="AG27" i="29"/>
  <c r="V27" i="29"/>
  <c r="Z24" i="29"/>
  <c r="AE22" i="29"/>
  <c r="V30" i="29"/>
  <c r="R27" i="29"/>
  <c r="AC17" i="29"/>
  <c r="V17" i="29"/>
  <c r="AE18" i="29"/>
  <c r="P21" i="29"/>
  <c r="X13" i="29"/>
  <c r="AE31" i="29"/>
  <c r="S19" i="29"/>
  <c r="Z26" i="29"/>
  <c r="AD16" i="29"/>
  <c r="AC8" i="29"/>
  <c r="Y20" i="29"/>
  <c r="AB28" i="29"/>
  <c r="P14" i="29"/>
  <c r="AE15" i="29"/>
  <c r="V22" i="29"/>
  <c r="AC27" i="29"/>
  <c r="R24" i="29"/>
  <c r="AA17" i="29"/>
  <c r="Q18" i="29"/>
  <c r="AG29" i="29"/>
  <c r="AE13" i="29"/>
  <c r="AC9" i="29"/>
  <c r="Q19" i="29"/>
  <c r="Y23" i="29"/>
  <c r="S16" i="29"/>
  <c r="Q12" i="29"/>
  <c r="AF20" i="29"/>
  <c r="AA25" i="29"/>
  <c r="AA14" i="29"/>
  <c r="AD15" i="29"/>
  <c r="AB27" i="29"/>
  <c r="W17" i="29"/>
  <c r="AC18" i="29"/>
  <c r="Z21" i="29"/>
  <c r="V13" i="29"/>
  <c r="Y31" i="29"/>
  <c r="AG19" i="29"/>
  <c r="X26" i="29"/>
  <c r="V16" i="29"/>
  <c r="R8" i="29"/>
  <c r="Q20" i="29"/>
  <c r="T28" i="29"/>
  <c r="X14" i="29"/>
  <c r="AH10" i="29"/>
  <c r="Q22" i="29"/>
  <c r="P30" i="29"/>
  <c r="AH24" i="29"/>
  <c r="AB11" i="29"/>
  <c r="R18" i="29"/>
  <c r="Y29" i="29"/>
  <c r="O13" i="29"/>
  <c r="U9" i="29"/>
  <c r="R19" i="29"/>
  <c r="Q23" i="29"/>
  <c r="O16" i="29"/>
  <c r="Y12" i="29"/>
  <c r="V20" i="29"/>
  <c r="Q25" i="29"/>
  <c r="AG14" i="29"/>
  <c r="S15" i="29"/>
  <c r="Z22" i="29"/>
  <c r="AH30" i="29"/>
  <c r="AF27" i="29"/>
  <c r="N24" i="29"/>
  <c r="AB22" i="29"/>
  <c r="P27" i="29"/>
  <c r="S17" i="29"/>
  <c r="U18" i="29"/>
  <c r="R21" i="29"/>
  <c r="N13" i="29"/>
  <c r="AG9" i="29"/>
  <c r="V19" i="29"/>
  <c r="AC23" i="29"/>
  <c r="AA16" i="29"/>
  <c r="U12" i="29"/>
  <c r="N20" i="29"/>
  <c r="AE25" i="29"/>
  <c r="U15" i="29"/>
  <c r="P22" i="29"/>
  <c r="O27" i="29"/>
  <c r="T24" i="29"/>
  <c r="P18" i="29"/>
  <c r="U13" i="29"/>
  <c r="P19" i="29"/>
  <c r="X8" i="29"/>
  <c r="S28" i="29"/>
  <c r="Y10" i="29"/>
  <c r="Q24" i="29"/>
  <c r="N18" i="29"/>
  <c r="X9" i="29"/>
  <c r="W23" i="29"/>
  <c r="AH12" i="29"/>
  <c r="W25" i="29"/>
  <c r="AC15" i="29"/>
  <c r="W27" i="29"/>
  <c r="AG11" i="29"/>
  <c r="AF31" i="29"/>
  <c r="AA26" i="29"/>
  <c r="AF8" i="29"/>
  <c r="AA28" i="29"/>
  <c r="AE10" i="29"/>
  <c r="X30" i="29"/>
  <c r="AB24" i="29"/>
  <c r="AG24" i="29"/>
  <c r="Y11" i="29"/>
  <c r="T18" i="29"/>
  <c r="W29" i="29"/>
  <c r="Q13" i="29"/>
  <c r="N9" i="29"/>
  <c r="Z19" i="29"/>
  <c r="O23" i="29"/>
  <c r="AB8" i="29"/>
  <c r="S12" i="29"/>
  <c r="W28" i="29"/>
  <c r="AB25" i="29"/>
  <c r="AD10" i="29"/>
  <c r="AB15" i="29"/>
  <c r="AC30" i="29"/>
  <c r="AH27" i="29"/>
  <c r="R17" i="29"/>
  <c r="U11" i="29"/>
  <c r="AE21" i="29"/>
  <c r="AH29" i="29"/>
  <c r="AD31" i="29"/>
  <c r="W9" i="29"/>
  <c r="Y26" i="29"/>
  <c r="V23" i="29"/>
  <c r="AA8" i="29"/>
  <c r="AE20" i="29"/>
  <c r="Z28" i="29"/>
  <c r="V14" i="29"/>
  <c r="Z10" i="29"/>
  <c r="X22" i="29"/>
  <c r="AD17" i="29"/>
  <c r="Q11" i="29"/>
  <c r="Y21" i="29"/>
  <c r="AB29" i="29"/>
  <c r="T31" i="29"/>
  <c r="Z9" i="29"/>
  <c r="O26" i="29"/>
  <c r="AH23" i="29"/>
  <c r="T8" i="29"/>
  <c r="AB12" i="29"/>
  <c r="O28" i="29"/>
  <c r="AD25" i="29"/>
  <c r="S10" i="29"/>
  <c r="V15" i="29"/>
  <c r="O30" i="29"/>
  <c r="Z27" i="29"/>
  <c r="AF17" i="29"/>
  <c r="AH11" i="29"/>
  <c r="W21" i="29"/>
  <c r="AD29" i="29"/>
  <c r="V31" i="29"/>
  <c r="R9" i="29"/>
  <c r="Q26" i="29"/>
  <c r="AD23" i="29"/>
  <c r="N8" i="29"/>
  <c r="AF12" i="29"/>
  <c r="Q28" i="29"/>
  <c r="Z25" i="29"/>
  <c r="N10" i="29"/>
  <c r="X15" i="29"/>
  <c r="AA30" i="29"/>
  <c r="Q27" i="29"/>
  <c r="S24" i="29"/>
  <c r="Q15" i="29"/>
  <c r="AF30" i="29"/>
  <c r="AD24" i="29"/>
  <c r="Z11" i="29"/>
  <c r="Q21" i="29"/>
  <c r="V29" i="29"/>
  <c r="AH31" i="29"/>
  <c r="O9" i="29"/>
  <c r="AC26" i="29"/>
  <c r="Z23" i="29"/>
  <c r="AG8" i="29"/>
  <c r="Z12" i="29"/>
  <c r="AH28" i="29"/>
  <c r="Z14" i="29"/>
  <c r="AF10" i="29"/>
  <c r="S22" i="29"/>
  <c r="Z30" i="29"/>
  <c r="O24" i="29"/>
  <c r="U17" i="29"/>
  <c r="AA18" i="29"/>
  <c r="AB21" i="29"/>
  <c r="T13" i="29"/>
  <c r="W31" i="29"/>
  <c r="O19" i="29"/>
  <c r="R26" i="29"/>
  <c r="Z16" i="29"/>
  <c r="W8" i="29"/>
  <c r="U20" i="29"/>
  <c r="X28" i="29"/>
  <c r="AC14" i="29"/>
  <c r="AA15" i="29"/>
  <c r="R30" i="29"/>
  <c r="T17" i="29"/>
  <c r="R11" i="29"/>
  <c r="AF21" i="29"/>
  <c r="AF13" i="29"/>
  <c r="AA31" i="29"/>
  <c r="AA19" i="29"/>
  <c r="N26" i="29"/>
  <c r="AF16" i="29"/>
  <c r="V8" i="29"/>
  <c r="AA20" i="29"/>
  <c r="R28" i="29"/>
  <c r="AH14" i="29"/>
  <c r="V10" i="29"/>
  <c r="AA22" i="29"/>
  <c r="N30" i="29"/>
  <c r="W24" i="29"/>
  <c r="Y17" i="29"/>
  <c r="S18" i="29"/>
  <c r="V21" i="29"/>
  <c r="AH13" i="29"/>
  <c r="AG31" i="29"/>
  <c r="Y19" i="29"/>
  <c r="AF26" i="29"/>
  <c r="AH16" i="29"/>
  <c r="O8" i="29"/>
  <c r="AC20" i="29"/>
  <c r="P28" i="29"/>
  <c r="N14" i="29"/>
  <c r="P10" i="29"/>
  <c r="AC22" i="29"/>
  <c r="Q30" i="29"/>
  <c r="S27" i="29"/>
  <c r="Y24" i="29"/>
  <c r="U22" i="29"/>
  <c r="AA27" i="29"/>
  <c r="O14" i="29"/>
  <c r="S11" i="29"/>
  <c r="S29" i="29"/>
  <c r="AF9" i="29"/>
  <c r="AB23" i="29"/>
  <c r="N12" i="29"/>
  <c r="T25" i="29"/>
  <c r="O22" i="29"/>
  <c r="P11" i="29"/>
  <c r="AE29" i="29"/>
  <c r="AG13" i="29"/>
  <c r="AF19" i="29"/>
  <c r="AG16" i="29"/>
  <c r="P20" i="29"/>
  <c r="AE14" i="29"/>
  <c r="T22" i="29"/>
  <c r="P24" i="29"/>
  <c r="X18" i="29"/>
  <c r="AF29" i="29"/>
  <c r="V9" i="29"/>
  <c r="AF23" i="29"/>
  <c r="X12" i="29"/>
  <c r="P25" i="29"/>
  <c r="Z15" i="29"/>
  <c r="AF22" i="29"/>
  <c r="N27" i="29"/>
  <c r="S30" i="29"/>
  <c r="DA24" i="18"/>
  <c r="F104" i="18"/>
  <c r="F108" i="18" s="1"/>
  <c r="J104" i="18"/>
  <c r="CR104" i="18"/>
  <c r="CI104" i="18"/>
  <c r="CX104" i="18"/>
  <c r="CF104" i="18"/>
  <c r="CJ104" i="18"/>
  <c r="AO104" i="18"/>
  <c r="S104" i="18"/>
  <c r="CB104" i="18"/>
  <c r="U104" i="18"/>
  <c r="BE104" i="18"/>
  <c r="AZ104" i="18"/>
  <c r="BB104" i="18"/>
  <c r="BG104" i="18"/>
  <c r="BG108" i="18" s="1"/>
  <c r="DA25" i="18"/>
  <c r="BD104" i="18"/>
  <c r="O104" i="18"/>
  <c r="CD104" i="18"/>
  <c r="AH104" i="18"/>
  <c r="CM104" i="18"/>
  <c r="BL104" i="18"/>
  <c r="CP104" i="18"/>
  <c r="AF104" i="18"/>
  <c r="X104" i="18"/>
  <c r="AX104" i="18"/>
  <c r="AX108" i="18" s="1"/>
  <c r="AS104" i="18"/>
  <c r="AR104" i="18"/>
  <c r="AT104" i="18"/>
  <c r="AT108" i="18" s="1"/>
  <c r="CN104" i="18"/>
  <c r="CN108" i="18" s="1"/>
  <c r="BG106" i="18"/>
  <c r="AN104" i="18"/>
  <c r="AS106" i="18"/>
  <c r="BI104" i="18"/>
  <c r="BQ104" i="18"/>
  <c r="AT106" i="18"/>
  <c r="AT107" i="18" s="1" a="1"/>
  <c r="CN106" i="18"/>
  <c r="CN107" i="18" s="1" a="1"/>
  <c r="BG107" i="18" a="1"/>
  <c r="BW104" i="18"/>
  <c r="Q104" i="18"/>
  <c r="AJ104" i="18"/>
  <c r="BU104" i="18"/>
  <c r="CQ104" i="18"/>
  <c r="CQ108" i="18" s="1"/>
  <c r="AS107" i="18" a="1"/>
  <c r="BI106" i="18"/>
  <c r="BH104" i="18"/>
  <c r="Z104" i="18"/>
  <c r="P104" i="18"/>
  <c r="P106" i="18" s="1"/>
  <c r="P107" i="18" s="1" a="1"/>
  <c r="CA104" i="18"/>
  <c r="CA106" i="18" s="1"/>
  <c r="CA107" i="18" s="1" a="1"/>
  <c r="D104" i="18"/>
  <c r="D106" i="18" s="1"/>
  <c r="D107" i="18" s="1" a="1"/>
  <c r="CT104" i="18"/>
  <c r="CT106" i="18" s="1"/>
  <c r="CT107" i="18" s="1" a="1"/>
  <c r="G104" i="18"/>
  <c r="CO104" i="18"/>
  <c r="BV104" i="18"/>
  <c r="N104" i="18"/>
  <c r="T104" i="18"/>
  <c r="T108" i="18"/>
  <c r="CQ106" i="18"/>
  <c r="CU104" i="18"/>
  <c r="W104" i="18"/>
  <c r="W106" i="18" s="1"/>
  <c r="W107" i="18" s="1" a="1"/>
  <c r="W108" i="18"/>
  <c r="BI107" i="18" a="1"/>
  <c r="BH106" i="18"/>
  <c r="BJ104" i="18"/>
  <c r="AK104" i="18"/>
  <c r="AK108" i="18"/>
  <c r="AG104" i="18"/>
  <c r="AE104" i="18"/>
  <c r="AE106" i="18" s="1"/>
  <c r="AE107" i="18" s="1" a="1"/>
  <c r="AE108" i="18"/>
  <c r="AW104" i="18"/>
  <c r="CL104" i="18"/>
  <c r="T106" i="18"/>
  <c r="T107" i="18" s="1" a="1"/>
  <c r="AI104" i="18"/>
  <c r="AI108" i="18"/>
  <c r="CQ107" i="18" a="1"/>
  <c r="BR104" i="18"/>
  <c r="BR108" i="18" s="1"/>
  <c r="AS108" i="18"/>
  <c r="BH107" i="18" a="1"/>
  <c r="AK106" i="18"/>
  <c r="AM104" i="18"/>
  <c r="AA104" i="18"/>
  <c r="AA108" i="18" s="1"/>
  <c r="F106" i="18"/>
  <c r="H104" i="18"/>
  <c r="H108" i="18" s="1"/>
  <c r="CE104" i="18"/>
  <c r="CE108" i="18" s="1"/>
  <c r="V104" i="18"/>
  <c r="BX104" i="18"/>
  <c r="AY104" i="18"/>
  <c r="AY108" i="18" s="1"/>
  <c r="AX106" i="18"/>
  <c r="AX107" i="18" s="1" a="1"/>
  <c r="AI106" i="18"/>
  <c r="AC104" i="18"/>
  <c r="AC108" i="18"/>
  <c r="BR106" i="18"/>
  <c r="BT104" i="18"/>
  <c r="BI108" i="18"/>
  <c r="AK107" i="18" a="1"/>
  <c r="AM108" i="18"/>
  <c r="AV104" i="18"/>
  <c r="AV108" i="18" s="1"/>
  <c r="AA106" i="18"/>
  <c r="F107" i="18" a="1"/>
  <c r="P108" i="18"/>
  <c r="H106" i="18"/>
  <c r="H107" i="18" s="1" a="1"/>
  <c r="CA108" i="18"/>
  <c r="CE106" i="18"/>
  <c r="CE107" i="18" s="1" a="1"/>
  <c r="D108" i="18"/>
  <c r="CT108" i="18"/>
  <c r="AY106" i="18"/>
  <c r="AY107" i="18" s="1" a="1"/>
  <c r="CV104" i="18"/>
  <c r="K104" i="18"/>
  <c r="BP104" i="18"/>
  <c r="AP104" i="18"/>
  <c r="BZ104" i="18"/>
  <c r="BS104" i="18"/>
  <c r="E104" i="18"/>
  <c r="AI107" i="18" a="1"/>
  <c r="AC106" i="18"/>
  <c r="AC107" i="18" s="1" a="1"/>
  <c r="AB104" i="18"/>
  <c r="BR107" i="18" a="1"/>
  <c r="Y104" i="18"/>
  <c r="BH108" i="18"/>
  <c r="AM106" i="18"/>
  <c r="AM107" i="18" s="1" a="1"/>
  <c r="AV106" i="18"/>
  <c r="AV107" i="18" s="1" a="1"/>
  <c r="AL104" i="18"/>
  <c r="AA107" i="18" a="1"/>
  <c r="L104" i="18"/>
  <c r="BN104" i="18"/>
  <c r="CC104" i="18"/>
  <c r="I104" i="18"/>
  <c r="AQ104" i="18"/>
  <c r="AU104" i="18"/>
  <c r="BM104" i="18"/>
  <c r="R104" i="18"/>
  <c r="BO104" i="18"/>
  <c r="BK104" i="18"/>
  <c r="CS104" i="18"/>
  <c r="CW104" i="18"/>
  <c r="BF104" i="18"/>
  <c r="M104" i="18"/>
  <c r="CH104" i="18"/>
  <c r="C104" i="18"/>
  <c r="BC104" i="18"/>
  <c r="CK104" i="18"/>
  <c r="BA104" i="18"/>
  <c r="BY104" i="18"/>
  <c r="AD104" i="18"/>
  <c r="CG104" i="18"/>
  <c r="DE28" i="18" a="1"/>
  <c r="DD28" i="18" a="1"/>
  <c r="J108" i="18"/>
  <c r="J106" i="18"/>
  <c r="J107" i="18" s="1" a="1"/>
  <c r="CR108" i="18"/>
  <c r="CR106" i="18"/>
  <c r="CR107" i="18" s="1" a="1"/>
  <c r="CI108" i="18"/>
  <c r="CI106" i="18"/>
  <c r="CI107" i="18" s="1" a="1"/>
  <c r="CX108" i="18"/>
  <c r="CX106" i="18"/>
  <c r="CX107" i="18" s="1" a="1"/>
  <c r="CF108" i="18"/>
  <c r="CF106" i="18"/>
  <c r="CF107" i="18" s="1" a="1"/>
  <c r="CJ108" i="18"/>
  <c r="CJ106" i="18"/>
  <c r="CJ107" i="18" s="1" a="1"/>
  <c r="AO108" i="18"/>
  <c r="AO106" i="18"/>
  <c r="AO107" i="18" s="1" a="1"/>
  <c r="S108" i="18"/>
  <c r="S106" i="18"/>
  <c r="S107" i="18" s="1" a="1"/>
  <c r="CB108" i="18"/>
  <c r="CB106" i="18"/>
  <c r="CB107" i="18" s="1" a="1"/>
  <c r="U108" i="18"/>
  <c r="U106" i="18"/>
  <c r="U107" i="18" s="1" a="1"/>
  <c r="BE108" i="18"/>
  <c r="BE106" i="18"/>
  <c r="BE107" i="18" s="1" a="1"/>
  <c r="AZ108" i="18"/>
  <c r="AZ106" i="18"/>
  <c r="AZ107" i="18" s="1" a="1"/>
  <c r="BB108" i="18"/>
  <c r="BB106" i="18"/>
  <c r="BB107" i="18" s="1" a="1"/>
  <c r="BD108" i="18"/>
  <c r="BD106" i="18"/>
  <c r="BD107" i="18" s="1" a="1"/>
  <c r="O108" i="18"/>
  <c r="O106" i="18"/>
  <c r="O107" i="18" s="1" a="1"/>
  <c r="CD108" i="18"/>
  <c r="CD106" i="18"/>
  <c r="CD107" i="18" s="1" a="1"/>
  <c r="AH108" i="18"/>
  <c r="AH106" i="18"/>
  <c r="AH107" i="18" s="1" a="1"/>
  <c r="CM108" i="18"/>
  <c r="CM106" i="18"/>
  <c r="CM107" i="18" s="1" a="1"/>
  <c r="BL108" i="18"/>
  <c r="BL106" i="18"/>
  <c r="BL107" i="18" s="1" a="1"/>
  <c r="CP108" i="18"/>
  <c r="CP106" i="18"/>
  <c r="CP107" i="18" s="1" a="1"/>
  <c r="AF108" i="18"/>
  <c r="AF106" i="18"/>
  <c r="AF107" i="18" s="1" a="1"/>
  <c r="X108" i="18"/>
  <c r="X106" i="18"/>
  <c r="X107" i="18" s="1" a="1"/>
  <c r="AR108" i="18"/>
  <c r="AR106" i="18"/>
  <c r="AR107" i="18" s="1" a="1"/>
  <c r="AN108" i="18"/>
  <c r="AN106" i="18"/>
  <c r="AN107" i="18" s="1" a="1"/>
  <c r="BQ108" i="18"/>
  <c r="BQ106" i="18"/>
  <c r="BQ107" i="18" s="1" a="1"/>
  <c r="BW108" i="18"/>
  <c r="BW106" i="18"/>
  <c r="BW107" i="18" s="1" a="1"/>
  <c r="Q108" i="18"/>
  <c r="Q106" i="18"/>
  <c r="Q107" i="18" s="1" a="1"/>
  <c r="AJ108" i="18"/>
  <c r="AJ106" i="18"/>
  <c r="AJ107" i="18" s="1" a="1"/>
  <c r="BU108" i="18"/>
  <c r="BU106" i="18"/>
  <c r="BU107" i="18" s="1" a="1"/>
  <c r="Z108" i="18"/>
  <c r="Z106" i="18"/>
  <c r="Z107" i="18" s="1" a="1"/>
  <c r="G108" i="18"/>
  <c r="G106" i="18"/>
  <c r="G107" i="18" s="1" a="1"/>
  <c r="CO108" i="18"/>
  <c r="CO106" i="18"/>
  <c r="CO107" i="18" s="1" a="1"/>
  <c r="BV108" i="18"/>
  <c r="BV106" i="18"/>
  <c r="BV107" i="18" s="1" a="1"/>
  <c r="N106" i="18"/>
  <c r="N107" i="18" s="1" a="1"/>
  <c r="N108" i="18"/>
  <c r="CU108" i="18"/>
  <c r="CU106" i="18"/>
  <c r="CU107" i="18" s="1" a="1"/>
  <c r="BJ108" i="18"/>
  <c r="BJ106" i="18"/>
  <c r="BJ107" i="18" s="1" a="1"/>
  <c r="AG108" i="18"/>
  <c r="AG106" i="18"/>
  <c r="AG107" i="18" s="1" a="1"/>
  <c r="AW108" i="18"/>
  <c r="AW106" i="18"/>
  <c r="AW107" i="18" s="1" a="1"/>
  <c r="CL108" i="18"/>
  <c r="CL106" i="18"/>
  <c r="CL107" i="18" s="1" a="1"/>
  <c r="V106" i="18"/>
  <c r="V107" i="18" s="1" a="1"/>
  <c r="V108" i="18"/>
  <c r="BX106" i="18"/>
  <c r="BX107" i="18" s="1" a="1"/>
  <c r="BX108" i="18"/>
  <c r="BT108" i="18"/>
  <c r="BT106" i="18"/>
  <c r="BT107" i="18" s="1" a="1"/>
  <c r="CV108" i="18"/>
  <c r="CV106" i="18"/>
  <c r="CV107" i="18" s="1" a="1"/>
  <c r="K108" i="18"/>
  <c r="K106" i="18"/>
  <c r="K107" i="18" s="1" a="1"/>
  <c r="BP108" i="18"/>
  <c r="BP106" i="18"/>
  <c r="BP107" i="18" s="1" a="1"/>
  <c r="AP108" i="18"/>
  <c r="AP106" i="18"/>
  <c r="AP107" i="18" s="1" a="1"/>
  <c r="BZ108" i="18"/>
  <c r="BZ106" i="18"/>
  <c r="BZ107" i="18" s="1" a="1"/>
  <c r="BS108" i="18"/>
  <c r="BS106" i="18"/>
  <c r="BS107" i="18" s="1" a="1"/>
  <c r="E108" i="18"/>
  <c r="E106" i="18"/>
  <c r="E107" i="18" s="1" a="1"/>
  <c r="AB106" i="18"/>
  <c r="AB107" i="18" s="1" a="1"/>
  <c r="AB108" i="18"/>
  <c r="Y108" i="18"/>
  <c r="Y106" i="18"/>
  <c r="Y107" i="18" s="1" a="1"/>
  <c r="AL108" i="18"/>
  <c r="AL106" i="18"/>
  <c r="AL107" i="18" s="1" a="1"/>
  <c r="L106" i="18"/>
  <c r="L107" i="18" s="1" a="1"/>
  <c r="L108" i="18"/>
  <c r="BN106" i="18"/>
  <c r="BN107" i="18" s="1" a="1"/>
  <c r="BN108" i="18"/>
  <c r="CC108" i="18"/>
  <c r="CC106" i="18"/>
  <c r="CC107" i="18" s="1" a="1"/>
  <c r="I108" i="18"/>
  <c r="I106" i="18"/>
  <c r="I107" i="18" s="1" a="1"/>
  <c r="AQ106" i="18"/>
  <c r="AQ107" i="18" s="1" a="1"/>
  <c r="AQ108" i="18"/>
  <c r="AU106" i="18"/>
  <c r="AU107" i="18" s="1" a="1"/>
  <c r="AU108" i="18"/>
  <c r="BM108" i="18"/>
  <c r="BM106" i="18"/>
  <c r="BM107" i="18" s="1" a="1"/>
  <c r="R108" i="18"/>
  <c r="R106" i="18"/>
  <c r="R107" i="18" s="1" a="1"/>
  <c r="BO108" i="18"/>
  <c r="BO106" i="18"/>
  <c r="BO107" i="18" s="1" a="1"/>
  <c r="BK108" i="18"/>
  <c r="BK106" i="18"/>
  <c r="BK107" i="18" s="1" a="1"/>
  <c r="CS106" i="18"/>
  <c r="CS107" i="18" s="1" a="1"/>
  <c r="CS108" i="18"/>
  <c r="CW106" i="18"/>
  <c r="CW107" i="18" s="1" a="1"/>
  <c r="CW108" i="18"/>
  <c r="BF106" i="18"/>
  <c r="BF107" i="18" s="1" a="1"/>
  <c r="BF108" i="18"/>
  <c r="M106" i="18"/>
  <c r="M107" i="18" s="1" a="1"/>
  <c r="M108" i="18"/>
  <c r="CH106" i="18"/>
  <c r="CH107" i="18" s="1" a="1"/>
  <c r="CH108" i="18"/>
  <c r="C108" i="18"/>
  <c r="C106" i="18"/>
  <c r="C107" i="18" s="1" a="1"/>
  <c r="BC106" i="18"/>
  <c r="BC107" i="18" s="1" a="1"/>
  <c r="BC108" i="18"/>
  <c r="CK106" i="18"/>
  <c r="CK107" i="18" s="1" a="1"/>
  <c r="CK108" i="18"/>
  <c r="BA106" i="18"/>
  <c r="BA107" i="18" s="1" a="1"/>
  <c r="BA108" i="18"/>
  <c r="BY106" i="18"/>
  <c r="BY107" i="18" s="1" a="1"/>
  <c r="BY108" i="18"/>
  <c r="AD106" i="18"/>
  <c r="AD107" i="18" s="1" a="1"/>
  <c r="AD108" i="18"/>
  <c r="CG106" i="18"/>
  <c r="CG107" i="18" s="1" a="1"/>
  <c r="CG108" i="18"/>
  <c r="S16" i="23"/>
  <c r="U17" i="23" a="1"/>
  <c r="V17" i="23" a="1"/>
  <c r="D107" i="23"/>
  <c r="S31" i="23"/>
  <c r="D65" i="23"/>
  <c r="S17" i="23"/>
  <c r="CG107" i="18" l="1"/>
  <c r="AD107" i="18"/>
  <c r="BY107" i="18"/>
  <c r="BA107" i="18"/>
  <c r="CK107" i="18"/>
  <c r="BC107" i="18"/>
  <c r="C107" i="18"/>
  <c r="CH107" i="18"/>
  <c r="M107" i="18"/>
  <c r="BF107" i="18"/>
  <c r="CW107" i="18"/>
  <c r="CS107" i="18"/>
  <c r="BK107" i="18"/>
  <c r="BO107" i="18"/>
  <c r="R107" i="18"/>
  <c r="BM107" i="18"/>
  <c r="AU107" i="18"/>
  <c r="AQ107" i="18"/>
  <c r="I107" i="18"/>
  <c r="CC107" i="18"/>
  <c r="BN107" i="18"/>
  <c r="L107" i="18"/>
  <c r="AL107" i="18"/>
  <c r="Y107" i="18"/>
  <c r="AB107" i="18"/>
  <c r="E107" i="18"/>
  <c r="BS107" i="18"/>
  <c r="BZ107" i="18"/>
  <c r="AP107" i="18"/>
  <c r="BP107" i="18"/>
  <c r="K107" i="18"/>
  <c r="CV107" i="18"/>
  <c r="BT107" i="18"/>
  <c r="BX107" i="18"/>
  <c r="V107" i="18"/>
  <c r="CL107" i="18"/>
  <c r="AW107" i="18"/>
  <c r="AG107" i="18"/>
  <c r="BJ107" i="18"/>
  <c r="CU107" i="18"/>
  <c r="N107" i="18"/>
  <c r="BV107" i="18"/>
  <c r="CO107" i="18"/>
  <c r="G107" i="18"/>
  <c r="Z107" i="18"/>
  <c r="BU107" i="18"/>
  <c r="AJ107" i="18"/>
  <c r="Q107" i="18"/>
  <c r="BW107" i="18"/>
  <c r="BQ107" i="18"/>
  <c r="AN107" i="18"/>
  <c r="AR107" i="18"/>
  <c r="X107" i="18"/>
  <c r="AF107" i="18"/>
  <c r="CP107" i="18"/>
  <c r="BL107" i="18"/>
  <c r="CM107" i="18"/>
  <c r="AH107" i="18"/>
  <c r="CD107" i="18"/>
  <c r="O107" i="18"/>
  <c r="BD107" i="18"/>
  <c r="BB107" i="18"/>
  <c r="AZ107" i="18"/>
  <c r="BE107" i="18"/>
  <c r="U107" i="18"/>
  <c r="CB107" i="18"/>
  <c r="S107" i="18"/>
  <c r="AO107" i="18"/>
  <c r="CJ107" i="18"/>
  <c r="CF107" i="18"/>
  <c r="CX107" i="18"/>
  <c r="CI107" i="18"/>
  <c r="CR107" i="18"/>
  <c r="J107" i="18"/>
  <c r="DD38" i="18"/>
  <c r="DD32" i="18"/>
  <c r="DD30" i="18"/>
  <c r="DD29" i="18"/>
  <c r="DD37" i="18"/>
  <c r="DD34" i="18"/>
  <c r="DD36" i="18"/>
  <c r="DD31" i="18"/>
  <c r="DD33" i="18"/>
  <c r="DD35" i="18"/>
  <c r="DD28" i="18"/>
  <c r="DE35" i="18"/>
  <c r="DE32" i="18"/>
  <c r="DE34" i="18"/>
  <c r="DE29" i="18"/>
  <c r="DE37" i="18"/>
  <c r="DE38" i="18"/>
  <c r="DE36" i="18"/>
  <c r="DE30" i="18"/>
  <c r="DE33" i="18"/>
  <c r="DE31" i="18"/>
  <c r="DE28" i="18"/>
  <c r="AA107" i="18"/>
  <c r="AV107" i="18"/>
  <c r="AM107" i="18"/>
  <c r="BR107" i="18"/>
  <c r="AC107" i="18"/>
  <c r="AI107" i="18"/>
  <c r="AY107" i="18"/>
  <c r="CE107" i="18"/>
  <c r="H107" i="18"/>
  <c r="F107" i="18"/>
  <c r="AK107" i="18"/>
  <c r="AX107" i="18"/>
  <c r="BH107" i="18"/>
  <c r="CQ107" i="18"/>
  <c r="T107" i="18"/>
  <c r="AE107" i="18"/>
  <c r="BI107" i="18"/>
  <c r="W107" i="18"/>
  <c r="CT107" i="18"/>
  <c r="D107" i="18"/>
  <c r="CA107" i="18"/>
  <c r="P107" i="18"/>
  <c r="AS107" i="18"/>
  <c r="BG107" i="18"/>
  <c r="CN107" i="18"/>
  <c r="AT107" i="18"/>
  <c r="K97" i="23"/>
  <c r="K93" i="23"/>
  <c r="K89" i="23"/>
  <c r="K85" i="23"/>
  <c r="K81" i="23"/>
  <c r="K77" i="23"/>
  <c r="K73" i="23"/>
  <c r="K69" i="23"/>
  <c r="K96" i="23"/>
  <c r="K92" i="23"/>
  <c r="K88" i="23"/>
  <c r="K84" i="23"/>
  <c r="K80" i="23"/>
  <c r="K76" i="23"/>
  <c r="K72" i="23"/>
  <c r="K99" i="23"/>
  <c r="K95" i="23"/>
  <c r="K91" i="23"/>
  <c r="K87" i="23"/>
  <c r="K83" i="23"/>
  <c r="K79" i="23"/>
  <c r="K75" i="23"/>
  <c r="K71" i="23"/>
  <c r="K98" i="23"/>
  <c r="K94" i="23"/>
  <c r="K90" i="23"/>
  <c r="K86" i="23"/>
  <c r="K82" i="23"/>
  <c r="K78" i="23"/>
  <c r="K74" i="23"/>
  <c r="K70" i="23"/>
  <c r="U43" i="23"/>
  <c r="U26" i="23"/>
  <c r="U35" i="23"/>
  <c r="U42" i="23"/>
  <c r="U39" i="23"/>
  <c r="U38" i="23"/>
  <c r="U19" i="23"/>
  <c r="U50" i="23"/>
  <c r="U47" i="23"/>
  <c r="U28" i="23"/>
  <c r="U27" i="23"/>
  <c r="U34" i="23"/>
  <c r="U20" i="23"/>
  <c r="U41" i="23"/>
  <c r="U30" i="23"/>
  <c r="U49" i="23"/>
  <c r="U23" i="23"/>
  <c r="U18" i="23"/>
  <c r="U24" i="23"/>
  <c r="U25" i="23"/>
  <c r="U37" i="23"/>
  <c r="U36" i="23"/>
  <c r="U22" i="23"/>
  <c r="U33" i="23"/>
  <c r="U45" i="23"/>
  <c r="U46" i="23"/>
  <c r="U31" i="23"/>
  <c r="U21" i="23"/>
  <c r="U44" i="23"/>
  <c r="U48" i="23"/>
  <c r="U32" i="23"/>
  <c r="U40" i="23"/>
  <c r="U29" i="23"/>
  <c r="U51" i="23"/>
  <c r="U17" i="23"/>
  <c r="V31" i="23"/>
  <c r="V18" i="23"/>
  <c r="V23" i="23"/>
  <c r="V34" i="23"/>
  <c r="V27" i="23"/>
  <c r="V46" i="23"/>
  <c r="V32" i="23"/>
  <c r="V45" i="23"/>
  <c r="V42" i="23"/>
  <c r="V35" i="23"/>
  <c r="V41" i="23"/>
  <c r="V48" i="23"/>
  <c r="V26" i="23"/>
  <c r="V28" i="23"/>
  <c r="V29" i="23"/>
  <c r="V37" i="23"/>
  <c r="V40" i="23"/>
  <c r="V49" i="23"/>
  <c r="V50" i="23"/>
  <c r="V51" i="23"/>
  <c r="V25" i="23"/>
  <c r="V44" i="23"/>
  <c r="V30" i="23"/>
  <c r="V21" i="23"/>
  <c r="V36" i="23"/>
  <c r="V33" i="23"/>
  <c r="V19" i="23"/>
  <c r="V17" i="23"/>
  <c r="V43" i="23"/>
  <c r="V39" i="23"/>
  <c r="V47" i="23"/>
  <c r="V38" i="23"/>
  <c r="V24" i="23"/>
  <c r="V22" i="23"/>
  <c r="V20" i="23"/>
  <c r="K143" i="23"/>
  <c r="K121" i="23"/>
  <c r="K127" i="23"/>
  <c r="K134" i="23"/>
  <c r="K115" i="23"/>
  <c r="K117" i="23"/>
  <c r="K141" i="23"/>
  <c r="K126" i="23"/>
  <c r="K132" i="23"/>
  <c r="K139" i="23"/>
  <c r="K130" i="23"/>
  <c r="K138" i="23"/>
  <c r="K112" i="23"/>
  <c r="K140" i="23"/>
  <c r="K124" i="23"/>
  <c r="K123" i="23"/>
  <c r="K129" i="23"/>
  <c r="K142" i="23"/>
  <c r="K118" i="23"/>
  <c r="K116" i="23"/>
  <c r="K131" i="23"/>
  <c r="K136" i="23"/>
  <c r="K111" i="23"/>
  <c r="K137" i="23"/>
  <c r="K119" i="23"/>
  <c r="K135" i="23"/>
  <c r="K122" i="23"/>
  <c r="K133" i="23"/>
  <c r="K125" i="23"/>
  <c r="K128" i="23"/>
  <c r="K113" i="23"/>
  <c r="K114" i="23"/>
  <c r="K120" i="23"/>
  <c r="N83" i="23"/>
  <c r="N98" i="23"/>
  <c r="N96" i="23"/>
  <c r="N94" i="23"/>
  <c r="N92" i="23"/>
  <c r="N90" i="23"/>
  <c r="N88" i="23"/>
  <c r="N86" i="23"/>
  <c r="N84" i="23"/>
  <c r="N82" i="23"/>
  <c r="N99" i="23"/>
  <c r="N97" i="23"/>
  <c r="N95" i="23"/>
  <c r="N93" i="23"/>
  <c r="N91" i="23"/>
  <c r="N89" i="23"/>
  <c r="N87" i="23"/>
  <c r="N85" i="23"/>
  <c r="N135" i="23"/>
  <c r="N125" i="23"/>
  <c r="S38" i="23"/>
  <c r="N133" i="23"/>
  <c r="N126" i="23"/>
  <c r="N143" i="23"/>
  <c r="N127" i="23"/>
  <c r="N137" i="23"/>
  <c r="N134" i="23"/>
  <c r="N140" i="23"/>
  <c r="N124" i="23"/>
  <c r="N142" i="23"/>
  <c r="N128" i="23"/>
  <c r="N132" i="23"/>
  <c r="N129" i="23"/>
  <c r="N131" i="23"/>
  <c r="N136" i="23"/>
  <c r="N130" i="23"/>
  <c r="N138" i="23"/>
  <c r="N141" i="23"/>
  <c r="N139" i="23"/>
  <c r="CG112" i="18"/>
  <c r="CK112" i="18"/>
  <c r="M112" i="18"/>
  <c r="BK112" i="18"/>
  <c r="AU112" i="18"/>
  <c r="BN112" i="18"/>
  <c r="AB112" i="18"/>
  <c r="AP112" i="18"/>
  <c r="BT112" i="18"/>
  <c r="AW112" i="18"/>
  <c r="N112" i="18"/>
  <c r="Z112" i="18"/>
  <c r="BW112" i="18"/>
  <c r="X112" i="18"/>
  <c r="CM112" i="18"/>
  <c r="BD112" i="18"/>
  <c r="U112" i="18"/>
  <c r="CJ112" i="18"/>
  <c r="CR112" i="18"/>
  <c r="AA112" i="18"/>
  <c r="AC112" i="18"/>
  <c r="H112" i="18"/>
  <c r="BH112" i="18"/>
  <c r="BI112" i="18"/>
  <c r="CA112" i="18"/>
  <c r="CN112" i="18"/>
  <c r="AD112" i="18"/>
  <c r="BC112" i="18"/>
  <c r="BF112" i="18"/>
  <c r="BO112" i="18"/>
  <c r="AQ112" i="18"/>
  <c r="L112" i="18"/>
  <c r="E112" i="18"/>
  <c r="BP112" i="18"/>
  <c r="BX112" i="18"/>
  <c r="AG112" i="18"/>
  <c r="BV112" i="18"/>
  <c r="BU112" i="18"/>
  <c r="BQ112" i="18"/>
  <c r="AF112" i="18"/>
  <c r="AH112" i="18"/>
  <c r="BB112" i="18"/>
  <c r="CB112" i="18"/>
  <c r="CF112" i="18"/>
  <c r="J112" i="18"/>
  <c r="AV112" i="18"/>
  <c r="AI112" i="18"/>
  <c r="F112" i="18"/>
  <c r="CQ112" i="18"/>
  <c r="W112" i="18"/>
  <c r="P112" i="18"/>
  <c r="AT112" i="18"/>
  <c r="BY112" i="18"/>
  <c r="C112" i="18"/>
  <c r="CW112" i="18"/>
  <c r="R112" i="18"/>
  <c r="I112" i="18"/>
  <c r="AL112" i="18"/>
  <c r="BS112" i="18"/>
  <c r="K112" i="18"/>
  <c r="V112" i="18"/>
  <c r="BJ112" i="18"/>
  <c r="CO112" i="18"/>
  <c r="AJ112" i="18"/>
  <c r="AN112" i="18"/>
  <c r="CP112" i="18"/>
  <c r="CD112" i="18"/>
  <c r="AZ112" i="18"/>
  <c r="S112" i="18"/>
  <c r="CX112" i="18"/>
  <c r="AM112" i="18"/>
  <c r="AY112" i="18"/>
  <c r="AK112" i="18"/>
  <c r="T112" i="18"/>
  <c r="CT112" i="18"/>
  <c r="AS112" i="18"/>
  <c r="BA112" i="18"/>
  <c r="CH112" i="18"/>
  <c r="CS112" i="18"/>
  <c r="BM112" i="18"/>
  <c r="CC112" i="18"/>
  <c r="Y112" i="18"/>
  <c r="BZ112" i="18"/>
  <c r="CV112" i="18"/>
  <c r="CL112" i="18"/>
  <c r="CU112" i="18"/>
  <c r="G112" i="18"/>
  <c r="Q112" i="18"/>
  <c r="AR112" i="18"/>
  <c r="BL112" i="18"/>
  <c r="O112" i="18"/>
  <c r="BE112" i="18"/>
  <c r="AO112" i="18"/>
  <c r="CI112" i="18"/>
  <c r="BR112" i="18"/>
  <c r="CE112" i="18"/>
  <c r="AX112" i="18"/>
  <c r="AE112" i="18"/>
  <c r="D112" i="18"/>
  <c r="BG112" i="18"/>
  <c r="O81" i="23"/>
  <c r="O79" i="23"/>
  <c r="O126" i="23"/>
  <c r="O137" i="23"/>
  <c r="O77" i="23"/>
  <c r="O75" i="23"/>
  <c r="O115" i="23"/>
  <c r="O131" i="23"/>
  <c r="O89" i="23"/>
  <c r="O87" i="23"/>
  <c r="O121" i="23"/>
  <c r="O142" i="23"/>
  <c r="S34" i="23"/>
  <c r="O99" i="23"/>
  <c r="O127" i="23"/>
  <c r="O118" i="23"/>
  <c r="O134" i="23"/>
  <c r="O91" i="23"/>
  <c r="O120" i="23"/>
  <c r="O140" i="23"/>
  <c r="O113" i="23"/>
  <c r="O96" i="23"/>
  <c r="O94" i="23"/>
  <c r="O138" i="23"/>
  <c r="O133" i="23"/>
  <c r="O92" i="23"/>
  <c r="O90" i="23"/>
  <c r="O132" i="23"/>
  <c r="O119" i="23"/>
  <c r="O73" i="23"/>
  <c r="O71" i="23"/>
  <c r="O117" i="23"/>
  <c r="O136" i="23"/>
  <c r="O85" i="23"/>
  <c r="O83" i="23"/>
  <c r="O141" i="23"/>
  <c r="O111" i="23"/>
  <c r="O122" i="23"/>
  <c r="O97" i="23"/>
  <c r="O116" i="23"/>
  <c r="O143" i="23"/>
  <c r="O129" i="23"/>
  <c r="O70" i="23"/>
  <c r="O84" i="23"/>
  <c r="O82" i="23"/>
  <c r="O80" i="23"/>
  <c r="O78" i="23"/>
  <c r="O123" i="23"/>
  <c r="O114" i="23"/>
  <c r="O76" i="23"/>
  <c r="O74" i="23"/>
  <c r="O112" i="23"/>
  <c r="O125" i="23"/>
  <c r="O88" i="23"/>
  <c r="O86" i="23"/>
  <c r="O139" i="23"/>
  <c r="O135" i="23"/>
  <c r="O69" i="23"/>
  <c r="O98" i="23"/>
  <c r="O130" i="23"/>
  <c r="O95" i="23"/>
  <c r="O93" i="23"/>
  <c r="O72" i="23"/>
  <c r="O128" i="23"/>
  <c r="O124" i="23"/>
  <c r="S67" i="23"/>
  <c r="U67" i="23" s="1" a="1"/>
  <c r="DE3" i="18" l="1" a="1"/>
  <c r="DE5" i="18" s="1"/>
  <c r="BG113" i="18"/>
  <c r="D113" i="18"/>
  <c r="AE113" i="18"/>
  <c r="AX113" i="18"/>
  <c r="CE113" i="18"/>
  <c r="BR113" i="18"/>
  <c r="CI113" i="18"/>
  <c r="AO113" i="18"/>
  <c r="BE113" i="18"/>
  <c r="O113" i="18"/>
  <c r="BL113" i="18"/>
  <c r="AR113" i="18"/>
  <c r="Q113" i="18"/>
  <c r="G113" i="18"/>
  <c r="CU113" i="18"/>
  <c r="CL113" i="18"/>
  <c r="CV113" i="18"/>
  <c r="BZ113" i="18"/>
  <c r="Y113" i="18"/>
  <c r="CC113" i="18"/>
  <c r="BM113" i="18"/>
  <c r="CS113" i="18"/>
  <c r="CH113" i="18"/>
  <c r="BA113" i="18"/>
  <c r="AS113" i="18"/>
  <c r="CT113" i="18"/>
  <c r="T113" i="18"/>
  <c r="AK113" i="18"/>
  <c r="AY113" i="18"/>
  <c r="AM113" i="18"/>
  <c r="CX113" i="18"/>
  <c r="S113" i="18"/>
  <c r="AZ113" i="18"/>
  <c r="CD113" i="18"/>
  <c r="CP113" i="18"/>
  <c r="AN113" i="18"/>
  <c r="AJ113" i="18"/>
  <c r="CO113" i="18"/>
  <c r="BJ113" i="18"/>
  <c r="V113" i="18"/>
  <c r="K113" i="18"/>
  <c r="BS113" i="18"/>
  <c r="AL113" i="18"/>
  <c r="I113" i="18"/>
  <c r="R113" i="18"/>
  <c r="CW113" i="18"/>
  <c r="C113" i="18"/>
  <c r="BY113" i="18"/>
  <c r="AT113" i="18"/>
  <c r="P113" i="18"/>
  <c r="W113" i="18"/>
  <c r="CQ113" i="18"/>
  <c r="F113" i="18"/>
  <c r="AI113" i="18"/>
  <c r="AV113" i="18"/>
  <c r="J113" i="18"/>
  <c r="CF113" i="18"/>
  <c r="CB113" i="18"/>
  <c r="BB113" i="18"/>
  <c r="AH113" i="18"/>
  <c r="AF113" i="18"/>
  <c r="BQ113" i="18"/>
  <c r="BU113" i="18"/>
  <c r="BV113" i="18"/>
  <c r="AG113" i="18"/>
  <c r="BX113" i="18"/>
  <c r="BP113" i="18"/>
  <c r="E113" i="18"/>
  <c r="L113" i="18"/>
  <c r="AQ113" i="18"/>
  <c r="BO113" i="18"/>
  <c r="BF113" i="18"/>
  <c r="BC113" i="18"/>
  <c r="AD113" i="18"/>
  <c r="CN113" i="18"/>
  <c r="CA113" i="18"/>
  <c r="BI113" i="18"/>
  <c r="BH113" i="18"/>
  <c r="H113" i="18"/>
  <c r="AC113" i="18"/>
  <c r="AA113" i="18"/>
  <c r="CR113" i="18"/>
  <c r="CJ113" i="18"/>
  <c r="U113" i="18"/>
  <c r="BD113" i="18"/>
  <c r="CM113" i="18"/>
  <c r="X113" i="18"/>
  <c r="BW113" i="18"/>
  <c r="Z113" i="18"/>
  <c r="N113" i="18"/>
  <c r="DW28" i="18"/>
  <c r="AW113" i="18"/>
  <c r="BT113" i="18"/>
  <c r="AP113" i="18"/>
  <c r="AB113" i="18"/>
  <c r="BN113" i="18"/>
  <c r="AU113" i="18"/>
  <c r="BK113" i="18"/>
  <c r="M113" i="18"/>
  <c r="CK113" i="18"/>
  <c r="CG113" i="18"/>
  <c r="DE9" i="18"/>
  <c r="DE15" i="18"/>
  <c r="DE16" i="18"/>
  <c r="DE11" i="18"/>
  <c r="DE6" i="18"/>
  <c r="DE13" i="18"/>
  <c r="DE19" i="18"/>
  <c r="DE3" i="18"/>
  <c r="DE8" i="18"/>
  <c r="DD4" i="18" a="1"/>
  <c r="U69" i="23"/>
  <c r="U73" i="23"/>
  <c r="U77" i="23"/>
  <c r="U81" i="23"/>
  <c r="U85" i="23"/>
  <c r="U89" i="23"/>
  <c r="U93" i="23"/>
  <c r="U70" i="23"/>
  <c r="U74" i="23"/>
  <c r="U78" i="23"/>
  <c r="U82" i="23"/>
  <c r="U86" i="23"/>
  <c r="U90" i="23"/>
  <c r="U94" i="23"/>
  <c r="U67" i="23"/>
  <c r="U71" i="23"/>
  <c r="U75" i="23"/>
  <c r="U79" i="23"/>
  <c r="U83" i="23"/>
  <c r="U87" i="23"/>
  <c r="U91" i="23"/>
  <c r="U95" i="23"/>
  <c r="U68" i="23"/>
  <c r="U72" i="23"/>
  <c r="U76" i="23"/>
  <c r="U80" i="23"/>
  <c r="U84" i="23"/>
  <c r="U88" i="23"/>
  <c r="U92" i="23"/>
  <c r="U96" i="23"/>
  <c r="P124" i="23"/>
  <c r="P95" i="23"/>
  <c r="P135" i="23"/>
  <c r="P125" i="23"/>
  <c r="P114" i="23"/>
  <c r="P82" i="23"/>
  <c r="P143" i="23"/>
  <c r="P111" i="23"/>
  <c r="P136" i="23"/>
  <c r="P119" i="23"/>
  <c r="P133" i="23"/>
  <c r="P113" i="23"/>
  <c r="P134" i="23"/>
  <c r="S35" i="23"/>
  <c r="P89" i="23"/>
  <c r="P77" i="23"/>
  <c r="P81" i="23"/>
  <c r="S82" i="23"/>
  <c r="P76" i="23"/>
  <c r="P73" i="23"/>
  <c r="P91" i="23"/>
  <c r="P87" i="23"/>
  <c r="P128" i="23"/>
  <c r="P130" i="23"/>
  <c r="P139" i="23"/>
  <c r="P112" i="23"/>
  <c r="P123" i="23"/>
  <c r="P84" i="23"/>
  <c r="P116" i="23"/>
  <c r="P141" i="23"/>
  <c r="P117" i="23"/>
  <c r="P132" i="23"/>
  <c r="P138" i="23"/>
  <c r="P140" i="23"/>
  <c r="P118" i="23"/>
  <c r="P142" i="23"/>
  <c r="P131" i="23"/>
  <c r="P137" i="23"/>
  <c r="P69" i="23"/>
  <c r="P80" i="23"/>
  <c r="P122" i="23"/>
  <c r="P92" i="23"/>
  <c r="P75" i="23"/>
  <c r="P72" i="23"/>
  <c r="P98" i="23"/>
  <c r="P86" i="23"/>
  <c r="P74" i="23"/>
  <c r="P78" i="23"/>
  <c r="P70" i="23"/>
  <c r="P97" i="23"/>
  <c r="P83" i="23"/>
  <c r="P71" i="23"/>
  <c r="P90" i="23"/>
  <c r="P94" i="23"/>
  <c r="P120" i="23"/>
  <c r="P127" i="23"/>
  <c r="P121" i="23"/>
  <c r="P115" i="23"/>
  <c r="P126" i="23"/>
  <c r="P93" i="23"/>
  <c r="P88" i="23"/>
  <c r="P129" i="23"/>
  <c r="P85" i="23"/>
  <c r="P96" i="23"/>
  <c r="P99" i="23"/>
  <c r="P79" i="23"/>
  <c r="S68" i="23"/>
  <c r="DE12" i="18" l="1"/>
  <c r="DE4" i="18"/>
  <c r="DE21" i="18"/>
  <c r="DE22" i="18" s="1"/>
  <c r="DE23" i="18" s="1"/>
  <c r="DE10" i="18"/>
  <c r="DE14" i="18"/>
  <c r="DE7" i="18"/>
  <c r="DE18" i="18"/>
  <c r="DE17" i="18"/>
  <c r="DE20" i="18"/>
  <c r="DN28" i="18" a="1"/>
  <c r="DN28" i="18" s="1"/>
  <c r="DL28" i="18" a="1"/>
  <c r="DL30" i="18" s="1"/>
  <c r="DN35" i="18"/>
  <c r="DN37" i="18"/>
  <c r="DN30" i="18"/>
  <c r="DM28" i="18" a="1"/>
  <c r="DI28" i="18" a="1"/>
  <c r="DO28" i="18" a="1"/>
  <c r="DJ28" i="18" a="1"/>
  <c r="DH28" i="18" a="1"/>
  <c r="DQ28" i="18" a="1"/>
  <c r="DD6" i="18"/>
  <c r="DD7" i="18"/>
  <c r="DD9" i="18"/>
  <c r="DD8" i="18"/>
  <c r="DD21" i="18"/>
  <c r="DD22" i="18"/>
  <c r="DD19" i="18"/>
  <c r="DD4" i="18"/>
  <c r="DD20" i="18"/>
  <c r="DD18" i="18"/>
  <c r="DD14" i="18"/>
  <c r="DD10" i="18"/>
  <c r="DD17" i="18"/>
  <c r="DD5" i="18"/>
  <c r="DD11" i="18"/>
  <c r="DD12" i="18"/>
  <c r="DD13" i="18"/>
  <c r="DD15" i="18"/>
  <c r="DD16" i="18"/>
  <c r="DK28" i="18" a="1"/>
  <c r="DP28" i="18" a="1"/>
  <c r="S89" i="23"/>
  <c r="V67" i="23" a="1"/>
  <c r="S85" i="23"/>
  <c r="S86" i="23"/>
  <c r="DL36" i="18" l="1"/>
  <c r="DN31" i="18"/>
  <c r="DN34" i="18"/>
  <c r="DL34" i="18"/>
  <c r="DN33" i="18"/>
  <c r="DN29" i="18"/>
  <c r="DL32" i="18"/>
  <c r="DL29" i="18"/>
  <c r="DL28" i="18"/>
  <c r="DL37" i="18"/>
  <c r="DL31" i="18"/>
  <c r="DL35" i="18"/>
  <c r="DN32" i="18"/>
  <c r="DN36" i="18"/>
  <c r="DL33" i="18"/>
  <c r="DP31" i="18"/>
  <c r="DP36" i="18"/>
  <c r="DP37" i="18"/>
  <c r="DP35" i="18"/>
  <c r="DP28" i="18"/>
  <c r="DP30" i="18"/>
  <c r="DP32" i="18"/>
  <c r="DP34" i="18"/>
  <c r="DP29" i="18"/>
  <c r="DP33" i="18"/>
  <c r="DH31" i="18"/>
  <c r="DH34" i="18"/>
  <c r="DH36" i="18"/>
  <c r="DH28" i="18"/>
  <c r="DH30" i="18"/>
  <c r="DH32" i="18"/>
  <c r="DH33" i="18"/>
  <c r="DH35" i="18"/>
  <c r="DH37" i="18"/>
  <c r="DH29" i="18"/>
  <c r="DM35" i="18"/>
  <c r="DM36" i="18"/>
  <c r="DM34" i="18"/>
  <c r="DM37" i="18"/>
  <c r="DM32" i="18"/>
  <c r="DM29" i="18"/>
  <c r="DM30" i="18"/>
  <c r="DM31" i="18"/>
  <c r="DM28" i="18"/>
  <c r="DM33" i="18"/>
  <c r="DK28" i="18"/>
  <c r="DK29" i="18"/>
  <c r="DK32" i="18"/>
  <c r="DK30" i="18"/>
  <c r="DK31" i="18"/>
  <c r="DK36" i="18"/>
  <c r="DK37" i="18"/>
  <c r="DK35" i="18"/>
  <c r="DK33" i="18"/>
  <c r="DK34" i="18"/>
  <c r="DQ31" i="18"/>
  <c r="DQ28" i="18"/>
  <c r="DQ35" i="18"/>
  <c r="DQ33" i="18"/>
  <c r="DQ36" i="18"/>
  <c r="DQ32" i="18"/>
  <c r="DQ37" i="18"/>
  <c r="DQ29" i="18"/>
  <c r="DQ30" i="18"/>
  <c r="DQ34" i="18"/>
  <c r="DJ32" i="18"/>
  <c r="DJ31" i="18"/>
  <c r="DJ34" i="18"/>
  <c r="DJ36" i="18"/>
  <c r="DJ37" i="18"/>
  <c r="DJ33" i="18"/>
  <c r="DJ30" i="18"/>
  <c r="DJ35" i="18"/>
  <c r="DJ29" i="18"/>
  <c r="DJ28" i="18"/>
  <c r="DO32" i="18"/>
  <c r="DO33" i="18"/>
  <c r="DO36" i="18"/>
  <c r="DO30" i="18"/>
  <c r="DO29" i="18"/>
  <c r="DO31" i="18"/>
  <c r="DO37" i="18"/>
  <c r="DO35" i="18"/>
  <c r="DO34" i="18"/>
  <c r="DO28" i="18"/>
  <c r="DI31" i="18"/>
  <c r="DI36" i="18"/>
  <c r="DI35" i="18"/>
  <c r="DI29" i="18"/>
  <c r="DI30" i="18"/>
  <c r="DI28" i="18"/>
  <c r="DI33" i="18"/>
  <c r="DI34" i="18"/>
  <c r="DI37" i="18"/>
  <c r="DI32" i="18"/>
  <c r="V70" i="23"/>
  <c r="V74" i="23"/>
  <c r="V78" i="23"/>
  <c r="V82" i="23"/>
  <c r="V86" i="23"/>
  <c r="V90" i="23"/>
  <c r="V94" i="23"/>
  <c r="V67" i="23"/>
  <c r="V71" i="23"/>
  <c r="V75" i="23"/>
  <c r="V79" i="23"/>
  <c r="V83" i="23"/>
  <c r="V87" i="23"/>
  <c r="V91" i="23"/>
  <c r="V95" i="23"/>
  <c r="V68" i="23"/>
  <c r="V72" i="23"/>
  <c r="V76" i="23"/>
  <c r="V80" i="23"/>
  <c r="V84" i="23"/>
  <c r="V88" i="23"/>
  <c r="V92" i="23"/>
  <c r="V96" i="23"/>
  <c r="V69" i="23"/>
  <c r="V73" i="23"/>
  <c r="V77" i="23"/>
  <c r="V81" i="23"/>
  <c r="V85" i="23"/>
  <c r="V89" i="23"/>
  <c r="V93" i="23"/>
  <c r="S109" i="23"/>
  <c r="U111" i="23" a="1"/>
  <c r="S124" i="23"/>
  <c r="S110" i="23"/>
  <c r="V111" i="23" a="1"/>
  <c r="V115" i="23" l="1"/>
  <c r="V137" i="23"/>
  <c r="V116" i="23"/>
  <c r="V122" i="23"/>
  <c r="V119" i="23"/>
  <c r="V127" i="23"/>
  <c r="V125" i="23"/>
  <c r="V131" i="23"/>
  <c r="V139" i="23"/>
  <c r="V133" i="23"/>
  <c r="V130" i="23"/>
  <c r="V123" i="23"/>
  <c r="V120" i="23"/>
  <c r="V113" i="23"/>
  <c r="V140" i="23"/>
  <c r="V128" i="23"/>
  <c r="V134" i="23"/>
  <c r="V135" i="23"/>
  <c r="V132" i="23"/>
  <c r="V111" i="23"/>
  <c r="V117" i="23"/>
  <c r="V136" i="23"/>
  <c r="V138" i="23"/>
  <c r="V126" i="23"/>
  <c r="V112" i="23"/>
  <c r="V114" i="23"/>
  <c r="V124" i="23"/>
  <c r="V121" i="23"/>
  <c r="V129" i="23"/>
  <c r="V118" i="23"/>
  <c r="U118" i="23"/>
  <c r="U139" i="23"/>
  <c r="U124" i="23"/>
  <c r="U133" i="23"/>
  <c r="U116" i="23"/>
  <c r="U137" i="23"/>
  <c r="U121" i="23"/>
  <c r="U112" i="23"/>
  <c r="U117" i="23"/>
  <c r="U127" i="23"/>
  <c r="U128" i="23"/>
  <c r="U115" i="23"/>
  <c r="U113" i="23"/>
  <c r="U138" i="23"/>
  <c r="U135" i="23"/>
  <c r="U140" i="23"/>
  <c r="U134" i="23"/>
  <c r="U136" i="23"/>
  <c r="U111" i="23"/>
  <c r="U131" i="23"/>
  <c r="U123" i="23"/>
  <c r="U119" i="23"/>
  <c r="U122" i="23"/>
  <c r="U130" i="23"/>
  <c r="U120" i="23"/>
  <c r="U129" i="23"/>
  <c r="U132" i="23"/>
  <c r="U114" i="23"/>
  <c r="U125" i="23"/>
  <c r="U126" i="23"/>
  <c r="S131" i="23"/>
  <c r="S127" i="23"/>
  <c r="S128" i="23" s="1"/>
</calcChain>
</file>

<file path=xl/comments1.xml><?xml version="1.0" encoding="utf-8"?>
<comments xmlns="http://schemas.openxmlformats.org/spreadsheetml/2006/main">
  <authors>
    <author>Schöbl, Sebastian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Schöbl, Sebastian:</t>
        </r>
        <r>
          <rPr>
            <sz val="9"/>
            <color indexed="81"/>
            <rFont val="Tahoma"/>
            <family val="2"/>
          </rPr>
          <t xml:space="preserve">
For this entry, there is a corresponding index within the "Indices" sheet.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C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8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8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18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9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2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6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7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69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G69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H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69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6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7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3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7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7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8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7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11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G111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H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11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1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5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20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1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I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D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E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F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G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H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I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J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K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L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M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N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O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P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Q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R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S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T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U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V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W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X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Y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Z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A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B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C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D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E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F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G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H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I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J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K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L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M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N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O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P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Q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R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S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T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U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V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W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X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Y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Z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A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B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C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D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E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F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G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H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I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J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K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L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M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N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O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P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Q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R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S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T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U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V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W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X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Y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Z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A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B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C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D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E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F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G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H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I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J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K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L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M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N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O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P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Q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R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S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T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U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V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W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X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E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F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G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H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I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J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K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L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M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N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O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P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Q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R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S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T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U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V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W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X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Y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Z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A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B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C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D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E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F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G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H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I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J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K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L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M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N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O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P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Q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R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S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T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U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V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W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X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Y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Z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A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B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C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D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E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F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G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H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I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J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K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L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M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N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O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P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Q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R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S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T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U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V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W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X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Y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Z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A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B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C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D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E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F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G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H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I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J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K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L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M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N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O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P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Q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R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S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T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U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W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X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E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F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G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H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K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L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M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P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Q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R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S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V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W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X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Y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Z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A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B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C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D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E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F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G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H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I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J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L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O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P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Q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R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S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U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V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W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X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Y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Z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A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B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C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D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E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F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G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H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I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J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K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L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M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O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P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Q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R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S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U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V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W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X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Y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Z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A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B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C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D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E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F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G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H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I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J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K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L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M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O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P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Q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R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S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U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V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X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E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K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L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M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N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Q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R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T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W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X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Y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Z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A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B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C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D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E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G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H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I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J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K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M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P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Q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R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T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V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W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X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Y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Z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A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B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C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D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E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G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H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I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J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K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L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M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N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P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Q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R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T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V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W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X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Y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Z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A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B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C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D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E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G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H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I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J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K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L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M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N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P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Q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R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T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V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W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E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F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G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H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I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K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L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O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R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S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T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U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X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Y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Z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A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B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C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D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E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F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G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H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I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K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L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N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Q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R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S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T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U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W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X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Y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Z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A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B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C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D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E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F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G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H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I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K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L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M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N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O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Q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R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S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T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U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W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X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Y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Z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A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B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C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D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E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F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G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H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I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K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L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M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N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O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Q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R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S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T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U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W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X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E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F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G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H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I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J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K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L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M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N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O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P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S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T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U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V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Y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Z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A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B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C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D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E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F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G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H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I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J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K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L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M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O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R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S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T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U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V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X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Y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Z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A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B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C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D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E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F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G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H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I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J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K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L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M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N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O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P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R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S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T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U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V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X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Y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Z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A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B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C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D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E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F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G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H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I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J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K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L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M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N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O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P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R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S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T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U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V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X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E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F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G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H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K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L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M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N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O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P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Q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U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V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W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Y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Z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A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B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C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D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G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H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I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J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K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L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M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N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P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S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T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U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V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W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Y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Z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A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B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C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D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E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F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G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H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I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J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K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L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M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N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O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P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Q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S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T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U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V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W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Y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Z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A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B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C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D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E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F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G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H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I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J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K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L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M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N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O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P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Q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S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T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U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V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W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E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F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G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H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I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J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K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L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M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N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O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P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Q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R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S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T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U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V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W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X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Y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Z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A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B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C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D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E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F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G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H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I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J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K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L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M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N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O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Q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S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T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U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V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W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X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Y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Z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A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B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C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D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E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F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G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H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I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J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K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L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M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N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O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P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Q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R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S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T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U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V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W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X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Y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Z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A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B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C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D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E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F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G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H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I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J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K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L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M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N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O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P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Q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R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S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T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U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V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W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X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E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F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G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H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I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J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K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L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M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N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O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P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Q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R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S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T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U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V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W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X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Y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Z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A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B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C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D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E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F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G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H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I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J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K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L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M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N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O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P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R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T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U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V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W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X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Y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Z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A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B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C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D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E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F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G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H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I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J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K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L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M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N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O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P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Q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R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S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T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U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V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W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X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Y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Z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A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B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C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D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E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F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G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H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I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J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K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L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M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N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O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P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Q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R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S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T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U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V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W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X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E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F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G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H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I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J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K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L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M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N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O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P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Q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R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S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T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U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V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W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X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Y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Z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A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B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C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D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E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F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G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H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I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J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K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L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M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N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O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P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Q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S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U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V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W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X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Y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Z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A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B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C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D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E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F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G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H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I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J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K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L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M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N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O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P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Q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R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S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T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U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V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W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X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Y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Z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A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B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C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D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E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F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G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H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I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J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K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L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M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N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O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P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Q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R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S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T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U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V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W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X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D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E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F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G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H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I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J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K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L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M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N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O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P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Q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R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S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T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U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V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W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X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Y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Z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A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B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C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D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E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F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G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H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I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J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K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L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M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N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O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P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Q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R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S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T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U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V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W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X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Y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Z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A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B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C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D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E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F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G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H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I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J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K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L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M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N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O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P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Q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R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S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T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U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V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W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X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Y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Z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A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B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C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D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E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F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G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H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I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J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K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L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M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N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O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P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Q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R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S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T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U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V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W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X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E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F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G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H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I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J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K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L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M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N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O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P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Q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R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S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T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U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V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W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X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Y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Z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A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B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C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D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E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F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G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H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I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J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K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L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M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N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O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P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Q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R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S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T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U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V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W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X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Y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Z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A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B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C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D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E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F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G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H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I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J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K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L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M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N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O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P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Q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R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S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T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U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V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W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X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Y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Z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A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B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C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D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E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F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G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H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I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J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K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L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M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N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O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P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Q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R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S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T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U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W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X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E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F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G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H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K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L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M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P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Q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R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S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V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W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X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Y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Z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A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B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C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D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E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F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G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H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I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J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L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O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P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Q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R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S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U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V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W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X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Y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Z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A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B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C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D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E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F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G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H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I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J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K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L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M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O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P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Q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R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S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U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V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W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X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Y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Z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A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B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C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D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E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F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G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H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I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J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K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L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M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O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P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Q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R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S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U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V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X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E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K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L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M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N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Q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R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S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T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W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X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Y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Z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A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B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C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D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E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G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H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I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J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K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M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P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Q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R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S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T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V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W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X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Y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Z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A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B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C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D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E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G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H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I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J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K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L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M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N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P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Q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R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S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T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V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W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X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Y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Z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A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B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C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D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E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G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H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I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J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K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L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M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N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P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Q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R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S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T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V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W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E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F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G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H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I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K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L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O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R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S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T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U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X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Y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Z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A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B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C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D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E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F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G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H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I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K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L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N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Q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R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S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T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U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W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X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Y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Z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A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B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C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D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E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F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G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H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I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K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L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M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N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O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Q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R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S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T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U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W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X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Y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Z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A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B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C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D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E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F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G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H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I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K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L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M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N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O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Q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R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S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T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U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W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X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E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F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G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H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I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J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K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L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M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N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O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P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S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T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U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V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Y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Z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A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B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C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D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E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F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G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H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I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J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K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L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M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O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R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S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T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U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V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X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Y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Z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A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B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C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D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E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F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G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H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I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J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K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L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M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N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O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P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R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S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T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U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V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X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Y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Z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A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B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C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D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E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F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G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H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I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J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K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L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M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N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O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P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R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S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T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U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V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X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E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F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G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H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K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L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M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N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O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P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Q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U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V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W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Y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Z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A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B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C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D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G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H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I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J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K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L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M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N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P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S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T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U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V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W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Y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Z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A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B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C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D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E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F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G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H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I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J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K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L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M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N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O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P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Q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S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T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U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V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W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Y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Z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A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B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C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D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E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F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G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H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I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J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K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L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M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N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O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P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Q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S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T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U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V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W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E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F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G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H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I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J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K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L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M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N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O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P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Q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R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S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T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U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V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W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X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Y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Z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A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B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C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D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E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F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G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H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I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J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K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L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M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N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O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Q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S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T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U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V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W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X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Y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Z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A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B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C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D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E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F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G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H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I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J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K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L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M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N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O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P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Q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R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S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T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U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V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W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X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Y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Z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A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B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C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D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E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F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G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H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I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J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K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L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M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N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O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P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Q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R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S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T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U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V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W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X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E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F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G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H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I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J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K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L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M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N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O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P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Q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R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S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T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U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V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W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X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Y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Z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A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B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C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D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E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F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G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H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I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J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K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L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M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N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O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P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R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T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U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V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W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X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Y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Z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A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B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C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D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E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F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G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H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I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J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K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L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M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N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O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P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Q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R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S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T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U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V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W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X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Y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Z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A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B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C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D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E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F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G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H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I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J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K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L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M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N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O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P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Q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R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S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T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U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V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W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X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E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F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G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H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I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J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K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L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M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N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O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P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Q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R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S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T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U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V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W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X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Y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Z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A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B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C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D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E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F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G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H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I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J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K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L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M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N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O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P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Q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S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U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V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W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X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Y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Z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A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B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C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D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E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F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G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H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I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J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K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L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M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N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O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P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Q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R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S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T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U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V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W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X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Y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Z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A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B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C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D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E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F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G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H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I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J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K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L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M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N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O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P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Q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R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S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T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U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V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W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X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D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E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G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H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I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J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K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L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M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N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O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P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Q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R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S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T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U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V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W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X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Y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Z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A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B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C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D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E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H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I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J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K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L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M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N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O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P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Q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R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S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T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U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V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W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X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Y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Z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A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B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C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D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E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G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H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I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J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K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L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M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N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O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P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Q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R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S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T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U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V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W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X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Y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Z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A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B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C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D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E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G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H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I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J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K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L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M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N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O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P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Q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R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S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T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U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V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W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X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D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E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F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H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I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J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K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L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M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N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O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P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Q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R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S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T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U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V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W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X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Y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Z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A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B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C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D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E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F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H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K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L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M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N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O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P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Q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R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S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T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U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V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W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X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Y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Z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A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B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C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D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E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F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H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I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J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K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L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M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N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O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P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Q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R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S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T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U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V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W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X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Y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Z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A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B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C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D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E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F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H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I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J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K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L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M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N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O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P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Q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R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S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T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U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V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W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X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D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E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F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G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H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I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J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K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L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M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N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O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P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Q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R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S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T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U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V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W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X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Y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Z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A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B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C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D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E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F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G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H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I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J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K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L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M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N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O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P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Q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R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S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T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U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V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W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X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Y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Z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A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B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C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D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E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F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G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H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I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J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K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L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M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N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O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P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Q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R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S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T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U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V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W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X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Y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Z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A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B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C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D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E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F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G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H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I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J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K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L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M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N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O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P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Q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R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S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T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U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V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W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X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D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E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F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G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H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I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J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K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L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M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N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O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P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Q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R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S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T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U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V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W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X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Y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Z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A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B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C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D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E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F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G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H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I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J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K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L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M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N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O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P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Q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R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S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T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U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V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W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X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Y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Z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A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B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C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D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E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F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G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H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I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J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K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L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M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N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O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P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Q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R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S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T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U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V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W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X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Y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Z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A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B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C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D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E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F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G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H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I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J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K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L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M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N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O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P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Q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R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S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T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U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V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W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X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D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E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F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G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H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I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J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K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L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M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N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O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P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Q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R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S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T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U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V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W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X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Y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Z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A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B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C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D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E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F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G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H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I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J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K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L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M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N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O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P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Q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R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S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T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U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V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W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X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Y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Z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A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B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C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D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E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F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G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H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I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J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K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L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M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N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O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P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Q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R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S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T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U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V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W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X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Y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Z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A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B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C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D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E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F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G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H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I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J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K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L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M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N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O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P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Q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R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S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T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U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V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W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X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D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E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F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G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H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I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J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K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L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M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N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O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P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Q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R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S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T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U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V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W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X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Y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Z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A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B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C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D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E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F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G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H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I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J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K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L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M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N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O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P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Q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R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S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T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U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V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W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X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Y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Z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A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B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C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D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E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F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G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H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I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J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K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L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M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N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O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P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Q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R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S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T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U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V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W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X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Y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Z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A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B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C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D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E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F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G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H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I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J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K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L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M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N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O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P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Q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R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S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T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U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V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W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X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D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E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F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H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I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J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M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N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O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P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Q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R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T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U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V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W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X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Y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Z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A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B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C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D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E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F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G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H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I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J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K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L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M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N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O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P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Q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R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S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T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U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V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W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X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Y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Z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A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B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C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D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E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F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G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H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I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J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K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L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M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N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O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P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Q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R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S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T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U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V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W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X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Y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Z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A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B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C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D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E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F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G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H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I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J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K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L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M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N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O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P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Q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R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S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T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U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V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W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X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D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E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F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G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H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I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J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K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L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M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N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O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P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Q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R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S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T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U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V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W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X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Y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Z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A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B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C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D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E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F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G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H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I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J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K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L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M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N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O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P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Q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R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S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T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U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V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W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X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Y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Z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A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B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C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D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E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F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G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H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I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J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K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L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M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N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O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P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Q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R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S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T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U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V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W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X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Y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Z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A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B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C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D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E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F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G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H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I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J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K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L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M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N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O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P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Q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R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S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T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U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V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W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X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D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E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F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G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H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I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J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K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L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M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N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O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P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Q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R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S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T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U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V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W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X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Y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Z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A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B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C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D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E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F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G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H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I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J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K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L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M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N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O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P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Q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R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S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T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U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V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W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X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Y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Z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A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B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C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D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E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F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G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H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I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J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K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L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M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N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O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P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Q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R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S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T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U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V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W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X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Y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Z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A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B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C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D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E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F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G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H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I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J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K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L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M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N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O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P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Q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R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S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T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U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V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W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X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D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E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F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G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H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I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J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K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L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M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N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O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P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Q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R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S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T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U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V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W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X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Y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Z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A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B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C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D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E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F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G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H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I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J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K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L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M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N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O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P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Q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R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S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T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U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V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W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X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Y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Z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A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B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C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D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E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F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G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H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I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J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K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L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M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N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O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P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Q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R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S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T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U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V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W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X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Y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Z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A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B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C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D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E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F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G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H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I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J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K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L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M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N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O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P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Q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R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S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T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U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V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W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X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D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E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F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G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H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I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J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K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L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M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N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O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P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Q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R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S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T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U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V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W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X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Y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Z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A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B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C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D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E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F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G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H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I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J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K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L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M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N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O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P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Q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R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S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T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U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V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W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X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Y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Z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A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B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C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D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E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F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G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H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I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J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K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L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M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N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O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P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Q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R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S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T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U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V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W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X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Y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Z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A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B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C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D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E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F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G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H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I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J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K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L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M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N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O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P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Q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R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S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T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U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V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W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X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D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E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F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G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H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I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J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K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L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M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N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O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P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Q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R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S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T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U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V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W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X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Y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Z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A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B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C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D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E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F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G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H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I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J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K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L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M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N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O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P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Q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R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S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T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U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V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W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X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Y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Z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A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B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C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D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E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F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G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H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I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J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K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L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M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N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O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P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Q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R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S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T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U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V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W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X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Y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Z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A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B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C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D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E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F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G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H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I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J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K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L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M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N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O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P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Q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R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S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T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U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V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W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X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D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E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F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G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H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K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L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M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N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O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P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Q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R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S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T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U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V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W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X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Y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Z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A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B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C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D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E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F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G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H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I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K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L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M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N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O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P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Q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R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S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T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U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V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W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X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Y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Z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A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B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C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D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E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F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G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H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I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K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L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M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N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O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P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Q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R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S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T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U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V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W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X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Y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Z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A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B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C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D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E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F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G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H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I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K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L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M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N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O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P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Q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R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S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T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U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V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W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X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D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E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F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G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H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I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J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K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L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M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N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O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P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Q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R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S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T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U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V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W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X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Y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Z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A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B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C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D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E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F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G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H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I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J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K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L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M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N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O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P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Q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R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S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T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U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V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W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X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Y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Z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A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B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C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D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E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F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G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H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I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J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K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L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M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N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O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P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Q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R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S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T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U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V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W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X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Y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Z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A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B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C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D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E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F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G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H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I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J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K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L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M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N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O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P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Q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R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S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T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U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V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W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X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D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E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F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G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H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I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J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K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L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M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N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O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P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Q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R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S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T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U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V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W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X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Y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Z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A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B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C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D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E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F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G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H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I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J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K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L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M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N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O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P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Q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R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S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T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U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V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W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X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Y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Z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A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B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C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D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E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F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G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H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I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J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K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L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M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N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O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P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Q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R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S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T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U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V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W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X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Y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Z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A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B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C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D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E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F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G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H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I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J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K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L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M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N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O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P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Q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R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S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T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U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V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W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X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C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18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19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25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26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27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2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29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34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35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41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42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43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44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45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5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54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55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56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57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5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9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60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61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62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6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69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7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7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78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79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81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82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8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89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91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92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6.xml><?xml version="1.0" encoding="utf-8"?>
<comments xmlns="http://schemas.openxmlformats.org/spreadsheetml/2006/main">
  <authors>
    <author>Ferdinando Ametrano</author>
  </authors>
  <commentList>
    <comment ref="O3" authorId="0">
      <text>
        <r>
          <rPr>
            <sz val="8"/>
            <color indexed="81"/>
            <rFont val="Tahoma"/>
            <family val="2"/>
          </rPr>
          <t>Cms Coupon Pricer Type (e.g ConundrumByBlack, ConundrumByNumericalIntegration, ClassicalAnaliticalFormula)</t>
        </r>
      </text>
    </comment>
    <comment ref="P3" authorId="0">
      <text>
        <r>
          <rPr>
            <sz val="8"/>
            <color indexed="81"/>
            <rFont val="Tahoma"/>
            <family val="2"/>
          </rPr>
          <t>model of the yield curve (e.g Standard, ExactYield, ParallelShifts, NonParallelShifts)</t>
        </r>
      </text>
    </comment>
    <comment ref="Q3" authorId="0">
      <text>
        <r>
          <rPr>
            <sz val="8"/>
            <color indexed="81"/>
            <rFont val="Tahoma"/>
            <family val="2"/>
          </rPr>
          <t>mean reversion quote.</t>
        </r>
      </text>
    </comment>
    <comment ref="W3" authorId="0">
      <text>
        <r>
          <rPr>
            <sz val="8"/>
            <color indexed="81"/>
            <rFont val="Tahoma"/>
            <family val="2"/>
          </rPr>
          <t>Cms Coupon Pricer Type (e.g ConundrumByBlack, ConundrumByNumericalIntegration, ClassicalAnaliticalFormula)</t>
        </r>
      </text>
    </comment>
    <comment ref="X3" authorId="0">
      <text>
        <r>
          <rPr>
            <sz val="8"/>
            <color indexed="81"/>
            <rFont val="Tahoma"/>
            <family val="2"/>
          </rPr>
          <t>model of the yield curve (e.g Standard, ExactYield, ParallelShifts, NonParallelShifts)</t>
        </r>
      </text>
    </comment>
    <comment ref="Y3" authorId="0">
      <text>
        <r>
          <rPr>
            <sz val="8"/>
            <color indexed="81"/>
            <rFont val="Tahoma"/>
            <family val="2"/>
          </rPr>
          <t>mean reversion quote.</t>
        </r>
      </text>
    </comment>
    <comment ref="AE3" authorId="0">
      <text>
        <r>
          <rPr>
            <sz val="8"/>
            <color indexed="81"/>
            <rFont val="Tahoma"/>
            <family val="2"/>
          </rPr>
          <t>Cms Coupon Pricer Type (e.g ConundrumByBlack, ConundrumByNumericalIntegration, ClassicalAnaliticalFormula)</t>
        </r>
      </text>
    </comment>
    <comment ref="AF3" authorId="0">
      <text>
        <r>
          <rPr>
            <sz val="8"/>
            <color indexed="81"/>
            <rFont val="Tahoma"/>
            <family val="2"/>
          </rPr>
          <t>model of the yield curve (e.g Standard, ExactYield, ParallelShifts, NonParallelShifts)</t>
        </r>
      </text>
    </comment>
    <comment ref="AG3" authorId="0">
      <text>
        <r>
          <rPr>
            <sz val="8"/>
            <color indexed="81"/>
            <rFont val="Tahoma"/>
            <family val="2"/>
          </rPr>
          <t>mean reversion quote.</t>
        </r>
      </text>
    </comment>
    <comment ref="AM3" authorId="0">
      <text>
        <r>
          <rPr>
            <sz val="8"/>
            <color indexed="81"/>
            <rFont val="Tahoma"/>
            <family val="2"/>
          </rPr>
          <t>Cms Coupon Pricer Type (e.g ConundrumByBlack, ConundrumByNumericalIntegration, ClassicalAnaliticalFormula)</t>
        </r>
      </text>
    </comment>
    <comment ref="AN3" authorId="0">
      <text>
        <r>
          <rPr>
            <sz val="8"/>
            <color indexed="81"/>
            <rFont val="Tahoma"/>
            <family val="2"/>
          </rPr>
          <t>model of the yield curve (e.g Standard, ExactYield, ParallelShifts, NonParallelShifts)</t>
        </r>
      </text>
    </comment>
    <comment ref="AO3" authorId="0">
      <text>
        <r>
          <rPr>
            <sz val="8"/>
            <color indexed="81"/>
            <rFont val="Tahoma"/>
            <family val="2"/>
          </rPr>
          <t>mean reversion quote.</t>
        </r>
      </text>
    </comment>
  </commentList>
</comments>
</file>

<file path=xl/sharedStrings.xml><?xml version="1.0" encoding="utf-8"?>
<sst xmlns="http://schemas.openxmlformats.org/spreadsheetml/2006/main" count="16359" uniqueCount="1787">
  <si>
    <t>Clear Repository</t>
  </si>
  <si>
    <t>Eval.Date</t>
  </si>
  <si>
    <t>ObjectID</t>
  </si>
  <si>
    <t>Calendar</t>
  </si>
  <si>
    <t>Convention</t>
  </si>
  <si>
    <t>Error</t>
  </si>
  <si>
    <t>Tenor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</si>
  <si>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</si>
  <si>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</si>
  <si>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</si>
  <si>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</si>
  <si>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</si>
  <si>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</si>
  <si>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</si>
  <si>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</si>
  <si>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</si>
  <si>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</si>
  <si>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</si>
  <si>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Dates</t>
  </si>
  <si>
    <t>6M</t>
  </si>
  <si>
    <t>TARGET</t>
  </si>
  <si>
    <t>Modified Following</t>
  </si>
  <si>
    <t>Actual/360</t>
  </si>
  <si>
    <t>1M</t>
  </si>
  <si>
    <t>Target</t>
  </si>
  <si>
    <t>30/360 (Bond Basis)</t>
  </si>
  <si>
    <t>3M</t>
  </si>
  <si>
    <t>12Y</t>
  </si>
  <si>
    <t>DCC</t>
  </si>
  <si>
    <t>Actual/365 (Fixed)</t>
  </si>
  <si>
    <t>Permanent</t>
  </si>
  <si>
    <t>Traits</t>
  </si>
  <si>
    <t>Trigger</t>
  </si>
  <si>
    <t>Interpolator</t>
  </si>
  <si>
    <t>OverWrite</t>
  </si>
  <si>
    <t>Euribor-Index</t>
  </si>
  <si>
    <t>6M-Euribor</t>
  </si>
  <si>
    <t>FwdCurve</t>
  </si>
  <si>
    <t>EONIA-Curve</t>
  </si>
  <si>
    <t>FixedSchedule</t>
  </si>
  <si>
    <t>VanillaSwap</t>
  </si>
  <si>
    <t>SetEngine</t>
  </si>
  <si>
    <t>Forward</t>
  </si>
  <si>
    <t>Engine</t>
  </si>
  <si>
    <t>Physical</t>
  </si>
  <si>
    <t>=ohRepositoryDeleteAllObjects(TRUE)</t>
  </si>
  <si>
    <t>FixedRate</t>
  </si>
  <si>
    <t>SwapTerm</t>
  </si>
  <si>
    <t>Today</t>
  </si>
  <si>
    <t>Annuity</t>
  </si>
  <si>
    <t>HullWhiteModel</t>
  </si>
  <si>
    <t>DiscountCurve</t>
  </si>
  <si>
    <t>MeanReversion</t>
  </si>
  <si>
    <t>VolaTimes</t>
  </si>
  <si>
    <t>VolaValues</t>
  </si>
  <si>
    <t>Receiver</t>
  </si>
  <si>
    <t>BondOptionEngine</t>
  </si>
  <si>
    <t>Dimension</t>
  </si>
  <si>
    <t>GridRadius</t>
  </si>
  <si>
    <t>BermudanTolerance</t>
  </si>
  <si>
    <t>Schedule</t>
  </si>
  <si>
    <t>Time</t>
  </si>
  <si>
    <t>Hull White Short Rate Volatility</t>
  </si>
  <si>
    <t>BondOption</t>
  </si>
  <si>
    <t>Set Engine</t>
  </si>
  <si>
    <t>Exercise</t>
  </si>
  <si>
    <t>EffectiveDate</t>
  </si>
  <si>
    <t>TerminationDate</t>
  </si>
  <si>
    <t>TermDateConv</t>
  </si>
  <si>
    <t>GenRule</t>
  </si>
  <si>
    <t>Backward</t>
  </si>
  <si>
    <t>EndOfMonth</t>
  </si>
  <si>
    <t>FirstDate</t>
  </si>
  <si>
    <t>NextToLastDate</t>
  </si>
  <si>
    <t>Swap</t>
  </si>
  <si>
    <t>PayerReceiver</t>
  </si>
  <si>
    <t>Nominal</t>
  </si>
  <si>
    <t>FixedLegSchedule</t>
  </si>
  <si>
    <t>FixedLegDayCounter</t>
  </si>
  <si>
    <t>FloatingLegSchedule</t>
  </si>
  <si>
    <t>IborIndex</t>
  </si>
  <si>
    <t>FloatingLegSpread</t>
  </si>
  <si>
    <t>FloatingLegDayCounter</t>
  </si>
  <si>
    <t>EuropeanExercise</t>
  </si>
  <si>
    <t>ExpiryDate</t>
  </si>
  <si>
    <t>Swaption</t>
  </si>
  <si>
    <t>SettlementType</t>
  </si>
  <si>
    <t>Swaption Engine</t>
  </si>
  <si>
    <t>YieldCurve</t>
  </si>
  <si>
    <t>VolTS</t>
  </si>
  <si>
    <t>Swaption Valuation</t>
  </si>
  <si>
    <t>Swaption NPV</t>
  </si>
  <si>
    <t>Implied Vol</t>
  </si>
  <si>
    <t>Calibration Instruments</t>
  </si>
  <si>
    <t>FloatSchedule</t>
  </si>
  <si>
    <t>Bermudan Exercise</t>
  </si>
  <si>
    <t>BondOptionEngineCalibrate</t>
  </si>
  <si>
    <t>Swaptions</t>
  </si>
  <si>
    <t>ContTenorSpread</t>
  </si>
  <si>
    <t>CalibTolerance</t>
  </si>
  <si>
    <t>Spot</t>
  </si>
  <si>
    <t>Hull White Model Details</t>
  </si>
  <si>
    <t>ID</t>
  </si>
  <si>
    <t>SwapTenors</t>
  </si>
  <si>
    <t>20Y</t>
  </si>
  <si>
    <t>25Y</t>
  </si>
  <si>
    <t>30Y</t>
  </si>
  <si>
    <t>SwaptionVTSMatrix</t>
  </si>
  <si>
    <t>BDC (Adjustment)</t>
  </si>
  <si>
    <t>OptionTenors</t>
  </si>
  <si>
    <t>Volas</t>
  </si>
  <si>
    <t>Act/365 (Fixed)</t>
  </si>
  <si>
    <t>EUR OIS Curve</t>
  </si>
  <si>
    <t>RateHelpers</t>
  </si>
  <si>
    <t>BootstrapIndex</t>
  </si>
  <si>
    <t>Yield Curve Stripping</t>
  </si>
  <si>
    <t>Resulting Curve</t>
  </si>
  <si>
    <t>Quote</t>
  </si>
  <si>
    <t>Period</t>
  </si>
  <si>
    <t>FixingDays</t>
  </si>
  <si>
    <t>EndofMonth</t>
  </si>
  <si>
    <t>DayCounter</t>
  </si>
  <si>
    <t>Deposits</t>
  </si>
  <si>
    <t>SwapEngine</t>
  </si>
  <si>
    <t>Values</t>
  </si>
  <si>
    <t>FL Feq.</t>
  </si>
  <si>
    <t>FL Convention</t>
  </si>
  <si>
    <t>FL DCC</t>
  </si>
  <si>
    <t>IBOR Index</t>
  </si>
  <si>
    <t>Spread</t>
  </si>
  <si>
    <t>FW Start</t>
  </si>
  <si>
    <t>BSDiscountCurve</t>
  </si>
  <si>
    <t>Swaps</t>
  </si>
  <si>
    <t>1D</t>
  </si>
  <si>
    <t>1w</t>
  </si>
  <si>
    <t>NDays (advance)</t>
  </si>
  <si>
    <t>2w</t>
  </si>
  <si>
    <t>3w</t>
  </si>
  <si>
    <t>1m</t>
  </si>
  <si>
    <t>2m</t>
  </si>
  <si>
    <t>Jumps</t>
  </si>
  <si>
    <t>3m</t>
  </si>
  <si>
    <t>JumpDates</t>
  </si>
  <si>
    <t>4m</t>
  </si>
  <si>
    <t>Accuracy</t>
  </si>
  <si>
    <t>5m</t>
  </si>
  <si>
    <t>6m</t>
  </si>
  <si>
    <t>7m</t>
  </si>
  <si>
    <t>8m</t>
  </si>
  <si>
    <t>9m</t>
  </si>
  <si>
    <t>10M</t>
  </si>
  <si>
    <t>11M</t>
  </si>
  <si>
    <t>Eonia-Index</t>
  </si>
  <si>
    <t>15M</t>
  </si>
  <si>
    <t>18M</t>
  </si>
  <si>
    <t>Eonia</t>
  </si>
  <si>
    <t>21M</t>
  </si>
  <si>
    <t>13y</t>
  </si>
  <si>
    <t>14y</t>
  </si>
  <si>
    <t>40Y</t>
  </si>
  <si>
    <t>50Y</t>
  </si>
  <si>
    <t>10m</t>
  </si>
  <si>
    <t>11m</t>
  </si>
  <si>
    <t>Annual</t>
  </si>
  <si>
    <t>0D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</si>
  <si>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</si>
  <si>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</si>
  <si>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</si>
  <si>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</si>
  <si>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</si>
  <si>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</si>
  <si>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</si>
  <si>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</si>
  <si>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</si>
  <si>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</si>
  <si>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</si>
  <si>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</si>
  <si>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</si>
  <si>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</si>
  <si>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</si>
  <si>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</si>
  <si>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</si>
  <si>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EUR 6M Curve</t>
  </si>
  <si>
    <t>6M-EUR-Swap-Curve</t>
  </si>
  <si>
    <t>12m</t>
  </si>
  <si>
    <t>Euro OverNight Index Average</t>
  </si>
  <si>
    <t>EUR SWAP (EONIA)    1 WK</t>
  </si>
  <si>
    <t>EUR SWAP (EONIA)    2 WK</t>
  </si>
  <si>
    <t>EUR SWAP (EONIA)    3 WK</t>
  </si>
  <si>
    <t>EUR SWAP (EONIA)    1 MO</t>
  </si>
  <si>
    <t>EUR SWAP (EONIA)    2 MO</t>
  </si>
  <si>
    <t>EUR SWAP (EONIA)    3 MO</t>
  </si>
  <si>
    <t>EUR SWAP (EONIA)    4 MO</t>
  </si>
  <si>
    <t>EUR SWAP (EONIA)    5 MO</t>
  </si>
  <si>
    <t>EUR SWAP (EONIA)    6 MO</t>
  </si>
  <si>
    <t>EUR SWAP (EONIA)    7 MO</t>
  </si>
  <si>
    <t>EUR SWAP (EONIA)    8 MO</t>
  </si>
  <si>
    <t>EUR SWAP (EONIA)    9 MO</t>
  </si>
  <si>
    <t>EUR SWAP (EONIA)   10 MO</t>
  </si>
  <si>
    <t>EUR SWAP (EONIA)   11 MO</t>
  </si>
  <si>
    <t>EUR SWAP (EONIA)    1 YR</t>
  </si>
  <si>
    <t>EUR SWAP (EONIA)   15 MO</t>
  </si>
  <si>
    <t>EUR SWAP (EONIA)   18 MO</t>
  </si>
  <si>
    <t>EUR SWAP (EONIA)   21 MO</t>
  </si>
  <si>
    <t>EUR SWAP (EONIA)    2 YR</t>
  </si>
  <si>
    <t>EUR SWAP (EONIA)    3 YR</t>
  </si>
  <si>
    <t>EUR SWAP (EONIA)    4 YR</t>
  </si>
  <si>
    <t>EUR SWAP (EONIA)    5 YR</t>
  </si>
  <si>
    <t>EUR SWAP (EONIA)    6 YR</t>
  </si>
  <si>
    <t>EUR SWAP (EONIA)    7 YR</t>
  </si>
  <si>
    <t>EUR SWAP (EONIA)    8 YR</t>
  </si>
  <si>
    <t>EUR SWAP (EONIA)    9 YR</t>
  </si>
  <si>
    <t>EUR SWAP (EONIA)   10 YR</t>
  </si>
  <si>
    <t>EUR SWAP (EONIA)   12 YR</t>
  </si>
  <si>
    <t>EUR SWAP (EONIA)   15 YR</t>
  </si>
  <si>
    <t>EUR SWAP (EONIA)   20 YR</t>
  </si>
  <si>
    <t>EUR SWAP (EONIA)   25 YR</t>
  </si>
  <si>
    <t>EUR SWAP (EONIA)   30 YR</t>
  </si>
  <si>
    <t>EUR SWAP (EONIA)   40 YR</t>
  </si>
  <si>
    <t>EUR SWAP (EONIA)   50 YR</t>
  </si>
  <si>
    <t>Euribor 6 Month ACT/360</t>
  </si>
  <si>
    <t>EUR FRA             1X7</t>
  </si>
  <si>
    <t>EUR FRA             2x8</t>
  </si>
  <si>
    <t>EUR FRA             3x9</t>
  </si>
  <si>
    <t>EUR FRA             4x10</t>
  </si>
  <si>
    <t>EUR FRA             5x11</t>
  </si>
  <si>
    <t>EUR FRA             6x12</t>
  </si>
  <si>
    <t>EUR FRA             7x13</t>
  </si>
  <si>
    <t>EUR FRA             8x14</t>
  </si>
  <si>
    <t>EUR FRA             9x15</t>
  </si>
  <si>
    <t>EUR FRA            10X16</t>
  </si>
  <si>
    <t>EUR FRA            11x17</t>
  </si>
  <si>
    <t>EUR FRA            12x18</t>
  </si>
  <si>
    <t>EUR SWAP ANNUAL     2 YR</t>
  </si>
  <si>
    <t>EUR SWAP ANNUAL     3 YR</t>
  </si>
  <si>
    <t>EUR SWAP ANNUAL     4 YR</t>
  </si>
  <si>
    <t>EUR SWAP ANNUAL     5 YR</t>
  </si>
  <si>
    <t>EUR SWAP ANNUAL     6 YR</t>
  </si>
  <si>
    <t>EUR SWAP ANNUAL     7 YR</t>
  </si>
  <si>
    <t>EUR SWAP ANNUAL     8 YR</t>
  </si>
  <si>
    <t>EUR SWAP ANNUAL     9 YR</t>
  </si>
  <si>
    <t>EUR SWAP ANNUAL    10 YR</t>
  </si>
  <si>
    <t>EUR SWAP ANNUAL    11 YR</t>
  </si>
  <si>
    <t>EUR SWAP ANNUAL    12 YR</t>
  </si>
  <si>
    <t>EUR SWAP ANNUAL    13 YR</t>
  </si>
  <si>
    <t>EUR SWAP ANNUAL    14 YR</t>
  </si>
  <si>
    <t>EUR SWAP ANNUAL    15 YR</t>
  </si>
  <si>
    <t>EUR SWAP ANNUAL    20 YR</t>
  </si>
  <si>
    <t>EUR SWAP ANNUAL    25 YR</t>
  </si>
  <si>
    <t>EUR SWAP ANNUAL    30 YR</t>
  </si>
  <si>
    <t>EUR SWAP ANNUAL    40 YR</t>
  </si>
  <si>
    <t>EUR SWAP ANNUAL    50 YR</t>
  </si>
  <si>
    <t>BachelierBlackSwaptionEngine</t>
  </si>
  <si>
    <t>HW Valuation</t>
  </si>
  <si>
    <t>NumericalPrice</t>
  </si>
  <si>
    <t>NVol</t>
  </si>
  <si>
    <t>AnalyticalPrice</t>
  </si>
  <si>
    <t>Implied Nvol</t>
  </si>
  <si>
    <t>[Mkt - Mdl]</t>
  </si>
  <si>
    <t>Exerc\Swap</t>
  </si>
  <si>
    <t>Co-Terminal</t>
  </si>
  <si>
    <t>1Yx10Y</t>
  </si>
  <si>
    <t>2Yx9Y</t>
  </si>
  <si>
    <t>3Yx8Y</t>
  </si>
  <si>
    <t>4Yx7Y</t>
  </si>
  <si>
    <t>5Yx6Y</t>
  </si>
  <si>
    <t>6Yx5Y</t>
  </si>
  <si>
    <t>7Yx4Y</t>
  </si>
  <si>
    <t>8Yx3Y</t>
  </si>
  <si>
    <t>9Yx2Y</t>
  </si>
  <si>
    <t>10Yx1Y</t>
  </si>
  <si>
    <t>1Yx5Y</t>
  </si>
  <si>
    <t>2Yx5Y</t>
  </si>
  <si>
    <t>3Yx5Y</t>
  </si>
  <si>
    <t>4Yx5Y</t>
  </si>
  <si>
    <t>5Yx5Y</t>
  </si>
  <si>
    <t>7Yx5Y</t>
  </si>
  <si>
    <t>8Yx5Y</t>
  </si>
  <si>
    <t>9Yx5Y</t>
  </si>
  <si>
    <t>10Yx5Y</t>
  </si>
  <si>
    <t>Calibration</t>
  </si>
  <si>
    <t>5Y Swap</t>
  </si>
  <si>
    <t>Comparison Nvol</t>
  </si>
  <si>
    <t>Mean Reversion</t>
  </si>
  <si>
    <t>Coterminal Calibration</t>
  </si>
  <si>
    <t>2Yx2Y Market Normal NVol</t>
  </si>
  <si>
    <t>2Yx2Y Implied Normal NVol</t>
  </si>
  <si>
    <t>Market Nvol</t>
  </si>
  <si>
    <t>Implied NVol</t>
  </si>
  <si>
    <t>mean reversion 1%</t>
  </si>
  <si>
    <t>mean reversion 5%</t>
  </si>
  <si>
    <t>Instrument</t>
  </si>
  <si>
    <t>Discount</t>
  </si>
  <si>
    <t>LogCubicNaturalSpline</t>
  </si>
  <si>
    <t>2Yx2Y</t>
  </si>
  <si>
    <t>1Yx1Y</t>
  </si>
  <si>
    <t>3Yx3Y</t>
  </si>
  <si>
    <t>4Yx4Y</t>
  </si>
  <si>
    <t>6Yx6Y</t>
  </si>
  <si>
    <t>7Yx7Y</t>
  </si>
  <si>
    <t>8Yx8Y</t>
  </si>
  <si>
    <t>9Yx9Y</t>
  </si>
  <si>
    <t>10Yx10Y</t>
  </si>
  <si>
    <t>Swaption Instrument</t>
  </si>
  <si>
    <t>ExerciseDate</t>
  </si>
  <si>
    <t>ShortRate</t>
  </si>
  <si>
    <t>SwapRate</t>
  </si>
  <si>
    <t>PayTime</t>
  </si>
  <si>
    <t>FloatTimes</t>
  </si>
  <si>
    <t>SwaptionCFs</t>
  </si>
  <si>
    <t>FloatWeights</t>
  </si>
  <si>
    <t>FixedTimes</t>
  </si>
  <si>
    <t>FixedWeights</t>
  </si>
  <si>
    <t>ExercTime</t>
  </si>
  <si>
    <t>FloatLeg</t>
  </si>
  <si>
    <t>FairRate</t>
  </si>
  <si>
    <t>2Yx10Y</t>
  </si>
  <si>
    <t>3Yx10Y</t>
  </si>
  <si>
    <t>4Yx10Y</t>
  </si>
  <si>
    <t>5Yx10Y</t>
  </si>
  <si>
    <t>6Yx10Y</t>
  </si>
  <si>
    <t>7Yx10Y</t>
  </si>
  <si>
    <t>8Yx10Y</t>
  </si>
  <si>
    <t>9Yx10Y</t>
  </si>
  <si>
    <t>T_N - T_i</t>
  </si>
  <si>
    <t>a(T_i)</t>
  </si>
  <si>
    <t>AnnuityWeights</t>
  </si>
  <si>
    <t>T_M - T_j</t>
  </si>
  <si>
    <t>a(T_j)</t>
  </si>
  <si>
    <t>Sum tau_j</t>
  </si>
  <si>
    <t>Sum tau_j (T_M-T_j)</t>
  </si>
  <si>
    <t>sum w_i</t>
  </si>
  <si>
    <t>sum w_i (T_N-T_i)</t>
  </si>
  <si>
    <t>Den</t>
  </si>
  <si>
    <t>u</t>
  </si>
  <si>
    <t>v</t>
  </si>
  <si>
    <t>Consistency</t>
  </si>
  <si>
    <t>Additivity</t>
  </si>
  <si>
    <t>CFs</t>
  </si>
  <si>
    <t>PayDate</t>
  </si>
  <si>
    <t>PayTerm</t>
  </si>
  <si>
    <t>10y6m</t>
  </si>
  <si>
    <t>11y6m</t>
  </si>
  <si>
    <t>12y6m</t>
  </si>
  <si>
    <t>13y6m</t>
  </si>
  <si>
    <t>14y6m</t>
  </si>
  <si>
    <t>15y6m</t>
  </si>
  <si>
    <t>16y</t>
  </si>
  <si>
    <t>16y6m</t>
  </si>
  <si>
    <t>17y</t>
  </si>
  <si>
    <t>17y6m</t>
  </si>
  <si>
    <t>18y</t>
  </si>
  <si>
    <t>18y6m</t>
  </si>
  <si>
    <t>19y</t>
  </si>
  <si>
    <t>19y6m</t>
  </si>
  <si>
    <t>a(T_P)</t>
  </si>
  <si>
    <t>DF</t>
  </si>
  <si>
    <t>Region</t>
  </si>
  <si>
    <t>Currency</t>
  </si>
  <si>
    <t>Curve ID</t>
  </si>
  <si>
    <t>Description</t>
  </si>
  <si>
    <t>Reference Curve</t>
  </si>
  <si>
    <t>Maturity</t>
  </si>
  <si>
    <t>Interface</t>
  </si>
  <si>
    <t>Ticker</t>
  </si>
  <si>
    <t>Pricing Source</t>
  </si>
  <si>
    <t>Market Sector</t>
  </si>
  <si>
    <t>Field</t>
  </si>
  <si>
    <t>Index identifier</t>
  </si>
  <si>
    <t>Comment</t>
  </si>
  <si>
    <t>NAME</t>
  </si>
  <si>
    <t>PX_LAST</t>
  </si>
  <si>
    <t>LAST_UPDATE_DT</t>
  </si>
  <si>
    <t>LAST_UPDATE</t>
  </si>
  <si>
    <t>G5</t>
  </si>
  <si>
    <t>EUR</t>
  </si>
  <si>
    <t>EONIA</t>
  </si>
  <si>
    <t>EUR overnight curve</t>
  </si>
  <si>
    <t>n.a.</t>
  </si>
  <si>
    <t>EONIA=</t>
  </si>
  <si>
    <t>ON</t>
  </si>
  <si>
    <t>Eonia Fixing</t>
  </si>
  <si>
    <t>Bloomberg</t>
  </si>
  <si>
    <t>Index</t>
  </si>
  <si>
    <t>09/04/2015</t>
  </si>
  <si>
    <t>1W</t>
  </si>
  <si>
    <t>Eonia Swap</t>
  </si>
  <si>
    <t>EUSWE1Z</t>
  </si>
  <si>
    <t>ICPL</t>
  </si>
  <si>
    <t>Curncy</t>
  </si>
  <si>
    <t>09/07/2015</t>
  </si>
  <si>
    <t>7:00:49 AM</t>
  </si>
  <si>
    <t>2W</t>
  </si>
  <si>
    <t>EUSWE2Z</t>
  </si>
  <si>
    <t>3W</t>
  </si>
  <si>
    <t>EUSWE3Z</t>
  </si>
  <si>
    <t>8:05:32 AM</t>
  </si>
  <si>
    <t>EUSWEA</t>
  </si>
  <si>
    <t>2M</t>
  </si>
  <si>
    <t>EUSWEB</t>
  </si>
  <si>
    <t>EUSWEC</t>
  </si>
  <si>
    <t>4M</t>
  </si>
  <si>
    <t>EUSWED</t>
  </si>
  <si>
    <t>8:00:00 AM</t>
  </si>
  <si>
    <t>5M</t>
  </si>
  <si>
    <t>EUSWEE</t>
  </si>
  <si>
    <t>EUSWEF</t>
  </si>
  <si>
    <t>7M</t>
  </si>
  <si>
    <t>EUSWEG</t>
  </si>
  <si>
    <t>8M</t>
  </si>
  <si>
    <t>EUSWEH</t>
  </si>
  <si>
    <t>2:27:22 PM</t>
  </si>
  <si>
    <t>9M</t>
  </si>
  <si>
    <t>EUSWEI</t>
  </si>
  <si>
    <t>1:13:17 PM</t>
  </si>
  <si>
    <t>EUSWEJ</t>
  </si>
  <si>
    <t>13M</t>
  </si>
  <si>
    <t>EUSWEK</t>
  </si>
  <si>
    <t>1:51:37 PM</t>
  </si>
  <si>
    <t>EUSWE1</t>
  </si>
  <si>
    <t>2:34:02 PM</t>
  </si>
  <si>
    <t>EUSWE1A</t>
  </si>
  <si>
    <t>EUR SWAP (EONIA)   13 MO</t>
  </si>
  <si>
    <t>#N/A N/A</t>
  </si>
  <si>
    <t>14M</t>
  </si>
  <si>
    <t>EUSWE1B</t>
  </si>
  <si>
    <t>EUR SWAP (EONIA)   14 MO</t>
  </si>
  <si>
    <t>EUSWE1C</t>
  </si>
  <si>
    <t>2:21:32 PM</t>
  </si>
  <si>
    <t>16M</t>
  </si>
  <si>
    <t>EUSWE1D</t>
  </si>
  <si>
    <t>EUR SWAP (EONIA)   16 MO</t>
  </si>
  <si>
    <t>17M</t>
  </si>
  <si>
    <t>EUSWE1E</t>
  </si>
  <si>
    <t>EUR SWAP (EONIA)   17 MO</t>
  </si>
  <si>
    <t>EUSWE1F</t>
  </si>
  <si>
    <t>2:27:17 PM</t>
  </si>
  <si>
    <t>19M</t>
  </si>
  <si>
    <t>EUSWE1G</t>
  </si>
  <si>
    <t>EUR SWAP (EONIA)   19 MO</t>
  </si>
  <si>
    <t>20M</t>
  </si>
  <si>
    <t>EUSWE1H</t>
  </si>
  <si>
    <t>EUR SWAP (EONIA)   20 MO</t>
  </si>
  <si>
    <t>23M</t>
  </si>
  <si>
    <t>EUSWE1I</t>
  </si>
  <si>
    <t>22M</t>
  </si>
  <si>
    <t>EUSWE1J</t>
  </si>
  <si>
    <t>EUR SWAP (EONIA)   22 MO</t>
  </si>
  <si>
    <t>EUSWE1K</t>
  </si>
  <si>
    <t>EUR SWAP (EONIA)   23 MO</t>
  </si>
  <si>
    <t>EUSWE2</t>
  </si>
  <si>
    <t>2:25:17 PM</t>
  </si>
  <si>
    <t>EUSWE3</t>
  </si>
  <si>
    <t>2:34:42 PM</t>
  </si>
  <si>
    <t>EUSWE4</t>
  </si>
  <si>
    <t>2:38:41 PM</t>
  </si>
  <si>
    <t>EUSWE5</t>
  </si>
  <si>
    <t>2:39:21 PM</t>
  </si>
  <si>
    <t>EUSWE6</t>
  </si>
  <si>
    <t>EUSWE7</t>
  </si>
  <si>
    <t>2:40:16 PM</t>
  </si>
  <si>
    <t>EUSWE8</t>
  </si>
  <si>
    <t>2:40:17 PM</t>
  </si>
  <si>
    <t>EUSWE9</t>
  </si>
  <si>
    <t>EUSWE10</t>
  </si>
  <si>
    <t>EUSWE12</t>
  </si>
  <si>
    <t>EUSWE15</t>
  </si>
  <si>
    <t>EUSWE20</t>
  </si>
  <si>
    <t>EUSWE25</t>
  </si>
  <si>
    <t>EUSWE30</t>
  </si>
  <si>
    <t>EUSWE40</t>
  </si>
  <si>
    <t>EUSWE50</t>
  </si>
  <si>
    <t>Euribor1M</t>
  </si>
  <si>
    <t>EUR 1M forward curve</t>
  </si>
  <si>
    <t>EURIBOR1M=</t>
  </si>
  <si>
    <t>Euribor Fixing</t>
  </si>
  <si>
    <t>EUR001M</t>
  </si>
  <si>
    <t>Euribor 1 Month ACT/360</t>
  </si>
  <si>
    <t>1M Euribor Swap</t>
  </si>
  <si>
    <t>EUSWBV1</t>
  </si>
  <si>
    <t>EUR SWAP (vs 1M)    2 MO</t>
  </si>
  <si>
    <t>9:10:37 AM</t>
  </si>
  <si>
    <t>EUSWCV1</t>
  </si>
  <si>
    <t>EUR SWAP (vs 1M)    3 MO</t>
  </si>
  <si>
    <t>EUSWDV1</t>
  </si>
  <si>
    <t>EUR SWAP (vs 1M)    4 MO</t>
  </si>
  <si>
    <t>EUSWEV1</t>
  </si>
  <si>
    <t>EUR SWAP (vs 1M)    5 MO</t>
  </si>
  <si>
    <t>EUSWFV1</t>
  </si>
  <si>
    <t>EUR SWAP (vs 1M)    6 MO</t>
  </si>
  <si>
    <t>EUSWGV1</t>
  </si>
  <si>
    <t>EUR SWAP (vs 1M)    7 MO</t>
  </si>
  <si>
    <t>EUSWHV1</t>
  </si>
  <si>
    <t>EUR SWAP (vs 1M)    8 MO</t>
  </si>
  <si>
    <t>EUSWIV1</t>
  </si>
  <si>
    <t>EUR SWAP (vs 1M)    9 MO</t>
  </si>
  <si>
    <t>EUSWJV1</t>
  </si>
  <si>
    <t>EUR SWAP (vs 1M)   10 MO</t>
  </si>
  <si>
    <t>2:25:31 PM</t>
  </si>
  <si>
    <t>EUSWKV1</t>
  </si>
  <si>
    <t>EUR SWAP (vs 1M)   11 MO</t>
  </si>
  <si>
    <t>EUSW1V1</t>
  </si>
  <si>
    <t>EUR SWAP (VS 1M)    1 YR</t>
  </si>
  <si>
    <t>EUSW1AV1</t>
  </si>
  <si>
    <t>EUR SWAP (VS 1M)   13 MO</t>
  </si>
  <si>
    <t>EUSW1BV1</t>
  </si>
  <si>
    <t>EUR SWAP (VS 1M)   14 MO</t>
  </si>
  <si>
    <t>EUSW1CV1</t>
  </si>
  <si>
    <t>EUR SWAP (VS 1M)   15 MO</t>
  </si>
  <si>
    <t>EUSW1DV1</t>
  </si>
  <si>
    <t>EUR SWAP (VS 1M)   16 MO</t>
  </si>
  <si>
    <t>EUSW1FV1</t>
  </si>
  <si>
    <t>EUR SWAP (VS 1M)   18 MO</t>
  </si>
  <si>
    <t>EUSW1GV1</t>
  </si>
  <si>
    <t>EUR SWAP (VS 1M)   19 MO</t>
  </si>
  <si>
    <t>EUSW1HV1</t>
  </si>
  <si>
    <t>EUR SWAP (VS 1M)   20 MO</t>
  </si>
  <si>
    <t>EUSW1IV1</t>
  </si>
  <si>
    <t>EUR SWAP (VS 1M)   21 MO</t>
  </si>
  <si>
    <t>EUSW1JV1</t>
  </si>
  <si>
    <t>EUR SWAP (VS 1M)   22 MO</t>
  </si>
  <si>
    <t>EUSW1KV1</t>
  </si>
  <si>
    <t>EUR SWAP (VS 1M)   23 MO</t>
  </si>
  <si>
    <t>EUSW2V1</t>
  </si>
  <si>
    <t>EUR SWAP (VS 1M)    2 YR</t>
  </si>
  <si>
    <t>2:38:47 PM</t>
  </si>
  <si>
    <t>EUSW3V1</t>
  </si>
  <si>
    <t>EUR SWAP (VS 1M)    3 YR</t>
  </si>
  <si>
    <t>EUSW4V1</t>
  </si>
  <si>
    <t>EUR SWAP (VS 1M)    4 YR</t>
  </si>
  <si>
    <t>2:38:42 PM</t>
  </si>
  <si>
    <t>EUSW5V1</t>
  </si>
  <si>
    <t>EUR SWAP (VS 1M)    5 YR</t>
  </si>
  <si>
    <t>EUSW6V1</t>
  </si>
  <si>
    <t>EUR SWAP (VS 1M)    6 YR</t>
  </si>
  <si>
    <t>EUSW7V1</t>
  </si>
  <si>
    <t>EUR SWAP (VS 1M)    7 YR</t>
  </si>
  <si>
    <t>EUSW8V1</t>
  </si>
  <si>
    <t>EUR SWAP (VS 1M)    8 YR</t>
  </si>
  <si>
    <t>EUSW9V1</t>
  </si>
  <si>
    <t>EUR SWAP (VS 1M)    9 YR</t>
  </si>
  <si>
    <t>EUSW10V1</t>
  </si>
  <si>
    <t>EUR SWAP (VS 1M)   10 YR</t>
  </si>
  <si>
    <t>11Y</t>
  </si>
  <si>
    <t>EUSW11V1</t>
  </si>
  <si>
    <t>EUR SWAP (VS 1M)   11 YR</t>
  </si>
  <si>
    <t>EUSW12V1</t>
  </si>
  <si>
    <t>EUR SWAP (VS 1M)   12 YR</t>
  </si>
  <si>
    <t>13Y</t>
  </si>
  <si>
    <t>EUSW13V1</t>
  </si>
  <si>
    <t>EUR SWAP (VS 1M)   13 YR</t>
  </si>
  <si>
    <t>14Y</t>
  </si>
  <si>
    <t>EUSW14V1</t>
  </si>
  <si>
    <t>EUR SWAP (VS 1M)   14 YR</t>
  </si>
  <si>
    <t>EUSW15V1</t>
  </si>
  <si>
    <t>EUR SWAP (VS 1M)   15 YR</t>
  </si>
  <si>
    <t>EUSW20V1</t>
  </si>
  <si>
    <t>EUR SWAP (VS 1M)   20 YR</t>
  </si>
  <si>
    <t>EUSW25V1</t>
  </si>
  <si>
    <t>EUR SWAP (VS 1M)   25 YR</t>
  </si>
  <si>
    <t>EUSW30V1</t>
  </si>
  <si>
    <t>EUR SWAP (VS 1M)   30 YR</t>
  </si>
  <si>
    <t>EUSW40V1</t>
  </si>
  <si>
    <t>EUR SWAP (VS 1M)   40 YR</t>
  </si>
  <si>
    <t>EUSW50V1</t>
  </si>
  <si>
    <t>EUR SWAP (VS 1M)   50 YR</t>
  </si>
  <si>
    <t>60Y</t>
  </si>
  <si>
    <t>EUSW60V1</t>
  </si>
  <si>
    <t>EUR SWAP (VS 1M)   60 YR</t>
  </si>
  <si>
    <t>Euribor3M</t>
  </si>
  <si>
    <t>EUR 3M forward curve</t>
  </si>
  <si>
    <t>EURIBOR3M=</t>
  </si>
  <si>
    <t>EUR003M</t>
  </si>
  <si>
    <t>Euribor 3 Month ACT/360</t>
  </si>
  <si>
    <t>FRA 0M x 3M (Mx)</t>
  </si>
  <si>
    <t>EUFR00C</t>
  </si>
  <si>
    <t>EUR FRA              0X3</t>
  </si>
  <si>
    <t>FRA 1M x 4M</t>
  </si>
  <si>
    <t>EUFR0AD</t>
  </si>
  <si>
    <t>EUR FRA             1X4</t>
  </si>
  <si>
    <t>1:43:12 PM</t>
  </si>
  <si>
    <t>FRA 2M x 5M</t>
  </si>
  <si>
    <t>EUFR0BE</t>
  </si>
  <si>
    <t>EUR FRA             2x5</t>
  </si>
  <si>
    <t>FRA 3M x 6M</t>
  </si>
  <si>
    <t>EUFR0CF</t>
  </si>
  <si>
    <t>EUR FRA             3x6</t>
  </si>
  <si>
    <t>2:27:16 PM</t>
  </si>
  <si>
    <t>FRA 4M x 7M</t>
  </si>
  <si>
    <t>EUFR0DG</t>
  </si>
  <si>
    <t>EUR FRA             4x7</t>
  </si>
  <si>
    <t>FRA 5M x 8M</t>
  </si>
  <si>
    <t>EUFR0EH</t>
  </si>
  <si>
    <t>EUR FRA             5x8</t>
  </si>
  <si>
    <t>FRA 6M x 9M</t>
  </si>
  <si>
    <t>EUFR0FI</t>
  </si>
  <si>
    <t>EUR FRA             6x9</t>
  </si>
  <si>
    <t>2:37:46 PM</t>
  </si>
  <si>
    <t>FRA 7M x 10M</t>
  </si>
  <si>
    <t xml:space="preserve"> EUFR0GJ</t>
  </si>
  <si>
    <t>EUR FRA             7x10</t>
  </si>
  <si>
    <t>2:34:01 PM</t>
  </si>
  <si>
    <t>FRA 8M x 11M</t>
  </si>
  <si>
    <t xml:space="preserve"> EUFR0HK</t>
  </si>
  <si>
    <t>EUR FRA             8x11</t>
  </si>
  <si>
    <t>FRA 9M x 12M</t>
  </si>
  <si>
    <t xml:space="preserve"> EUFR0I1</t>
  </si>
  <si>
    <t>EUR FRA             9x12</t>
  </si>
  <si>
    <t>FRA 10M x 13M</t>
  </si>
  <si>
    <t>EUFR0J1A</t>
  </si>
  <si>
    <t>EUR FRA            10X13</t>
  </si>
  <si>
    <t>FRA 11M x 14M</t>
  </si>
  <si>
    <t>EUFR0K1B</t>
  </si>
  <si>
    <t>EUR FRA            11x14</t>
  </si>
  <si>
    <t>FRA 12M x 15M</t>
  </si>
  <si>
    <t>EUFR011C</t>
  </si>
  <si>
    <t>EUR FRA            12x15</t>
  </si>
  <si>
    <t>FRA 15M x 18M</t>
  </si>
  <si>
    <t>EUFR1C1F</t>
  </si>
  <si>
    <t>EUR FRA            15X18</t>
  </si>
  <si>
    <t>3M Euribor Swap</t>
  </si>
  <si>
    <t>EUSW1IV3</t>
  </si>
  <si>
    <t>EUR SWAP (vs 3M)   21 MO</t>
  </si>
  <si>
    <t>EUSW2V3</t>
  </si>
  <si>
    <t>EUR SWAP (vs 3M)    2 YR</t>
  </si>
  <si>
    <t>EUSW3V3</t>
  </si>
  <si>
    <t>EUR SWAP (vs 3M)    3 YR</t>
  </si>
  <si>
    <t>EUSW4V3</t>
  </si>
  <si>
    <t>EUR SWAP (vs 3M)    4 YR</t>
  </si>
  <si>
    <t>EUSW5V3</t>
  </si>
  <si>
    <t>EUR SWAP (vs 3M)    5 YR</t>
  </si>
  <si>
    <t>EUSW6V3</t>
  </si>
  <si>
    <t>EUR SWAP (vs 3M)    6 YR</t>
  </si>
  <si>
    <t>EUSW7V3</t>
  </si>
  <si>
    <t>EUR SWAP (vs 3M)    7 YR</t>
  </si>
  <si>
    <t>EUSW8V3</t>
  </si>
  <si>
    <t>EUR SWAP (vs 3M)    8 YR</t>
  </si>
  <si>
    <t>EUSW9V3</t>
  </si>
  <si>
    <t>EUR SWAP (vs 3M)    9 YR</t>
  </si>
  <si>
    <t>EUSW10V3</t>
  </si>
  <si>
    <t>EUR SWAP (vs 3M)   10 YR</t>
  </si>
  <si>
    <t>EUSW11V3</t>
  </si>
  <si>
    <t>EUR SWAP (vs 3M)   11 YR</t>
  </si>
  <si>
    <t>EUSW12V3</t>
  </si>
  <si>
    <t>EUR SWAP (vs 3M)   12 YR</t>
  </si>
  <si>
    <t>EUSW13V3</t>
  </si>
  <si>
    <t>EUR SWAP (vs 3M)   13 YR</t>
  </si>
  <si>
    <t>EUSW14V3</t>
  </si>
  <si>
    <t>EUR SWAP (vs 3M)   14 YR</t>
  </si>
  <si>
    <t>EUSW15V3</t>
  </si>
  <si>
    <t>EUR SWAP (vs 3M)   15 YR</t>
  </si>
  <si>
    <t>EUSW20V3</t>
  </si>
  <si>
    <t>EUR SWAP (vs 3M)   20 YR</t>
  </si>
  <si>
    <t>EUSW25V3</t>
  </si>
  <si>
    <t>EUR SWAP (vs 3M)   25 YR</t>
  </si>
  <si>
    <t>EUSW30V3</t>
  </si>
  <si>
    <t>EUR SWAP (vs 3M)   30 YR</t>
  </si>
  <si>
    <t>EUSW40V3</t>
  </si>
  <si>
    <t>EUR SWAP (vs 3M)   40 YR</t>
  </si>
  <si>
    <t>EUSW50V3</t>
  </si>
  <si>
    <t>EUR SWAP (vs 3M)   50 YR</t>
  </si>
  <si>
    <t>EUSW60V3</t>
  </si>
  <si>
    <t>EUR SWAP (VS 3M)   60 YR</t>
  </si>
  <si>
    <t>Euribor6M</t>
  </si>
  <si>
    <t>EUR 6M forward curve</t>
  </si>
  <si>
    <t>EURIBOR6M=</t>
  </si>
  <si>
    <t>EUR006M</t>
  </si>
  <si>
    <t>FRA 0M x 6M (Mx)</t>
  </si>
  <si>
    <t>EUFR00F</t>
  </si>
  <si>
    <t>EUR FRA              0X6</t>
  </si>
  <si>
    <t>FRA 3M x 7M</t>
  </si>
  <si>
    <t>EUFR0AG</t>
  </si>
  <si>
    <t>1:51:36 PM</t>
  </si>
  <si>
    <t>FRA 2M x 8M</t>
  </si>
  <si>
    <t>EUFR0BH</t>
  </si>
  <si>
    <t>FRA 3M x 9M</t>
  </si>
  <si>
    <t>EUFR0CI</t>
  </si>
  <si>
    <t>FRA 4M x 10M</t>
  </si>
  <si>
    <t>EUFR0DJ</t>
  </si>
  <si>
    <t>FRA 5M x 11M</t>
  </si>
  <si>
    <t>EUFR0EK</t>
  </si>
  <si>
    <t>FRA 6M x 12M</t>
  </si>
  <si>
    <t>EUFR0F1</t>
  </si>
  <si>
    <t>2:37:47 PM</t>
  </si>
  <si>
    <t>FRA 7M x 13M</t>
  </si>
  <si>
    <t>EUFR0G1A</t>
  </si>
  <si>
    <t>FRA 8M x 14M</t>
  </si>
  <si>
    <t>EUFR0H1B</t>
  </si>
  <si>
    <t>FRA 9M x 15M</t>
  </si>
  <si>
    <t>EUFR0I1C</t>
  </si>
  <si>
    <t>FRA 10M x 16M</t>
  </si>
  <si>
    <t>EUFR0J1D</t>
  </si>
  <si>
    <t>FRA 13M x 17M</t>
  </si>
  <si>
    <t>EUFR0K1E</t>
  </si>
  <si>
    <t>FRA 12M x 18M</t>
  </si>
  <si>
    <t>EUFR011F</t>
  </si>
  <si>
    <t>2:25:16 PM</t>
  </si>
  <si>
    <t>6M Euribor Swap</t>
  </si>
  <si>
    <t>EUSA2</t>
  </si>
  <si>
    <t>2:41:35 PM</t>
  </si>
  <si>
    <t>EUSA3</t>
  </si>
  <si>
    <t>EUSA4</t>
  </si>
  <si>
    <t>EUSA5</t>
  </si>
  <si>
    <t>2:39:18 PM</t>
  </si>
  <si>
    <t>EUSA6</t>
  </si>
  <si>
    <t>2:39:20 PM</t>
  </si>
  <si>
    <t>EUSA7</t>
  </si>
  <si>
    <t>EUSA8</t>
  </si>
  <si>
    <t>EUSA9</t>
  </si>
  <si>
    <t>EUSA10</t>
  </si>
  <si>
    <t>EUSA11</t>
  </si>
  <si>
    <t>EUSA12</t>
  </si>
  <si>
    <t>EUSA13</t>
  </si>
  <si>
    <t>EUSA14</t>
  </si>
  <si>
    <t>EUSA15</t>
  </si>
  <si>
    <t>EUSA20</t>
  </si>
  <si>
    <t>EUSA25</t>
  </si>
  <si>
    <t>EUSA30</t>
  </si>
  <si>
    <t>EUSA40</t>
  </si>
  <si>
    <t>EUSA50</t>
  </si>
  <si>
    <t>EUSA60</t>
  </si>
  <si>
    <t>EUR SWAP ANNUAL    60 YR</t>
  </si>
  <si>
    <t>Euribor12M</t>
  </si>
  <si>
    <t>EUR 12M forward curve</t>
  </si>
  <si>
    <t>EURIBOR1Y=</t>
  </si>
  <si>
    <t>12M</t>
  </si>
  <si>
    <t>EUR012M</t>
  </si>
  <si>
    <t>Euribor 12 Month ACT/360</t>
  </si>
  <si>
    <t>OIS</t>
  </si>
  <si>
    <t>FRA 0M x 12M</t>
  </si>
  <si>
    <t>EUFR001</t>
  </si>
  <si>
    <t>EUR FRA             0X12</t>
  </si>
  <si>
    <t>FRA 1M x 13M</t>
  </si>
  <si>
    <t>EUFR0A1A</t>
  </si>
  <si>
    <t>EUR FRA             1X13</t>
  </si>
  <si>
    <t>FRA 2M x 14M</t>
  </si>
  <si>
    <t>EUFR0B1B</t>
  </si>
  <si>
    <t>EUR FRA             2X14</t>
  </si>
  <si>
    <t>FRA 3M x 15M</t>
  </si>
  <si>
    <t>EUFR0C1C</t>
  </si>
  <si>
    <t>EUR FRA             3X15</t>
  </si>
  <si>
    <t>FRA 4M x 16M</t>
  </si>
  <si>
    <t>EUFR0D1D</t>
  </si>
  <si>
    <t>EUR FRA             4X16</t>
  </si>
  <si>
    <t>FRA 5M x 17M</t>
  </si>
  <si>
    <t>EUFR0E1E</t>
  </si>
  <si>
    <t>EUR FRA             5X17</t>
  </si>
  <si>
    <t>FRA 6M x 18M</t>
  </si>
  <si>
    <t>EUFR0F1F</t>
  </si>
  <si>
    <t>EUR FRA             6x18</t>
  </si>
  <si>
    <t>FRA 7M x 19M</t>
  </si>
  <si>
    <t>EUFR0G1G</t>
  </si>
  <si>
    <t>EUR FRA             7X19</t>
  </si>
  <si>
    <t>FRA 8M x 20M</t>
  </si>
  <si>
    <t>EUFR0H1H</t>
  </si>
  <si>
    <t>EUR FRA             8X20</t>
  </si>
  <si>
    <t>2:21:31 PM</t>
  </si>
  <si>
    <t>FRA 9M x 21M</t>
  </si>
  <si>
    <t>EUFR0I1I</t>
  </si>
  <si>
    <t>EUR FRA             9X21</t>
  </si>
  <si>
    <t>FRA 10M x 22M</t>
  </si>
  <si>
    <t>EUFR0J1J</t>
  </si>
  <si>
    <t>EUR FRA            10X22</t>
  </si>
  <si>
    <t>FRA 11M x 23M</t>
  </si>
  <si>
    <t>EUFR0K1K</t>
  </si>
  <si>
    <t>EUR FRA            11X23</t>
  </si>
  <si>
    <t>24M</t>
  </si>
  <si>
    <t>FRA 12M x 24M</t>
  </si>
  <si>
    <t>EUFR012</t>
  </si>
  <si>
    <t>EUR FRA            12x24</t>
  </si>
  <si>
    <t>6M vs 12M Euribor Basis Swap</t>
  </si>
  <si>
    <t>EUBSS2</t>
  </si>
  <si>
    <t>EUR BASIS SW 6MV12M  2YR</t>
  </si>
  <si>
    <t>2:10:49 PM</t>
  </si>
  <si>
    <t>EUBSS3</t>
  </si>
  <si>
    <t>EUR BASIS SW 6MV12M  3YR</t>
  </si>
  <si>
    <t>1:16:37 PM</t>
  </si>
  <si>
    <t>EUBSS4</t>
  </si>
  <si>
    <t>EUR BASIS SW 6MV12M  4YR</t>
  </si>
  <si>
    <t>EUBSS5</t>
  </si>
  <si>
    <t>EUR BASIS SW 6MV12M  5YR</t>
  </si>
  <si>
    <t>1:12:58 PM</t>
  </si>
  <si>
    <t>EUBSS6</t>
  </si>
  <si>
    <t>EUR BASIS SW 6MV12M  6YR</t>
  </si>
  <si>
    <t>1:34:00 PM</t>
  </si>
  <si>
    <t>EUBSS7</t>
  </si>
  <si>
    <t>EUR BASIS SW 6MV12M  7YR</t>
  </si>
  <si>
    <t>EUBSS8</t>
  </si>
  <si>
    <t>EUR BASIS SW 6MV12M  8YR</t>
  </si>
  <si>
    <t>EUBSS9</t>
  </si>
  <si>
    <t>EUR BASIS SW 6MV12M  9YR</t>
  </si>
  <si>
    <t>EUBSS10</t>
  </si>
  <si>
    <t>EUR BASIS SW 6MV12M 10YR</t>
  </si>
  <si>
    <t>EUBSS11</t>
  </si>
  <si>
    <t>EUR BASIS SW 6MV12M 11YR</t>
  </si>
  <si>
    <t>EUBSS12</t>
  </si>
  <si>
    <t>EUR BASIS SW 6MV12M 12YR</t>
  </si>
  <si>
    <t>EUBSS13</t>
  </si>
  <si>
    <t>EUR BASIS SW 6MV12M 13YR</t>
  </si>
  <si>
    <t>EUBSS14</t>
  </si>
  <si>
    <t>EUR BASIS SW 6MV12M 14YR</t>
  </si>
  <si>
    <t>EUBSS15</t>
  </si>
  <si>
    <t>EUR BASIS SW 6MV12M 15YR</t>
  </si>
  <si>
    <t>EUBSS20</t>
  </si>
  <si>
    <t>EUR BASIS SW 6MV12M 20YR</t>
  </si>
  <si>
    <t>EUBSS25</t>
  </si>
  <si>
    <t>EUR BASIS SW 6MV12M 25YR</t>
  </si>
  <si>
    <t>1:34:20 PM</t>
  </si>
  <si>
    <t>EUBSS30</t>
  </si>
  <si>
    <t>EUR BASIS SW 6MV12M 30YR</t>
  </si>
  <si>
    <t>EUBSS40</t>
  </si>
  <si>
    <t>EUR BASIS SW 6MV12M 40YR</t>
  </si>
  <si>
    <t>1:04:00 PM</t>
  </si>
  <si>
    <t>EUBSS50</t>
  </si>
  <si>
    <t>EUR BASIS SW 6MV12M 50YR</t>
  </si>
  <si>
    <t>EUBSS60</t>
  </si>
  <si>
    <t>EUR BASIS SW 6MV12M 60YR</t>
  </si>
  <si>
    <t>Surface ID</t>
  </si>
  <si>
    <t>Expiry</t>
  </si>
  <si>
    <t>RelStrike</t>
  </si>
  <si>
    <t>Swaption Nvol</t>
  </si>
  <si>
    <t>EUR Swaption</t>
  </si>
  <si>
    <t>EUR Swaption Data</t>
  </si>
  <si>
    <t>6M Euribor</t>
  </si>
  <si>
    <t>EUNEA1</t>
  </si>
  <si>
    <t>EUR SWPT NVOL OIS 1M1Y</t>
  </si>
  <si>
    <t>9:14:02 AM</t>
  </si>
  <si>
    <t>EUNEB1</t>
  </si>
  <si>
    <t>EUR SWPT NVOL OIS 2M1Y</t>
  </si>
  <si>
    <t>7:00:50 AM</t>
  </si>
  <si>
    <t>EUNEC1</t>
  </si>
  <si>
    <t>EUR SWPT NVOL OIS 3M1Y</t>
  </si>
  <si>
    <t>EUNEF1</t>
  </si>
  <si>
    <t>EUR SWPT NVOL OIS 6M1Y</t>
  </si>
  <si>
    <t>EUNEI1</t>
  </si>
  <si>
    <t>EUR SWPT NVOL OIS 9M1Y</t>
  </si>
  <si>
    <t>11:35:34 AM</t>
  </si>
  <si>
    <t>EUNE11</t>
  </si>
  <si>
    <t>EUR SWPT NVOL OIS 1Y1Y</t>
  </si>
  <si>
    <t>EUNER1</t>
  </si>
  <si>
    <t>EUR SWPT NVOL OIS 18M1Y</t>
  </si>
  <si>
    <t>EUNE21</t>
  </si>
  <si>
    <t>EUR SWPT NVOL OIS 2Y1Y</t>
  </si>
  <si>
    <t>EUNE31</t>
  </si>
  <si>
    <t>EUR SWPT NVOL OIS 3Y1Y</t>
  </si>
  <si>
    <t>EUNE41</t>
  </si>
  <si>
    <t>EUR SWPT NVOL OIS 4Y1Y</t>
  </si>
  <si>
    <t>2:16:08 PM</t>
  </si>
  <si>
    <t>EUNE51</t>
  </si>
  <si>
    <t>EUR SWPT NVOL OIS 5Y1Y</t>
  </si>
  <si>
    <t>EUNE71</t>
  </si>
  <si>
    <t>EUR SWPT NVOL OIS 7Y1Y</t>
  </si>
  <si>
    <t>EUNE101</t>
  </si>
  <si>
    <t>EUR SWPT NVOL OIS 10Y1Y</t>
  </si>
  <si>
    <t>EUNE151</t>
  </si>
  <si>
    <t>EUR SWPT NVOL OIS 15Y1Y</t>
  </si>
  <si>
    <t>9:14:03 AM</t>
  </si>
  <si>
    <t>EUNE201</t>
  </si>
  <si>
    <t>EUR SWPT NVOL OIS 20Y1Y</t>
  </si>
  <si>
    <t>2:16:09 PM</t>
  </si>
  <si>
    <t>EUNEA2</t>
  </si>
  <si>
    <t>EUR SWPT NVOL OIS 1M2Y</t>
  </si>
  <si>
    <t>EUNEB2</t>
  </si>
  <si>
    <t>EUR SWPT NVOL OIS 2M2Y</t>
  </si>
  <si>
    <t>EUNEC2</t>
  </si>
  <si>
    <t>EUR SWPT NVOL OIS 3M2Y</t>
  </si>
  <si>
    <t>EUNEF2</t>
  </si>
  <si>
    <t>EUR SWPT NVOL OIS 6M2Y</t>
  </si>
  <si>
    <t>EUNEI2</t>
  </si>
  <si>
    <t>EUR SWPT NVOL OIS 9M2Y</t>
  </si>
  <si>
    <t>1:32:39 PM</t>
  </si>
  <si>
    <t>EUNE12</t>
  </si>
  <si>
    <t>EUR SWPT NVOL OIS 1Y2Y</t>
  </si>
  <si>
    <t>EUNER2</t>
  </si>
  <si>
    <t>EUR SWPT NVOL OIS18M2Y</t>
  </si>
  <si>
    <t>EUNE22</t>
  </si>
  <si>
    <t>EUR SWPT NVOL OIS 2Y2Y</t>
  </si>
  <si>
    <t>EUNE32</t>
  </si>
  <si>
    <t>EUR SWPT NVOL OIS 3Y2Y</t>
  </si>
  <si>
    <t>EUNE42</t>
  </si>
  <si>
    <t>EUR SWPT NVOL OIS 4Y2Y</t>
  </si>
  <si>
    <t>EUNE52</t>
  </si>
  <si>
    <t>EUR SWPT NVOL OIS 5Y2Y</t>
  </si>
  <si>
    <t>EUNE72</t>
  </si>
  <si>
    <t>EUR SWPT NVOL OIS 7Y2Y</t>
  </si>
  <si>
    <t>EUNE102</t>
  </si>
  <si>
    <t>EUR SWPT NVOL OIS 10Y2Y</t>
  </si>
  <si>
    <t>EUNE152</t>
  </si>
  <si>
    <t>EUR SWPT NVOL OIS 15Y2Y</t>
  </si>
  <si>
    <t>EUNE202</t>
  </si>
  <si>
    <t>EUR SWPT NVOL OIS 20Y2Y</t>
  </si>
  <si>
    <t>EUNEA3</t>
  </si>
  <si>
    <t>EUR SWPT NVOL OIS 1M3Y</t>
  </si>
  <si>
    <t>10:48:55 AM</t>
  </si>
  <si>
    <t>EUNEB3</t>
  </si>
  <si>
    <t>EUR SWPT NVOL OIS 2M3Y</t>
  </si>
  <si>
    <t>EUNEC3</t>
  </si>
  <si>
    <t>EUR SWPT NVOL OIS 3M3Y</t>
  </si>
  <si>
    <t>EUNEF3</t>
  </si>
  <si>
    <t>EUR SWPT NVOL OIS 6M3Y</t>
  </si>
  <si>
    <t>12:11:39 PM</t>
  </si>
  <si>
    <t>EUNEI3</t>
  </si>
  <si>
    <t>EUR SWPT NVOL OIS 9M3Y</t>
  </si>
  <si>
    <t>EUNE13</t>
  </si>
  <si>
    <t>EUR SWPT NVOL OIS 1Y3Y</t>
  </si>
  <si>
    <t>EUNER3</t>
  </si>
  <si>
    <t>EUR SWPT NVOL OIS18M3Y</t>
  </si>
  <si>
    <t>EUNE23</t>
  </si>
  <si>
    <t>EUR SWPT NVOL OIS 2Y3Y</t>
  </si>
  <si>
    <t>EUNE33</t>
  </si>
  <si>
    <t>EUR SWPT NVOL OIS 3Y3Y</t>
  </si>
  <si>
    <t>EUNE43</t>
  </si>
  <si>
    <t>EUR SWPT NVOL OIS 4Y3Y</t>
  </si>
  <si>
    <t>EUNE53</t>
  </si>
  <si>
    <t>EUR SWPT NVOL OIS 5Y3Y</t>
  </si>
  <si>
    <t>EUNE73</t>
  </si>
  <si>
    <t>EUR SWPT NVOL OIS 7Y3Y</t>
  </si>
  <si>
    <t>EUNE103</t>
  </si>
  <si>
    <t>EUR SWPT NVOL OIS 10Y3Y</t>
  </si>
  <si>
    <t>EUNE153</t>
  </si>
  <si>
    <t>EUR SWPT NVOL OIS 15Y3Y</t>
  </si>
  <si>
    <t>EUNE203</t>
  </si>
  <si>
    <t>EUR SWPT NVOL OIS 20Y3Y</t>
  </si>
  <si>
    <t>EUNEA4</t>
  </si>
  <si>
    <t>EUR SWPT NVOL OIS 1M4Y</t>
  </si>
  <si>
    <t>EUNEB4</t>
  </si>
  <si>
    <t>EUR SWPT NVOL OIS 2M4Y</t>
  </si>
  <si>
    <t>11:40:29 AM</t>
  </si>
  <si>
    <t>EUNEC4</t>
  </si>
  <si>
    <t>EUR SWPT NVOL OIS 3M4Y</t>
  </si>
  <si>
    <t>EUNEF4</t>
  </si>
  <si>
    <t>EUR SWPT NVOL OIS 6M4Y</t>
  </si>
  <si>
    <t>EUNEI4</t>
  </si>
  <si>
    <t>EUR SWPT NVOL OIS 9M4Y</t>
  </si>
  <si>
    <t>EUNE14</t>
  </si>
  <si>
    <t>EUR SWPT NVOL OIS 1Y4Y</t>
  </si>
  <si>
    <t>11:00:27 AM</t>
  </si>
  <si>
    <t>EUNER4</t>
  </si>
  <si>
    <t>EUR SWPT NVOL OIS 18M4Y</t>
  </si>
  <si>
    <t>EUNE24</t>
  </si>
  <si>
    <t>EUR SWPT NVOL OIS 2Y4Y</t>
  </si>
  <si>
    <t>EUNE34</t>
  </si>
  <si>
    <t>EUR SWPT NVOL OIS 3Y4Y</t>
  </si>
  <si>
    <t>EUNE44</t>
  </si>
  <si>
    <t>EUR SWPT NVOL OIS 4Y4Y</t>
  </si>
  <si>
    <t>EUNE54</t>
  </si>
  <si>
    <t>EUR SWPT NVOL OIS 5Y4Y</t>
  </si>
  <si>
    <t>EUNE74</t>
  </si>
  <si>
    <t>EUR SWPT NVOL OIS 7Y4Y</t>
  </si>
  <si>
    <t>EUNE104</t>
  </si>
  <si>
    <t>EUR SWPT NVOL OIS 10Y4Y</t>
  </si>
  <si>
    <t>EUNE154</t>
  </si>
  <si>
    <t>EUR SWPT NVOL OIS 15Y4Y</t>
  </si>
  <si>
    <t>EUNE204</t>
  </si>
  <si>
    <t>EUR SWPT NVOL OIS 20Y4Y</t>
  </si>
  <si>
    <t>EUNEA5</t>
  </si>
  <si>
    <t>EUR SWPT NVOL OIS 1M5Y</t>
  </si>
  <si>
    <t>EUNEB5</t>
  </si>
  <si>
    <t>EUR SWPT NVOL OIS 2M5Y</t>
  </si>
  <si>
    <t>EUNEC5</t>
  </si>
  <si>
    <t>EUR SWPT NVOL OIS 3M5Y</t>
  </si>
  <si>
    <t>EUNEF5</t>
  </si>
  <si>
    <t>EUR SWPT NVOL OIS 6M5Y</t>
  </si>
  <si>
    <t>EUNEI5</t>
  </si>
  <si>
    <t>EUR SWPT NVOL OIS 9M5Y</t>
  </si>
  <si>
    <t>EUNE15</t>
  </si>
  <si>
    <t>EUR SWPT NVOL OIS 1Y5Y</t>
  </si>
  <si>
    <t>EUNER5</t>
  </si>
  <si>
    <t>EUR SWPT NVOL OIS 18M5Y</t>
  </si>
  <si>
    <t>EUNE25</t>
  </si>
  <si>
    <t>EUR SWPT NVOL OIS 2Y5Y</t>
  </si>
  <si>
    <t>EUNE35</t>
  </si>
  <si>
    <t>EUR SWPT NVOL OIS 3Y5Y</t>
  </si>
  <si>
    <t>2:14:10 PM</t>
  </si>
  <si>
    <t>EUNE45</t>
  </si>
  <si>
    <t>EUR SWPT NVOL OIS 4Y5Y</t>
  </si>
  <si>
    <t>EUNE55</t>
  </si>
  <si>
    <t>EUR SWPT NVOL OIS 5Y5Y</t>
  </si>
  <si>
    <t>EUNE75</t>
  </si>
  <si>
    <t>EUR SWPT NVOL OIS 7Y5Y</t>
  </si>
  <si>
    <t>EUNE105</t>
  </si>
  <si>
    <t>EUR SWPT NVOL OIS 10Y5Y</t>
  </si>
  <si>
    <t>EUNE155</t>
  </si>
  <si>
    <t>EUR SWPT NVOL OIS 15Y5Y</t>
  </si>
  <si>
    <t>EUNE205</t>
  </si>
  <si>
    <t>EUR SWPT NVOL OIS 20Y5Y</t>
  </si>
  <si>
    <t>EUNEA6</t>
  </si>
  <si>
    <t>EUR SWPT NVOL OIS 1M6Y</t>
  </si>
  <si>
    <t>EUNEB6</t>
  </si>
  <si>
    <t>EUR SWPT NVOL OIS 2M6Y</t>
  </si>
  <si>
    <t>EUNEC6</t>
  </si>
  <si>
    <t>EUR SWPT NVOL OIS 3M6Y</t>
  </si>
  <si>
    <t>EUNEF6</t>
  </si>
  <si>
    <t>EUR SWPT NVOL OIS 6M6Y</t>
  </si>
  <si>
    <t>EUNEI6</t>
  </si>
  <si>
    <t>EUR SWPT NVOL OIS 9M6Y</t>
  </si>
  <si>
    <t>EUNE16</t>
  </si>
  <si>
    <t>EUR SWPT NVOL OIS 1Y6Y</t>
  </si>
  <si>
    <t>EUNER6</t>
  </si>
  <si>
    <t>EUR SWPT NVOL OIS 18M6Y</t>
  </si>
  <si>
    <t>EUNE26</t>
  </si>
  <si>
    <t>EUR SWPT NVOL OIS 2Y6Y</t>
  </si>
  <si>
    <t>EUNE36</t>
  </si>
  <si>
    <t>EUR SWPT NVOL OIS 3Y6Y</t>
  </si>
  <si>
    <t>EUNE46</t>
  </si>
  <si>
    <t>EUR SWPT NVOL OIS 4Y6Y</t>
  </si>
  <si>
    <t>EUNE56</t>
  </si>
  <si>
    <t>EUR SWPT NVOL OIS 5Y6Y</t>
  </si>
  <si>
    <t>EUNE76</t>
  </si>
  <si>
    <t>EUR SWPT NVOL OIS 7Y6Y</t>
  </si>
  <si>
    <t>EUNE106</t>
  </si>
  <si>
    <t>EUR SWPT NVOL OIS 10Y6Y</t>
  </si>
  <si>
    <t>EUNE156</t>
  </si>
  <si>
    <t>EUR SWPT NVOL OIS 15Y6Y</t>
  </si>
  <si>
    <t>EUNE206</t>
  </si>
  <si>
    <t>EUR SWPT NVOL OIS 20Y6Y</t>
  </si>
  <si>
    <t>EUNEA7</t>
  </si>
  <si>
    <t>EUR SWPT NVOL OIS 1M7Y</t>
  </si>
  <si>
    <t>EUNEB7</t>
  </si>
  <si>
    <t>EUR SWPT NVOL OIS 2M7Y</t>
  </si>
  <si>
    <t>EUNEC7</t>
  </si>
  <si>
    <t>EUR SWPT NVOL OIS 3M7Y</t>
  </si>
  <si>
    <t>EUNEF7</t>
  </si>
  <si>
    <t>EUR SWPT NVOL OIS 6M7Y</t>
  </si>
  <si>
    <t>EUNEI7</t>
  </si>
  <si>
    <t>EUR SWPT NVOL OIS 9M7Y</t>
  </si>
  <si>
    <t>EUNE17</t>
  </si>
  <si>
    <t>EUR SWPT NVOL OIS 1Y7Y</t>
  </si>
  <si>
    <t>EUNER7</t>
  </si>
  <si>
    <t>EUR SWPT NVOL OIS 18M7Y</t>
  </si>
  <si>
    <t>EUNE27</t>
  </si>
  <si>
    <t>EUR SWPT NVOL OIS 2Y7Y</t>
  </si>
  <si>
    <t>EUNE37</t>
  </si>
  <si>
    <t>EUR SWPT NVOL OIS 3Y7Y</t>
  </si>
  <si>
    <t>EUNE47</t>
  </si>
  <si>
    <t>EUR SWPT NVOL OIS 4Y7Y</t>
  </si>
  <si>
    <t>EUNE57</t>
  </si>
  <si>
    <t>EUR SWPT NVOL OIS 5Y7Y</t>
  </si>
  <si>
    <t>EUNE77</t>
  </si>
  <si>
    <t>EUR SWPT NVOL OIS 7Y7Y</t>
  </si>
  <si>
    <t>EUNE107</t>
  </si>
  <si>
    <t>EUR SWPT NVOL OIS 10Y7Y</t>
  </si>
  <si>
    <t>EUNE157</t>
  </si>
  <si>
    <t>EUR SWPT NVOL OIS 15Y7Y</t>
  </si>
  <si>
    <t>EUNE207</t>
  </si>
  <si>
    <t>EUR SWPT NVOL OIS 20Y7Y</t>
  </si>
  <si>
    <t>EUNEA8</t>
  </si>
  <si>
    <t>EUR SWPT NVOL OIS 1M8Y</t>
  </si>
  <si>
    <t>EUNEB8</t>
  </si>
  <si>
    <t>EUR SWPT NVOL OIS 2M8Y</t>
  </si>
  <si>
    <t>EUNEC8</t>
  </si>
  <si>
    <t>EUR SWPT NVOL OIS 3M8Y</t>
  </si>
  <si>
    <t>EUNEF8</t>
  </si>
  <si>
    <t>EUR SWPT NVOL OIS 6M8Y</t>
  </si>
  <si>
    <t>EUNEI8</t>
  </si>
  <si>
    <t>EUR SWPT NVOL OIS 9M8Y</t>
  </si>
  <si>
    <t>EUNE18</t>
  </si>
  <si>
    <t>EUR SWPT NVOL OIS 1Y8Y</t>
  </si>
  <si>
    <t>EUNER8</t>
  </si>
  <si>
    <t>EUR SWPT NVOL OIS 18M8Y</t>
  </si>
  <si>
    <t>EUNE28</t>
  </si>
  <si>
    <t>EUR SWPT NVOL OIS 2Y8Y</t>
  </si>
  <si>
    <t>EUNE38</t>
  </si>
  <si>
    <t>EUR SWPT NVOL OIS 3Y8Y</t>
  </si>
  <si>
    <t>EUNE48</t>
  </si>
  <si>
    <t>EUR SWPT NVOL OIS 4Y8Y</t>
  </si>
  <si>
    <t>EUNE58</t>
  </si>
  <si>
    <t>EUR SWPT NVOL OIS 5Y8Y</t>
  </si>
  <si>
    <t>EUNE78</t>
  </si>
  <si>
    <t>EUR SWPT NVOL OIS 7Y8Y</t>
  </si>
  <si>
    <t>EUNE108</t>
  </si>
  <si>
    <t>EUR SWPT NVOL OIS 10Y8Y</t>
  </si>
  <si>
    <t>EUNE158</t>
  </si>
  <si>
    <t>EUR SWPT NVOL OIS 15Y8Y</t>
  </si>
  <si>
    <t>EUNE208</t>
  </si>
  <si>
    <t>EUR SWPT NVOL OIS 20Y8Y</t>
  </si>
  <si>
    <t>EUNEA9</t>
  </si>
  <si>
    <t>EUR SWPT NVOL OIS 1M9Y</t>
  </si>
  <si>
    <t>EUNEB9</t>
  </si>
  <si>
    <t>EUR SWPT NVOL OIS 2M9Y</t>
  </si>
  <si>
    <t>EUNEC9</t>
  </si>
  <si>
    <t>EUR SWPT NVOL OIS 3M9Y</t>
  </si>
  <si>
    <t>EUNEF9</t>
  </si>
  <si>
    <t>EUR SWPT NVOL OIS 6M9Y</t>
  </si>
  <si>
    <t>EUNEI9</t>
  </si>
  <si>
    <t>EUR SWPT NVOL OIS 9M9Y</t>
  </si>
  <si>
    <t>EUNE19</t>
  </si>
  <si>
    <t>EUR SWPT NVOL OIS 1Y9Y</t>
  </si>
  <si>
    <t>EUNER9</t>
  </si>
  <si>
    <t>EUR SWPT NVOL OIS 18M9Y</t>
  </si>
  <si>
    <t>EUNE29</t>
  </si>
  <si>
    <t>EUR SWPT NVOL OIS 2Y9Y</t>
  </si>
  <si>
    <t>EUNE39</t>
  </si>
  <si>
    <t>EUR SWPT NVOL OIS 3Y9Y</t>
  </si>
  <si>
    <t>EUNE49</t>
  </si>
  <si>
    <t>EUR SWPT NVOL OIS 4Y9Y</t>
  </si>
  <si>
    <t>EUNE59</t>
  </si>
  <si>
    <t>EUR SWPT NVOL OIS 5Y9Y</t>
  </si>
  <si>
    <t>EUNE79</t>
  </si>
  <si>
    <t>EUR SWPT NVOL OIS 7Y9Y</t>
  </si>
  <si>
    <t>EUNE109</t>
  </si>
  <si>
    <t>EUR SWPT NVOL OIS 10Y9Y</t>
  </si>
  <si>
    <t>EUNE159</t>
  </si>
  <si>
    <t>EUR SWPT NVOL OIS 15Y9Y</t>
  </si>
  <si>
    <t>EUNE209</t>
  </si>
  <si>
    <t>EUR SWPT NVOL OIS 20Y9Y</t>
  </si>
  <si>
    <t>EUNEA10</t>
  </si>
  <si>
    <t>EUR SWPT NVOL OIS 1M10Y</t>
  </si>
  <si>
    <t>10:44:52 AM</t>
  </si>
  <si>
    <t>EUNEB10</t>
  </si>
  <si>
    <t>EUR SWPT NVOL OIS 2M10Y</t>
  </si>
  <si>
    <t>EUNEC10</t>
  </si>
  <si>
    <t>EUR SWPT NVOL OIS 3M10Y</t>
  </si>
  <si>
    <t>EUNEF10</t>
  </si>
  <si>
    <t>EUR SWPT NVOL OIS 6M10Y</t>
  </si>
  <si>
    <t>EUNEI10</t>
  </si>
  <si>
    <t>EUR SWPT NVOL OIS 9M10Y</t>
  </si>
  <si>
    <t>EUNE110</t>
  </si>
  <si>
    <t>EUR SWPT NVOL OIS 1Y10Y</t>
  </si>
  <si>
    <t>EUNER10</t>
  </si>
  <si>
    <t>EUR SWPT NVOL OIS 18M10Y</t>
  </si>
  <si>
    <t>EUNE210</t>
  </si>
  <si>
    <t>EUR SWPT NVOL OIS 2Y10Y</t>
  </si>
  <si>
    <t>EUNE310</t>
  </si>
  <si>
    <t>EUR SWPT NVOL OIS 3Y10Y</t>
  </si>
  <si>
    <t>EUNE410</t>
  </si>
  <si>
    <t>EUR SWPT NVOL OIS 4Y10Y</t>
  </si>
  <si>
    <t>EUNE510</t>
  </si>
  <si>
    <t>EUR SWPT NVOL OIS 5Y10Y</t>
  </si>
  <si>
    <t>EUNE710</t>
  </si>
  <si>
    <t>EUR SWPT NVOL OIS 7Y10Y</t>
  </si>
  <si>
    <t>EUNE1010</t>
  </si>
  <si>
    <t>EUR SWPT NVOL OIS 10Y10Y</t>
  </si>
  <si>
    <t>EUNE1510</t>
  </si>
  <si>
    <t>EUR SWPT NVOL OIS 15Y10Y</t>
  </si>
  <si>
    <t>EUNE2010</t>
  </si>
  <si>
    <t>EUR SWPT NVOL OIS 20Y10Y</t>
  </si>
  <si>
    <t>EUNEA15</t>
  </si>
  <si>
    <t>EUR SWPT NVOL OIS 1M15Y</t>
  </si>
  <si>
    <t>EUNEB15</t>
  </si>
  <si>
    <t>EUR SWPT NVOL OIS 2M15Y</t>
  </si>
  <si>
    <t>EUNEC15</t>
  </si>
  <si>
    <t>EUR SWPT NVOL OIS 3M15Y</t>
  </si>
  <si>
    <t>EUNEF15</t>
  </si>
  <si>
    <t>EUR SWPT NVOL OIS 6M15Y</t>
  </si>
  <si>
    <t>EUNEI15</t>
  </si>
  <si>
    <t>EUR SWPT NVOL OIS 9M15Y</t>
  </si>
  <si>
    <t>EUNE115</t>
  </si>
  <si>
    <t>EUR SWPT NVOL OIS 1Y15Y</t>
  </si>
  <si>
    <t>11:08:01 AM</t>
  </si>
  <si>
    <t>EUNER15</t>
  </si>
  <si>
    <t>EUR SWPT NVOL OIS 18M15Y</t>
  </si>
  <si>
    <t>EUNE215</t>
  </si>
  <si>
    <t>EUR SWPT NVOL OIS 2Y15Y</t>
  </si>
  <si>
    <t>EUNE315</t>
  </si>
  <si>
    <t>EUR SWPT NVOL OIS 3Y15Y</t>
  </si>
  <si>
    <t>EUNE415</t>
  </si>
  <si>
    <t>EUR SWPT NVOL OIS 4Y15Y</t>
  </si>
  <si>
    <t>EUNE515</t>
  </si>
  <si>
    <t>EUR SWPT NVOL OIS 5Y15Y</t>
  </si>
  <si>
    <t>EUNE715</t>
  </si>
  <si>
    <t>EUR SWPT NVOL OIS 7Y15Y</t>
  </si>
  <si>
    <t>EUNE1015</t>
  </si>
  <si>
    <t>EUR SWPT NVOL OIS 10Y15Y</t>
  </si>
  <si>
    <t>EUNE1515</t>
  </si>
  <si>
    <t>EUR SWPT NVOL OIS 15Y15Y</t>
  </si>
  <si>
    <t>EUNE2015</t>
  </si>
  <si>
    <t>EUR SWPT NVOL OIS 20Y15Y</t>
  </si>
  <si>
    <t>EUNEA20</t>
  </si>
  <si>
    <t>EUR SWPT NVOL OIS 1M20Y</t>
  </si>
  <si>
    <t>EUNEB20</t>
  </si>
  <si>
    <t>EUR SWPT NVOL OIS 2M20Y</t>
  </si>
  <si>
    <t>EUNEC20</t>
  </si>
  <si>
    <t>EUR SWPT NVOL OIS 3M20Y</t>
  </si>
  <si>
    <t>EUNEF20</t>
  </si>
  <si>
    <t>EUR SWPT NVOL OIS 6M20Y</t>
  </si>
  <si>
    <t>EUNEI20</t>
  </si>
  <si>
    <t>EUR SWPT NVOL OIS 9M20Y</t>
  </si>
  <si>
    <t>EUNE120</t>
  </si>
  <si>
    <t>EUR SWPT NVOL OIS 1Y20Y</t>
  </si>
  <si>
    <t>EUNER20</t>
  </si>
  <si>
    <t>EUR SWPT NVOL OIS 18M20Y</t>
  </si>
  <si>
    <t>EUNE220</t>
  </si>
  <si>
    <t>EUR SWPT NVOL OIS 2Y20Y</t>
  </si>
  <si>
    <t>EUNE320</t>
  </si>
  <si>
    <t>EUR SWPT NVOL OIS 3Y20Y</t>
  </si>
  <si>
    <t>EUNE420</t>
  </si>
  <si>
    <t>EUR SWPT NVOL OIS 4Y20Y</t>
  </si>
  <si>
    <t>EUNE520</t>
  </si>
  <si>
    <t>EUR SWPT NVOL OIS 5Y20Y</t>
  </si>
  <si>
    <t>EUNE720</t>
  </si>
  <si>
    <t>EUR SWPT NVOL OIS 7Y20Y</t>
  </si>
  <si>
    <t>EUNE1020</t>
  </si>
  <si>
    <t>EUR SWPT NVOL OIS 10Y20Y</t>
  </si>
  <si>
    <t>EUNE1520</t>
  </si>
  <si>
    <t>EUR SWPT NVOL OIS 15Y20Y</t>
  </si>
  <si>
    <t>EUNE2020</t>
  </si>
  <si>
    <t>EUR SWPT NVOL OIS 20Y20Y</t>
  </si>
  <si>
    <t>EUNEA25</t>
  </si>
  <si>
    <t>EUR SWPT NVOL OIS 1M25Y</t>
  </si>
  <si>
    <t>EUNEB25</t>
  </si>
  <si>
    <t>EUR SWPT NVOL OIS 2M25Y</t>
  </si>
  <si>
    <t>EUNEC25</t>
  </si>
  <si>
    <t>EUR SWPT NVOL OIS 3M25Y</t>
  </si>
  <si>
    <t>EUNEF25</t>
  </si>
  <si>
    <t>EUR SWPT NVOL OIS 6M25Y</t>
  </si>
  <si>
    <t>EUNEI25</t>
  </si>
  <si>
    <t>EUR SWPT NVOL OIS 9M25Y</t>
  </si>
  <si>
    <t>EUNE125</t>
  </si>
  <si>
    <t>EUR SWPT NVOL OIS 1Y25Y</t>
  </si>
  <si>
    <t>EUNER25</t>
  </si>
  <si>
    <t>EUR SWPT NVOL OIS 18M25Y</t>
  </si>
  <si>
    <t>EUNE225</t>
  </si>
  <si>
    <t>EUR SWPT NVOL OIS 2Y25Y</t>
  </si>
  <si>
    <t>EUNE325</t>
  </si>
  <si>
    <t>EUR SWPT NVOL OIS 3Y25Y</t>
  </si>
  <si>
    <t>EUNE425</t>
  </si>
  <si>
    <t>EUR SWPT NVOL OIS 4Y25Y</t>
  </si>
  <si>
    <t>EUNE525</t>
  </si>
  <si>
    <t>EUR SWPT NVOL OIS 5Y25Y</t>
  </si>
  <si>
    <t>EUNE725</t>
  </si>
  <si>
    <t>EUR SWPT NVOL OIS 7Y25Y</t>
  </si>
  <si>
    <t>EUNE1025</t>
  </si>
  <si>
    <t>EUR SWPT NVOL OIS 10Y25Y</t>
  </si>
  <si>
    <t>EUNE1525</t>
  </si>
  <si>
    <t>EUR SWPT NVOL OIS 15Y25Y</t>
  </si>
  <si>
    <t>EUNE2025</t>
  </si>
  <si>
    <t>EUR SWPT NVOL OIS 20Y25Y</t>
  </si>
  <si>
    <t>EUNEA30</t>
  </si>
  <si>
    <t>EUR SWPT NVOL OIS 1M30Y</t>
  </si>
  <si>
    <t>EUNEB30</t>
  </si>
  <si>
    <t>EUR SWPT NVOL OIS 2M30Y</t>
  </si>
  <si>
    <t>EUNEC30</t>
  </si>
  <si>
    <t>EUR SWPT NVOL OIS 3M30Y</t>
  </si>
  <si>
    <t>EUNEF30</t>
  </si>
  <si>
    <t>EUR SWPT NVOL OIS 6M30Y</t>
  </si>
  <si>
    <t>EUNEI30</t>
  </si>
  <si>
    <t>EUR SWPT NVOL OIS 9M30Y</t>
  </si>
  <si>
    <t>EUNE130</t>
  </si>
  <si>
    <t>EUR SWPT NVOL OIS 1Y30Y</t>
  </si>
  <si>
    <t>EUNER30</t>
  </si>
  <si>
    <t>EUR SWPT NVOL OIS 18M30Y</t>
  </si>
  <si>
    <t>EUNE230</t>
  </si>
  <si>
    <t>EUR SWPT NVOL OIS 2Y30Y</t>
  </si>
  <si>
    <t>EUNE330</t>
  </si>
  <si>
    <t>EUR SWPT NVOL OIS 3Y30Y</t>
  </si>
  <si>
    <t>EUNE430</t>
  </si>
  <si>
    <t>EUR SWPT NVOL OIS 4Y30Y</t>
  </si>
  <si>
    <t>EUNE530</t>
  </si>
  <si>
    <t>EUR SWPT NVOL OIS 5Y30Y</t>
  </si>
  <si>
    <t>EUNE730</t>
  </si>
  <si>
    <t>EUR SWPT NVOL OIS 7Y30Y</t>
  </si>
  <si>
    <t>EUNE1030</t>
  </si>
  <si>
    <t>EUR SWPT NVOL OIS 10Y30Y</t>
  </si>
  <si>
    <t>EUNE1530</t>
  </si>
  <si>
    <t>EUR SWPT NVOL OIS 15Y30Y</t>
  </si>
  <si>
    <t>EUNE2030</t>
  </si>
  <si>
    <t>EUR SWPT NVOL OIS 20Y30Y</t>
  </si>
  <si>
    <t>Straddle FW Prem</t>
  </si>
  <si>
    <t>EUPEA1</t>
  </si>
  <si>
    <t>EUR SWPT FRD PREM 1M1Y</t>
  </si>
  <si>
    <t>EUPEB1</t>
  </si>
  <si>
    <t>EUR SWPT FRD PREM 2M1Y</t>
  </si>
  <si>
    <t>EUPEC1</t>
  </si>
  <si>
    <t>EUR SWPT FRD PREM 3M1Y</t>
  </si>
  <si>
    <t>EUPEF1</t>
  </si>
  <si>
    <t>EUR SWPT FRD PREM 6M1Y</t>
  </si>
  <si>
    <t>EUPEI1</t>
  </si>
  <si>
    <t>EUR SWPT FRD PREM 9M1Y</t>
  </si>
  <si>
    <t>EUPE11</t>
  </si>
  <si>
    <t>EUR SWPT FRD PREM 1Y1Y</t>
  </si>
  <si>
    <t>EUPER1</t>
  </si>
  <si>
    <t>EUR SWPT FRD PREM 18M1Y</t>
  </si>
  <si>
    <t>EUPE21</t>
  </si>
  <si>
    <t>EUR SWPT FRD PREM 2Y1Y</t>
  </si>
  <si>
    <t>EUPE31</t>
  </si>
  <si>
    <t>EUR SWPT FRD PREM 3Y1Y</t>
  </si>
  <si>
    <t>EUPE41</t>
  </si>
  <si>
    <t>EUR SWPT FRD PREM 4Y1Y</t>
  </si>
  <si>
    <t>EUPE51</t>
  </si>
  <si>
    <t>EUR SWPT FRD PREM 5Y1Y</t>
  </si>
  <si>
    <t>EUPE71</t>
  </si>
  <si>
    <t>EUR SWPT FRD PREM 7Y1Y</t>
  </si>
  <si>
    <t>7:00:51 AM</t>
  </si>
  <si>
    <t>EUPE101</t>
  </si>
  <si>
    <t>EUR SWPT FRD PREM 10Y1Y</t>
  </si>
  <si>
    <t>EUPE151</t>
  </si>
  <si>
    <t>EUR SWPT FRD PREM 15Y1Y</t>
  </si>
  <si>
    <t>EUPE201</t>
  </si>
  <si>
    <t>EUR SWPT FRD PREM 20Y1Y</t>
  </si>
  <si>
    <t>12:11:43 PM</t>
  </si>
  <si>
    <t>EUPEA2</t>
  </si>
  <si>
    <t>EUR SWPT FRD PREM 1M2Y</t>
  </si>
  <si>
    <t>EUPEB2</t>
  </si>
  <si>
    <t>EUR SWPT FRD PREM 2M2Y</t>
  </si>
  <si>
    <t>EUPEC2</t>
  </si>
  <si>
    <t>EUR SWPT FRD PREM 3M2Y</t>
  </si>
  <si>
    <t>EUPEF2</t>
  </si>
  <si>
    <t>EUR SWPT FRD PREM 6M2Y</t>
  </si>
  <si>
    <t>EUPEI2</t>
  </si>
  <si>
    <t>EUR SWPT FRD PREM 9M2Y</t>
  </si>
  <si>
    <t>EUPE12</t>
  </si>
  <si>
    <t>EUR SWPT FRD PREM 1Y2Y</t>
  </si>
  <si>
    <t>1:07:48 PM</t>
  </si>
  <si>
    <t>EUPER2</t>
  </si>
  <si>
    <t>EUR SWPT FRD PREM 18M2Y</t>
  </si>
  <si>
    <t>EUPE22</t>
  </si>
  <si>
    <t>EUR SWPT FRD PREM 2Y2Y</t>
  </si>
  <si>
    <t>EUPE32</t>
  </si>
  <si>
    <t>EUR SWPT FRD PREM 3Y2Y</t>
  </si>
  <si>
    <t>EUPE42</t>
  </si>
  <si>
    <t>EUR SWPT FRD PREM 4Y2Y</t>
  </si>
  <si>
    <t>EUPE52</t>
  </si>
  <si>
    <t>EUR SWPT FRD PREM 5Y2Y</t>
  </si>
  <si>
    <t>EUPE72</t>
  </si>
  <si>
    <t>EUR SWPT FRD PREM 7Y2Y</t>
  </si>
  <si>
    <t>EUPE102</t>
  </si>
  <si>
    <t>EUR SWPT FRD PREM 10Y2Y</t>
  </si>
  <si>
    <t>EUPE152</t>
  </si>
  <si>
    <t>EUR SWPT FRD PREM 15Y2Y</t>
  </si>
  <si>
    <t>1:07:19 PM</t>
  </si>
  <si>
    <t>EUPE202</t>
  </si>
  <si>
    <t>EUR SWPT FRD PREM 20Y2Y</t>
  </si>
  <si>
    <t>EUPEA3</t>
  </si>
  <si>
    <t>EUR SWPT FRD PREM 1M3Y</t>
  </si>
  <si>
    <t>EUPEB3</t>
  </si>
  <si>
    <t>EUR SWPT FRD PREM 2M3Y</t>
  </si>
  <si>
    <t>EUPEC3</t>
  </si>
  <si>
    <t>EUR SWPT FRD PREM 3M3Y</t>
  </si>
  <si>
    <t>EUPEF3</t>
  </si>
  <si>
    <t>EUR SWPT FRD PREM 6M3Y</t>
  </si>
  <si>
    <t>EUPEI3</t>
  </si>
  <si>
    <t>EUR SWPT FRD PREM 9M3Y</t>
  </si>
  <si>
    <t>EUPE13</t>
  </si>
  <si>
    <t>EUR SWPT FRD PREM 1Y3Y</t>
  </si>
  <si>
    <t>EUPER3</t>
  </si>
  <si>
    <t>EUR SWPT FRD PREM 18M3Y</t>
  </si>
  <si>
    <t>EUPE23</t>
  </si>
  <si>
    <t>EUR SWPT FRD PREM 2Y3Y</t>
  </si>
  <si>
    <t>EUPE33</t>
  </si>
  <si>
    <t>EUR SWPT FRD PREM 3Y3Y</t>
  </si>
  <si>
    <t>EUPE43</t>
  </si>
  <si>
    <t>EUR SWPT FRD PREM 4Y3Y</t>
  </si>
  <si>
    <t>11:07:13 AM</t>
  </si>
  <si>
    <t>EUPE53</t>
  </si>
  <si>
    <t>EUR SWPT FRD PREM 5Y3Y</t>
  </si>
  <si>
    <t>EUPE73</t>
  </si>
  <si>
    <t>EUR SWPT FRD PREM 7Y3Y</t>
  </si>
  <si>
    <t>EUPE103</t>
  </si>
  <si>
    <t>EUR SWPT FRD PREM 10Y3Y</t>
  </si>
  <si>
    <t>EUPE153</t>
  </si>
  <si>
    <t>EUR SWPT FRD PREM 15Y3Y</t>
  </si>
  <si>
    <t>EUPE203</t>
  </si>
  <si>
    <t>EUR SWPT FRD PREM 20Y3Y</t>
  </si>
  <si>
    <t>EUPEA4</t>
  </si>
  <si>
    <t>EUR SWPT FRD PREM 1M4Y</t>
  </si>
  <si>
    <t>EUPEB4</t>
  </si>
  <si>
    <t>EUR SWPT FRD PREM 2M4Y</t>
  </si>
  <si>
    <t>EUPEC4</t>
  </si>
  <si>
    <t>EUR SWPT FRD PREM 3M4Y</t>
  </si>
  <si>
    <t>EUPEF4</t>
  </si>
  <si>
    <t>EUR SWPT FRD PREM 6M4Y</t>
  </si>
  <si>
    <t>EUPEI4</t>
  </si>
  <si>
    <t>EUR SWPT FRD PREM 9M4Y</t>
  </si>
  <si>
    <t>EUPE14</t>
  </si>
  <si>
    <t>EUR SWPT FRD PREM 1Y4Y</t>
  </si>
  <si>
    <t>EUPER4</t>
  </si>
  <si>
    <t>EUR SWPT FRD PREM 18M4Y</t>
  </si>
  <si>
    <t>EUPE24</t>
  </si>
  <si>
    <t>EUR SWPT FRD PREM 2Y4Y</t>
  </si>
  <si>
    <t>EUPE34</t>
  </si>
  <si>
    <t>EUR SWPT FRD PREM 3Y4Y</t>
  </si>
  <si>
    <t>EUPE44</t>
  </si>
  <si>
    <t>EUR SWPT FRD PREM 4Y4Y</t>
  </si>
  <si>
    <t>EUPE54</t>
  </si>
  <si>
    <t>EUR SWPT FRD PREM 5Y4Y</t>
  </si>
  <si>
    <t>EUPE74</t>
  </si>
  <si>
    <t>EUR SWPT FRD PREM 7Y4Y</t>
  </si>
  <si>
    <t>EUPE104</t>
  </si>
  <si>
    <t>EUR SWPT FRD PREM 10Y4Y</t>
  </si>
  <si>
    <t>EUPE154</t>
  </si>
  <si>
    <t>EUR SWPT FRD PREM 15Y4Y</t>
  </si>
  <si>
    <t>EUPE204</t>
  </si>
  <si>
    <t>EUR SWPT FRD PREM 20Y4Y</t>
  </si>
  <si>
    <t>EUPEA5</t>
  </si>
  <si>
    <t>EUR SWPT FRD PREM 1M5Y</t>
  </si>
  <si>
    <t>EUPEB5</t>
  </si>
  <si>
    <t>EUR SWPT FRD PREM 2M5Y</t>
  </si>
  <si>
    <t>EUPEC5</t>
  </si>
  <si>
    <t>EUR SWPT FRD PREM 3M5Y</t>
  </si>
  <si>
    <t>EUPEF5</t>
  </si>
  <si>
    <t>EUR SWPT FRD PREM 6M5Y</t>
  </si>
  <si>
    <t>EUPEI5</t>
  </si>
  <si>
    <t>EUR SWPT FRD PREM 9M5Y</t>
  </si>
  <si>
    <t>1:07:18 PM</t>
  </si>
  <si>
    <t>EUPE15</t>
  </si>
  <si>
    <t>EUR SWPT FRD PREM 1Y5Y</t>
  </si>
  <si>
    <t>EUPER5</t>
  </si>
  <si>
    <t>EUR SWPT FRD PREM 18M5Y</t>
  </si>
  <si>
    <t>EUPE25</t>
  </si>
  <si>
    <t>EUR SWPT FRD PREM 2Y5Y</t>
  </si>
  <si>
    <t>EUPE35</t>
  </si>
  <si>
    <t>EUR SWPT FRD PREM 3Y5Y</t>
  </si>
  <si>
    <t>EUPE45</t>
  </si>
  <si>
    <t>EUR SWPT FRD PREM 4Y5Y</t>
  </si>
  <si>
    <t>EUPE55</t>
  </si>
  <si>
    <t>EUR SWPT FRD PREM 5Y5Y</t>
  </si>
  <si>
    <t>EUPE75</t>
  </si>
  <si>
    <t>EUR SWPT FRD PREM 7Y5Y</t>
  </si>
  <si>
    <t>EUPE105</t>
  </si>
  <si>
    <t>EUR SWPT FRD PREM 10Y5Y</t>
  </si>
  <si>
    <t>EUPE155</t>
  </si>
  <si>
    <t>EUR SWPT FRD PREM 15Y5Y</t>
  </si>
  <si>
    <t>EUPE205</t>
  </si>
  <si>
    <t>EUR SWPT FRD PREM 20Y5Y</t>
  </si>
  <si>
    <t>EUPEA6</t>
  </si>
  <si>
    <t>EUR SWPT FRD PREM 1M6Y</t>
  </si>
  <si>
    <t>EUPEB6</t>
  </si>
  <si>
    <t>EUR SWPT FRD PREM 2M6Y</t>
  </si>
  <si>
    <t>EUPEC6</t>
  </si>
  <si>
    <t>EUR SWPT FRD PREM 3M6Y</t>
  </si>
  <si>
    <t>EUPEF6</t>
  </si>
  <si>
    <t>EUR SWPT FRD PREM 6M6Y</t>
  </si>
  <si>
    <t>EUPEI6</t>
  </si>
  <si>
    <t>EUR SWPT FRD PREM 9M6Y</t>
  </si>
  <si>
    <t>EUPE16</t>
  </si>
  <si>
    <t>EUR SWPT FRD PREM 1Y6Y</t>
  </si>
  <si>
    <t>EUPER6</t>
  </si>
  <si>
    <t>EUR SWPT FRD PREM 18M6Y</t>
  </si>
  <si>
    <t>EUPE26</t>
  </si>
  <si>
    <t>EUR SWPT FRD PREM 2Y6Y</t>
  </si>
  <si>
    <t>EUPE36</t>
  </si>
  <si>
    <t>EUR SWPT FRD PREM 3Y6Y</t>
  </si>
  <si>
    <t>EUPE46</t>
  </si>
  <si>
    <t>EUR SWPT FRD PREM 4Y6Y</t>
  </si>
  <si>
    <t>EUPE56</t>
  </si>
  <si>
    <t>EUR SWPT FRD PREM 5Y6Y</t>
  </si>
  <si>
    <t>EUPE76</t>
  </si>
  <si>
    <t>EUR SWPT FRD PREM 7Y6Y</t>
  </si>
  <si>
    <t>EUPE106</t>
  </si>
  <si>
    <t>EUR SWPT FRD PREM 10Y6Y</t>
  </si>
  <si>
    <t>EUPE156</t>
  </si>
  <si>
    <t>EUR SWPT FRD PREM 15Y6Y</t>
  </si>
  <si>
    <t>EUPE206</t>
  </si>
  <si>
    <t>EUR SWPT FRD PREM 20Y6Y</t>
  </si>
  <si>
    <t>EUPEA7</t>
  </si>
  <si>
    <t>EUR SWPT FRD PREM 1M7Y</t>
  </si>
  <si>
    <t>EUPEB7</t>
  </si>
  <si>
    <t>EUR SWPT FRD PREM 2M7Y</t>
  </si>
  <si>
    <t>EUPEC7</t>
  </si>
  <si>
    <t>EUR SWPT FRD PREM 3M7Y</t>
  </si>
  <si>
    <t>EUPEF7</t>
  </si>
  <si>
    <t>EUR SWPT FRD PREM 6M7Y</t>
  </si>
  <si>
    <t>EUPEI7</t>
  </si>
  <si>
    <t>EUR SWPT FRD PREM 9M7Y</t>
  </si>
  <si>
    <t>EUPE17</t>
  </si>
  <si>
    <t>EUR SWPT FRD PREM 1Y7Y</t>
  </si>
  <si>
    <t>EUPER7</t>
  </si>
  <si>
    <t>EUR SWPT FRD PREM 18M7Y</t>
  </si>
  <si>
    <t>EUPE27</t>
  </si>
  <si>
    <t>EUR SWPT FRD PREM 2Y7Y</t>
  </si>
  <si>
    <t>EUPE37</t>
  </si>
  <si>
    <t>EUR SWPT FRD PREM 3Y7Y</t>
  </si>
  <si>
    <t>EUPE47</t>
  </si>
  <si>
    <t>EUR SWPT FRD PREM 4Y7Y</t>
  </si>
  <si>
    <t>EUPE57</t>
  </si>
  <si>
    <t>EUR SWPT FRD PREM 5Y7Y</t>
  </si>
  <si>
    <t>EUPE77</t>
  </si>
  <si>
    <t>EUR SWPT FRD PREM 7Y7Y</t>
  </si>
  <si>
    <t>EUPE107</t>
  </si>
  <si>
    <t>EUR SWPT FRD PREM 10Y7Y</t>
  </si>
  <si>
    <t>EUPE157</t>
  </si>
  <si>
    <t>EUR SWPT FRD PREM 15Y7Y</t>
  </si>
  <si>
    <t>EUPE207</t>
  </si>
  <si>
    <t>EUR SWPT FRD PREM 20Y7Y</t>
  </si>
  <si>
    <t>EUPEA8</t>
  </si>
  <si>
    <t>EUR SWPT FRD PREM 1M8Y</t>
  </si>
  <si>
    <t>EUPEB8</t>
  </si>
  <si>
    <t>EUR SWPT FRD PREM 2M8Y</t>
  </si>
  <si>
    <t>EUPEC8</t>
  </si>
  <si>
    <t>EUR SWPT FRD PREM 3M8Y</t>
  </si>
  <si>
    <t>EUPEF8</t>
  </si>
  <si>
    <t>EUR SWPT FRD PREM 6M8Y</t>
  </si>
  <si>
    <t>EUPEI8</t>
  </si>
  <si>
    <t>EUR SWPT FRD PREM 9M8Y</t>
  </si>
  <si>
    <t>EUPE18</t>
  </si>
  <si>
    <t>EUR SWPT FRD PREM 1Y8Y</t>
  </si>
  <si>
    <t>EUPER8</t>
  </si>
  <si>
    <t>EUR SWPT FRD PREM 18M8Y</t>
  </si>
  <si>
    <t>EUPE28</t>
  </si>
  <si>
    <t>EUR SWPT FRD PREM 2Y8Y</t>
  </si>
  <si>
    <t>EUPE38</t>
  </si>
  <si>
    <t>EUR SWPT FRD PREM 3Y8Y</t>
  </si>
  <si>
    <t>EUPE48</t>
  </si>
  <si>
    <t>EUR SWPT FRD PREM 4Y8Y</t>
  </si>
  <si>
    <t>EUPE58</t>
  </si>
  <si>
    <t>EUR SWPT FRD PREM 5Y8Y</t>
  </si>
  <si>
    <t>EUPE78</t>
  </si>
  <si>
    <t>EUR SWPT FRD PREM 7Y8Y</t>
  </si>
  <si>
    <t>EUPE108</t>
  </si>
  <si>
    <t>EUR SWPT FRD PREM 10Y8Y</t>
  </si>
  <si>
    <t>EUPE158</t>
  </si>
  <si>
    <t>EUR SWPT FRD PREM 15Y8Y</t>
  </si>
  <si>
    <t>EUPE208</t>
  </si>
  <si>
    <t>EUR SWPT FRD PREM 20Y8Y</t>
  </si>
  <si>
    <t>EUPEA9</t>
  </si>
  <si>
    <t>EUR SWPT FRD PREM 1M9Y</t>
  </si>
  <si>
    <t>EUPEB9</t>
  </si>
  <si>
    <t>EUR SWPT FRD PREM 2M9Y</t>
  </si>
  <si>
    <t>10:42:10 AM</t>
  </si>
  <si>
    <t>EUPEC9</t>
  </si>
  <si>
    <t>EUR SWPT FRD PREM 3M9Y</t>
  </si>
  <si>
    <t>EUPEF9</t>
  </si>
  <si>
    <t>EUR SWPT FRD PREM 6M9Y</t>
  </si>
  <si>
    <t>EUPEI9</t>
  </si>
  <si>
    <t>EUR SWPT FRD PREM 9M9Y</t>
  </si>
  <si>
    <t>EUPE19</t>
  </si>
  <si>
    <t>EUR SWPT FRD PREM 1Y9Y</t>
  </si>
  <si>
    <t>EUPER9</t>
  </si>
  <si>
    <t>EUR SWPT FRD PREM 18M9Y</t>
  </si>
  <si>
    <t>EUPE29</t>
  </si>
  <si>
    <t>EUR SWPT FRD PREM 2Y9Y</t>
  </si>
  <si>
    <t>EUPE39</t>
  </si>
  <si>
    <t>EUR SWPT FRD PREM 3Y9Y</t>
  </si>
  <si>
    <t>EUPE49</t>
  </si>
  <si>
    <t>EUR SWPT FRD PREM 4Y9Y</t>
  </si>
  <si>
    <t>EUPE59</t>
  </si>
  <si>
    <t>EUR SWPT FRD PREM 5Y9Y</t>
  </si>
  <si>
    <t>EUPE79</t>
  </si>
  <si>
    <t>EUR SWPT FRD PREM 7Y9Y</t>
  </si>
  <si>
    <t>EUPE109</t>
  </si>
  <si>
    <t>EUR SWPT FRD PREM 10Y9Y</t>
  </si>
  <si>
    <t>EUPE159</t>
  </si>
  <si>
    <t>EUR SWPT FRD PREM 15Y9Y</t>
  </si>
  <si>
    <t>EUPE209</t>
  </si>
  <si>
    <t>EUR SWPT FRD PREM 20Y9Y</t>
  </si>
  <si>
    <t>EUPEA10</t>
  </si>
  <si>
    <t>EUR SWPT FRD PREM 1M10Y</t>
  </si>
  <si>
    <t>EUPEB10</t>
  </si>
  <si>
    <t>EUR SWPT FRD PREM 2M10Y</t>
  </si>
  <si>
    <t>EUPEC10</t>
  </si>
  <si>
    <t>EUR SWPT FRD PREM 3M10Y</t>
  </si>
  <si>
    <t>EUPEF10</t>
  </si>
  <si>
    <t>EUR SWPT FRD PREM 6M10Y</t>
  </si>
  <si>
    <t>EUPEI10</t>
  </si>
  <si>
    <t>EUR SWPT FRD PREM 9M10Y</t>
  </si>
  <si>
    <t>EUPE110</t>
  </si>
  <si>
    <t>EUR SWPT FRD PREM 1Y10Y</t>
  </si>
  <si>
    <t>EUPER10</t>
  </si>
  <si>
    <t>EUR SWPT FRD PREM 18M10Y</t>
  </si>
  <si>
    <t>EUPE210</t>
  </si>
  <si>
    <t>EUR SWPT FRD PREM 2Y10Y</t>
  </si>
  <si>
    <t>EUPE310</t>
  </si>
  <si>
    <t>EUR SWPT FRD PREM 3Y10Y</t>
  </si>
  <si>
    <t>EUPE410</t>
  </si>
  <si>
    <t>EUR SWPT FRD PREM 4Y10Y</t>
  </si>
  <si>
    <t>EUPE510</t>
  </si>
  <si>
    <t>EUR SWPT FRD PREM 5Y10Y</t>
  </si>
  <si>
    <t>EUPE710</t>
  </si>
  <si>
    <t>EUR SWPT FRD PREM 7Y10Y</t>
  </si>
  <si>
    <t>EUPE1010</t>
  </si>
  <si>
    <t>EUR SWPT FRD PREM 10Y10Y</t>
  </si>
  <si>
    <t>EUPE1510</t>
  </si>
  <si>
    <t>EUR SWPT FRD PREM 15Y10Y</t>
  </si>
  <si>
    <t>EUPE2010</t>
  </si>
  <si>
    <t>EUR SWPT FRD PREM 20Y10Y</t>
  </si>
  <si>
    <t>EUPEA15</t>
  </si>
  <si>
    <t>EUR SWPT FRD PREM 1M15Y</t>
  </si>
  <si>
    <t>EUPEB15</t>
  </si>
  <si>
    <t>EUR SWPT FRD PREM 2M15Y</t>
  </si>
  <si>
    <t>EUPEC15</t>
  </si>
  <si>
    <t>EUR SWPT FRD PREM 3M15Y</t>
  </si>
  <si>
    <t>EUPEF15</t>
  </si>
  <si>
    <t>EUR SWPT FRD PREM 6M15Y</t>
  </si>
  <si>
    <t>EUPEI15</t>
  </si>
  <si>
    <t>EUR SWPT FRD PREM 9M15Y</t>
  </si>
  <si>
    <t>EUPE115</t>
  </si>
  <si>
    <t>EUR SWPT FRD PREM 1Y15Y</t>
  </si>
  <si>
    <t>EUPER15</t>
  </si>
  <si>
    <t>EUR SWPT FRD PREM 18M15Y</t>
  </si>
  <si>
    <t>EUPE215</t>
  </si>
  <si>
    <t>EUR SWPT FRD PREM 2Y15Y</t>
  </si>
  <si>
    <t>EUPE315</t>
  </si>
  <si>
    <t>EUR SWPT FRD PREM 3Y15Y</t>
  </si>
  <si>
    <t>EUPE415</t>
  </si>
  <si>
    <t>EUR SWPT FRD PREM 4Y15Y</t>
  </si>
  <si>
    <t>EUPE515</t>
  </si>
  <si>
    <t>EUR SWPT FRD PREM 5Y15Y</t>
  </si>
  <si>
    <t>EUPE715</t>
  </si>
  <si>
    <t>EUR SWPT FRD PREM 7Y15Y</t>
  </si>
  <si>
    <t>EUPE1015</t>
  </si>
  <si>
    <t>EUR SWPT FRD PREM 10Y15Y</t>
  </si>
  <si>
    <t>EUPE1515</t>
  </si>
  <si>
    <t>EUR SWPT FRD PREM 15Y15Y</t>
  </si>
  <si>
    <t>EUPE2015</t>
  </si>
  <si>
    <t>EUR SWPT FRD PREM 20Y15Y</t>
  </si>
  <si>
    <t>EUPEA20</t>
  </si>
  <si>
    <t>EUR SWPT FRD PREM 1M20Y</t>
  </si>
  <si>
    <t>EUPEB20</t>
  </si>
  <si>
    <t>EUR SWPT FRD PREM 2M20Y</t>
  </si>
  <si>
    <t>EUPEC20</t>
  </si>
  <si>
    <t>EUR SWPT FRD PREM 3M20Y</t>
  </si>
  <si>
    <t>EUPEF20</t>
  </si>
  <si>
    <t>EUR SWPT FRD PREM 6M20Y</t>
  </si>
  <si>
    <t>EUPEI20</t>
  </si>
  <si>
    <t>EUR SWPT FRD PREM 9M20Y</t>
  </si>
  <si>
    <t>EUPE120</t>
  </si>
  <si>
    <t>EUR SWPT FRD PREM 1Y20Y</t>
  </si>
  <si>
    <t>EUPER20</t>
  </si>
  <si>
    <t>EUR SWPT FRD PREM 18M20Y</t>
  </si>
  <si>
    <t>EUPE220</t>
  </si>
  <si>
    <t>EUR SWPT FRD PREM 2Y20Y</t>
  </si>
  <si>
    <t>EUPE320</t>
  </si>
  <si>
    <t>EUR SWPT FRD PREM 3Y20Y</t>
  </si>
  <si>
    <t>EUPE420</t>
  </si>
  <si>
    <t>EUR SWPT FRD PREM 4Y20Y</t>
  </si>
  <si>
    <t>EUPE520</t>
  </si>
  <si>
    <t>EUR SWPT FRD PREM 5Y20Y</t>
  </si>
  <si>
    <t>EUPE720</t>
  </si>
  <si>
    <t>EUR SWPT FRD PREM 7Y20Y</t>
  </si>
  <si>
    <t>EUPE1020</t>
  </si>
  <si>
    <t>EUR SWPT FRD PREM 10Y20Y</t>
  </si>
  <si>
    <t>EUPE1520</t>
  </si>
  <si>
    <t>EUR SWPT FRD PREM 15Y20Y</t>
  </si>
  <si>
    <t>EUPE2020</t>
  </si>
  <si>
    <t>EUR SWPT FRD PREM 20Y20Y</t>
  </si>
  <si>
    <t>EUPEA25</t>
  </si>
  <si>
    <t>EUR SWPT FRD PREM 1M25Y</t>
  </si>
  <si>
    <t>EUPEB25</t>
  </si>
  <si>
    <t>EUR SWPT FRD PREM 2M25Y</t>
  </si>
  <si>
    <t>EUPEC25</t>
  </si>
  <si>
    <t>EUR SWPT FRD PREM 3M25Y</t>
  </si>
  <si>
    <t>EUPEF25</t>
  </si>
  <si>
    <t>EUR SWPT FRD PREM 6M25Y</t>
  </si>
  <si>
    <t>EUPEI25</t>
  </si>
  <si>
    <t>EUR SWPT FRD PREM 9M25Y</t>
  </si>
  <si>
    <t>EUPE125</t>
  </si>
  <si>
    <t>EUR SWPT FRD PREM 1Y25Y</t>
  </si>
  <si>
    <t>EUPER25</t>
  </si>
  <si>
    <t>EUR SWPT FRD PREM 18M25Y</t>
  </si>
  <si>
    <t>EUPE225</t>
  </si>
  <si>
    <t>EUR SWPT FRD PREM 2Y25Y</t>
  </si>
  <si>
    <t>EUPE325</t>
  </si>
  <si>
    <t>EUR SWPT FRD PREM 3Y25Y</t>
  </si>
  <si>
    <t>EUPE425</t>
  </si>
  <si>
    <t>EUR SWPT FRD PREM 4Y25Y</t>
  </si>
  <si>
    <t>EUPE525</t>
  </si>
  <si>
    <t>EUR SWPT FRD PREM 5Y25Y</t>
  </si>
  <si>
    <t>EUPE725</t>
  </si>
  <si>
    <t>EUR SWPT FRD PREM 7Y25Y</t>
  </si>
  <si>
    <t>EUPE1025</t>
  </si>
  <si>
    <t>EUR SWPT FRD PREM 10Y25Y</t>
  </si>
  <si>
    <t>EUPE1525</t>
  </si>
  <si>
    <t>EUR SWPT FRD PREM 15Y25Y</t>
  </si>
  <si>
    <t>EUPE2025</t>
  </si>
  <si>
    <t>EUR SWPT FRD PREM 20Y25Y</t>
  </si>
  <si>
    <t>EUPEA30</t>
  </si>
  <si>
    <t>EUR SWPT FRD PREM 1M30Y</t>
  </si>
  <si>
    <t>2:14:09 PM</t>
  </si>
  <si>
    <t>EUPEB30</t>
  </si>
  <si>
    <t>EUR SWPT FRD PREM 2M30Y</t>
  </si>
  <si>
    <t>EUPEC30</t>
  </si>
  <si>
    <t>EUR SWPT FRD PREM 3M30Y</t>
  </si>
  <si>
    <t>EUPEF30</t>
  </si>
  <si>
    <t>EUR SWPT FRD PREM 6M30Y</t>
  </si>
  <si>
    <t>EUPEI30</t>
  </si>
  <si>
    <t>EUR SWPT FRD PREM 9M30Y</t>
  </si>
  <si>
    <t>EUPE130</t>
  </si>
  <si>
    <t>EUR SWPT FRD PREM 1Y30Y</t>
  </si>
  <si>
    <t>EUPER30</t>
  </si>
  <si>
    <t>EUR SWPT FRD PREM 18M30Y</t>
  </si>
  <si>
    <t>EUPE230</t>
  </si>
  <si>
    <t>EUR SWPT FRD PREM 2Y30Y</t>
  </si>
  <si>
    <t>EUPE330</t>
  </si>
  <si>
    <t>EUR SWPT FRD PREM 3Y30Y</t>
  </si>
  <si>
    <t>EUPE430</t>
  </si>
  <si>
    <t>EUR SWPT FRD PREM 4Y30Y</t>
  </si>
  <si>
    <t>EUPE530</t>
  </si>
  <si>
    <t>EUR SWPT FRD PREM 5Y30Y</t>
  </si>
  <si>
    <t>EUPE730</t>
  </si>
  <si>
    <t>EUR SWPT FRD PREM 7Y30Y</t>
  </si>
  <si>
    <t>EUPE1030</t>
  </si>
  <si>
    <t>EUR SWPT FRD PREM 10Y30Y</t>
  </si>
  <si>
    <t>EUPE1530</t>
  </si>
  <si>
    <t>EUR SWPT FRD PREM 15Y30Y</t>
  </si>
  <si>
    <t>EUPE2030</t>
  </si>
  <si>
    <t>EUR SWPT FRD PREM 20Y30Y</t>
  </si>
  <si>
    <t>PX_BID</t>
  </si>
  <si>
    <t>PX_ASK</t>
  </si>
  <si>
    <t>EUR CMS</t>
  </si>
  <si>
    <t>EUR CMS Data</t>
  </si>
  <si>
    <t>CMS Swap Spread vs 3M Euribor</t>
  </si>
  <si>
    <t>EUCM025</t>
  </si>
  <si>
    <t>EUR CMS v 3MEurib  2Y5Y</t>
  </si>
  <si>
    <t>2:39:59 PM</t>
  </si>
  <si>
    <t>EUCM0210</t>
  </si>
  <si>
    <t>EUR CMS v 3MEurib  2Y10Y</t>
  </si>
  <si>
    <t>2:34:35 PM</t>
  </si>
  <si>
    <t>EUCM0215</t>
  </si>
  <si>
    <t>EUR CMS v 3MEurib  2Y15Y</t>
  </si>
  <si>
    <t>2:35:40 PM</t>
  </si>
  <si>
    <t>EUCM0220</t>
  </si>
  <si>
    <t>EUR CMS v 3MEurib  2Y20Y</t>
  </si>
  <si>
    <t>2:41:05 PM</t>
  </si>
  <si>
    <t>EUCM055</t>
  </si>
  <si>
    <t>EUR CMS v 3MEurib  5Y5Y</t>
  </si>
  <si>
    <t>EUCM0510</t>
  </si>
  <si>
    <t>EUR CMS v 3MEurib  5Y10Y</t>
  </si>
  <si>
    <t>EUCM0515</t>
  </si>
  <si>
    <t>EUR CMS v 3MEurib  5Y15Y</t>
  </si>
  <si>
    <t>EUCM0520</t>
  </si>
  <si>
    <t>EUR CMS v 3MEurib  5Y20Y</t>
  </si>
  <si>
    <t>EUCM105</t>
  </si>
  <si>
    <t>EUR CMS v 3MEurib 10Y5Y</t>
  </si>
  <si>
    <t>EUCM1010</t>
  </si>
  <si>
    <t>EUR CMS v 3MEurib 10Y10Y</t>
  </si>
  <si>
    <t>EUCM1015</t>
  </si>
  <si>
    <t>EUR CMS v 3MEurib 10Y15Y</t>
  </si>
  <si>
    <t>EUCM1020</t>
  </si>
  <si>
    <t>EUR CMS v 3MEurib 10Y20Y</t>
  </si>
  <si>
    <t>EUCM205</t>
  </si>
  <si>
    <t>EUR CMS v 3MEurib 20Y5Y</t>
  </si>
  <si>
    <t>EUCM2010</t>
  </si>
  <si>
    <t>EUR CMS v 3MEurib 20Y10Y</t>
  </si>
  <si>
    <t>EUCM2015</t>
  </si>
  <si>
    <t>EUR CMS v 3MEurib 20Y15Y</t>
  </si>
  <si>
    <t>EUCM2020</t>
  </si>
  <si>
    <t>EUR CMS v 3MEurib 20Y20Y</t>
  </si>
  <si>
    <t>EUCM305</t>
  </si>
  <si>
    <t>EUR CMS v 3MEurib 30Y5Y</t>
  </si>
  <si>
    <t>EUCM3010</t>
  </si>
  <si>
    <t>EUR CMS v 3MEurib 30Y10Y</t>
  </si>
  <si>
    <t>EUCM3015</t>
  </si>
  <si>
    <t>EUR CMS v 3MEurib 30Y15Y</t>
  </si>
  <si>
    <t>EUCM3020</t>
  </si>
  <si>
    <t>EUR CMS v 3MEurib 30Y20Y</t>
  </si>
  <si>
    <t>EUR SWAP (EONIA)   60 YR</t>
  </si>
  <si>
    <t>60y</t>
  </si>
  <si>
    <t>EUR 3M Curve</t>
  </si>
  <si>
    <t>3M-EUR-Swap-Curve</t>
  </si>
  <si>
    <t>3M-Euribor</t>
  </si>
  <si>
    <t>Extrapolator</t>
  </si>
  <si>
    <t>30/360</t>
  </si>
  <si>
    <t>FixedDayCount</t>
  </si>
  <si>
    <t>FloatDayCount</t>
  </si>
  <si>
    <t>Act/360</t>
  </si>
  <si>
    <t>EmptySwap</t>
  </si>
  <si>
    <t xml:space="preserve">EUR SWPT NVOL OIS </t>
  </si>
  <si>
    <t xml:space="preserve">EUR SWPT FRD PREM </t>
  </si>
  <si>
    <t>Cash</t>
  </si>
  <si>
    <t>Straddle FW</t>
  </si>
  <si>
    <t>E[(S-K)^+]</t>
  </si>
  <si>
    <t>Payer</t>
  </si>
  <si>
    <t>Nvol</t>
  </si>
  <si>
    <t>LVol</t>
  </si>
  <si>
    <t>Implied Normal Volatilities</t>
  </si>
  <si>
    <t>Exc | Swp</t>
  </si>
  <si>
    <t>Implied Lognormal Volatilities</t>
  </si>
  <si>
    <t>EUR-ATM-Swaption-Surface-LVol</t>
  </si>
  <si>
    <t>EUR-ATM-Swaption-Surface-NVol</t>
  </si>
  <si>
    <t>CMS Term</t>
  </si>
  <si>
    <t>ICAP Bid</t>
  </si>
  <si>
    <t>ICAP Ask</t>
  </si>
  <si>
    <t>Effective</t>
  </si>
  <si>
    <t>IborLeg</t>
  </si>
  <si>
    <t>CMS Index</t>
  </si>
  <si>
    <t>CMS Leg</t>
  </si>
  <si>
    <t>CmsCouponPricerType</t>
  </si>
  <si>
    <t>ModelOfYieldCurve</t>
  </si>
  <si>
    <t>CMS Pricer</t>
  </si>
  <si>
    <t>SetPricer</t>
  </si>
  <si>
    <t>IborLegNPV</t>
  </si>
  <si>
    <t>CMSLegNPV</t>
  </si>
  <si>
    <t>NonParallelShifts</t>
  </si>
  <si>
    <t>VolSurface</t>
  </si>
  <si>
    <t>Mean</t>
  </si>
  <si>
    <t>ConundrumByBachelier</t>
  </si>
  <si>
    <t>lognormal, standard yc model</t>
  </si>
  <si>
    <t>normal, standard yc model</t>
  </si>
  <si>
    <t>normal, HW yc model (a=10%)</t>
  </si>
  <si>
    <t>normal, affine yc model</t>
  </si>
  <si>
    <t>[Mdl-Mid]</t>
  </si>
  <si>
    <t>standard</t>
  </si>
  <si>
    <t>affine</t>
  </si>
  <si>
    <t>ConundrumByBlack</t>
  </si>
  <si>
    <t>Standard</t>
  </si>
  <si>
    <t>Affine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</si>
</sst>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164" formatCode="0.000000"/>
    <numFmt numFmtId="165" formatCode="0.0000%"/>
    <numFmt numFmtId="166" formatCode="0.0%"/>
    <numFmt numFmtId="167" formatCode="0.000%"/>
    <numFmt numFmtId="168" formatCode="0.000"/>
    <numFmt numFmtId="169" formatCode="0.0000"/>
    <numFmt numFmtId="170" formatCode="0.0"/>
    <numFmt numFmtId="171" formatCode="_(* #,##0.00_);_(* \(#,##0.00\);_(* &quot;-&quot;??_);_(@_)"/>
    <numFmt numFmtId="172" formatCode="ddd\,\ d\-mmm\-yyyy"/>
    <numFmt numFmtId="173" formatCode="&quot;\&quot;#,##0.00;[Red]&quot;\&quot;\-#,##0.00"/>
    <numFmt numFmtId="174" formatCode="0.0000000000000%"/>
    <numFmt numFmtId="175" formatCode="0\ 00\ 000\ 000"/>
    <numFmt numFmtId="176" formatCode="_-* #,##0\ _B_F_-;\-* #,##0\ _B_F_-;_-* &quot;-&quot;\ _B_F_-;_-@_-"/>
    <numFmt numFmtId="177" formatCode="_-* #,##0.00_-;\-* #,##0.00_-;_-* &quot;-&quot;??_-;_-@_-"/>
    <numFmt numFmtId="178" formatCode="_(&quot;$&quot;* #,##0.00_);_(&quot;$&quot;* \(#,##0.00\);_(&quot;$&quot;* &quot;-&quot;??_);_(@_)"/>
    <numFmt numFmtId="179" formatCode="dd\-mmm\-yy_)"/>
    <numFmt numFmtId="180" formatCode="dd\ mmmyy\ hh:mm"/>
    <numFmt numFmtId="181" formatCode="_-[$€-2]* #,##0.00_-;\-[$€-2]* #,##0.00_-;_-[$€-2]* &quot;-&quot;??_-"/>
    <numFmt numFmtId="182" formatCode="0.00000000"/>
    <numFmt numFmtId="183" formatCode="_-* #,##0\ _F_-;\-* #,##0\ _F_-;_-* &quot;-&quot;\ _F_-;_-@_-"/>
    <numFmt numFmtId="184" formatCode="_-* #,##0.00\ _F_-;\-* #,##0.00\ _F_-;_-* &quot;-&quot;??\ _F_-;_-@_-"/>
    <numFmt numFmtId="185" formatCode="_-* #,##0\ &quot;F&quot;_-;\-* #,##0\ &quot;F&quot;_-;_-* &quot;-&quot;\ &quot;F&quot;_-;_-@_-"/>
    <numFmt numFmtId="186" formatCode="_-* #,##0.00\ &quot;F&quot;_-;\-* #,##0.00\ &quot;F&quot;_-;_-* &quot;-&quot;??\ &quot;F&quot;_-;_-@_-"/>
    <numFmt numFmtId="187" formatCode="0.000000%"/>
    <numFmt numFmtId="188" formatCode="0.0&quot; X EBITDA&quot;"/>
    <numFmt numFmtId="189" formatCode="0.00_)"/>
    <numFmt numFmtId="190" formatCode="[Blue]#,##0;[Red]\-#,##0"/>
    <numFmt numFmtId="191" formatCode="#,##0.0000"/>
    <numFmt numFmtId="192" formatCode="\+#,##0.00;\-#,##0.00"/>
    <numFmt numFmtId="193" formatCode="#,##0&quot;  &quot;"/>
    <numFmt numFmtId="194" formatCode="#,##0.0;\-#,##0.0"/>
    <numFmt numFmtId="195" formatCode="&quot;\&quot;#,##0;[Red]&quot;\&quot;\-#,##0"/>
  </numFmts>
  <fonts count="150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0"/>
      <color indexed="20"/>
      <name val="Arial"/>
      <family val="2"/>
    </font>
    <font>
      <b/>
      <sz val="10"/>
      <color indexed="36"/>
      <name val="Arial"/>
      <family val="2"/>
    </font>
    <font>
      <b/>
      <sz val="10"/>
      <color indexed="8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10"/>
      <color indexed="20"/>
      <name val="Arial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7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color rgb="FF7030A0"/>
      <name val="Arial"/>
      <family val="2"/>
    </font>
    <font>
      <sz val="10"/>
      <color indexed="8"/>
      <name val="Arial"/>
      <family val="2"/>
    </font>
    <font>
      <sz val="10"/>
      <color indexed="36"/>
      <name val="Arial"/>
      <family val="2"/>
    </font>
    <font>
      <sz val="11"/>
      <name val="MS P????"/>
      <family val="3"/>
    </font>
    <font>
      <sz val="10"/>
      <name val="Courier"/>
      <family val="3"/>
    </font>
    <font>
      <sz val="10"/>
      <color indexed="9"/>
      <name val="Arial"/>
      <family val="2"/>
    </font>
    <font>
      <sz val="10"/>
      <color indexed="10"/>
      <name val="Helv"/>
    </font>
    <font>
      <sz val="10"/>
      <name val="MS Sans Serif"/>
      <family val="2"/>
    </font>
    <font>
      <b/>
      <sz val="10"/>
      <color indexed="63"/>
      <name val="Arial"/>
      <family val="2"/>
    </font>
    <font>
      <sz val="9"/>
      <name val="Times New Roman"/>
      <family val="1"/>
    </font>
    <font>
      <sz val="10"/>
      <color indexed="10"/>
      <name val="MS Sans Serif"/>
      <family val="2"/>
    </font>
    <font>
      <sz val="9"/>
      <name val="Tahoma"/>
      <family val="2"/>
    </font>
    <font>
      <b/>
      <sz val="12"/>
      <color indexed="61"/>
      <name val="Tahoma"/>
      <family val="2"/>
    </font>
    <font>
      <b/>
      <sz val="10"/>
      <color indexed="52"/>
      <name val="Arial"/>
      <family val="2"/>
    </font>
    <font>
      <sz val="10"/>
      <color indexed="56"/>
      <name val="Arial"/>
      <family val="2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9"/>
      <color indexed="12"/>
      <name val="Tahoma"/>
      <family val="2"/>
    </font>
    <font>
      <sz val="10"/>
      <name val="Times New Roman"/>
      <family val="1"/>
    </font>
    <font>
      <sz val="8"/>
      <name val="Palatino"/>
      <family val="1"/>
    </font>
    <font>
      <sz val="12"/>
      <color indexed="8"/>
      <name val="Courier"/>
      <family val="3"/>
    </font>
    <font>
      <sz val="10"/>
      <name val="Helv"/>
    </font>
    <font>
      <sz val="8"/>
      <name val="Arial MT"/>
    </font>
    <font>
      <b/>
      <sz val="9"/>
      <name val="Tahoma"/>
      <family val="2"/>
    </font>
    <font>
      <b/>
      <i/>
      <sz val="10"/>
      <name val="Arial"/>
      <family val="2"/>
    </font>
    <font>
      <sz val="10"/>
      <color indexed="62"/>
      <name val="Arial"/>
      <family val="2"/>
    </font>
    <font>
      <i/>
      <sz val="10"/>
      <color indexed="23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7"/>
      <name val="Palatino"/>
      <family val="1"/>
    </font>
    <font>
      <b/>
      <sz val="9"/>
      <color indexed="23"/>
      <name val="Arial"/>
      <family val="2"/>
    </font>
    <font>
      <b/>
      <sz val="9"/>
      <color indexed="42"/>
      <name val="Tahoma"/>
      <family val="2"/>
    </font>
    <font>
      <b/>
      <sz val="12"/>
      <name val="Arial"/>
      <family val="2"/>
    </font>
    <font>
      <b/>
      <sz val="10"/>
      <color indexed="8"/>
      <name val="MS Sans Serif"/>
      <family val="2"/>
    </font>
    <font>
      <b/>
      <sz val="10"/>
      <color indexed="22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0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b/>
      <sz val="9"/>
      <color indexed="63"/>
      <name val="Tahoma"/>
      <family val="2"/>
    </font>
    <font>
      <sz val="8"/>
      <name val="Helv"/>
    </font>
    <font>
      <b/>
      <sz val="12"/>
      <color indexed="20"/>
      <name val="Tahoma"/>
      <family val="2"/>
    </font>
    <font>
      <sz val="12"/>
      <name val="Arial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sz val="9"/>
      <color indexed="52"/>
      <name val="Arial"/>
      <family val="2"/>
    </font>
    <font>
      <b/>
      <sz val="9"/>
      <color indexed="16"/>
      <name val="Verdana"/>
      <family val="2"/>
    </font>
    <font>
      <sz val="10"/>
      <color indexed="16"/>
      <name val="Helvetica-Black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0"/>
      <color indexed="17"/>
      <name val="MS Sans Serif"/>
      <family val="2"/>
    </font>
    <font>
      <b/>
      <sz val="12"/>
      <name val="Helv"/>
    </font>
    <font>
      <sz val="8"/>
      <color indexed="18"/>
      <name val="Helvetica"/>
      <family val="2"/>
    </font>
    <font>
      <sz val="8.5"/>
      <color indexed="8"/>
      <name val="MS Sans Serif"/>
      <family val="2"/>
    </font>
    <font>
      <b/>
      <sz val="8"/>
      <name val="Tahoma"/>
      <family val="2"/>
    </font>
    <font>
      <b/>
      <sz val="6"/>
      <name val="Helv"/>
    </font>
    <font>
      <b/>
      <sz val="9"/>
      <name val="Times New Roman"/>
      <family val="1"/>
    </font>
    <font>
      <sz val="8"/>
      <color indexed="12"/>
      <name val="MS Sans Serif"/>
      <family val="2"/>
    </font>
    <font>
      <b/>
      <i/>
      <sz val="8"/>
      <name val="Helv"/>
      <family val="2"/>
    </font>
    <font>
      <b/>
      <sz val="8"/>
      <color indexed="12"/>
      <name val="Arial"/>
      <family val="2"/>
    </font>
    <font>
      <sz val="9"/>
      <name val="NewsGoth Dm BT"/>
      <family val="2"/>
    </font>
    <font>
      <sz val="10"/>
      <name val="NewsGoth Dm BT"/>
      <family val="2"/>
    </font>
    <font>
      <b/>
      <sz val="12"/>
      <name val="NewsGoth BT"/>
      <family val="2"/>
    </font>
    <font>
      <sz val="9"/>
      <name val="NewsGoth BT"/>
      <family val="2"/>
    </font>
    <font>
      <sz val="9"/>
      <name val="NewsGoth Lt BT"/>
      <family val="2"/>
    </font>
    <font>
      <sz val="7.5"/>
      <name val="NewsGoth Lt BT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1"/>
      <color indexed="10"/>
      <name val="Arial"/>
      <family val="2"/>
    </font>
    <font>
      <b/>
      <sz val="24"/>
      <name val="MS Sans Serif"/>
      <family val="2"/>
    </font>
    <font>
      <b/>
      <i/>
      <sz val="12"/>
      <name val="Galliard BT"/>
      <family val="1"/>
    </font>
    <font>
      <b/>
      <sz val="18"/>
      <color indexed="62"/>
      <name val="Cambria"/>
      <family val="1"/>
    </font>
    <font>
      <b/>
      <sz val="8"/>
      <name val="Helv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8"/>
      <color indexed="18"/>
      <name val="Cambria"/>
      <family val="2"/>
    </font>
    <font>
      <sz val="8"/>
      <color indexed="10"/>
      <name val="Arial Narrow"/>
      <family val="2"/>
    </font>
    <font>
      <sz val="10"/>
      <color indexed="52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color rgb="FF00B050"/>
      <name val="Arial"/>
      <family val="2"/>
    </font>
    <font>
      <sz val="11"/>
      <color rgb="FF7030A0"/>
      <name val="Calibri"/>
      <family val="2"/>
    </font>
    <font>
      <sz val="11"/>
      <color rgb="FF0070C0"/>
      <name val="Calibri"/>
      <family val="2"/>
    </font>
    <font>
      <sz val="11"/>
      <color rgb="FF00B050"/>
      <name val="Calibri"/>
      <family val="2"/>
    </font>
    <font>
      <b/>
      <sz val="11"/>
      <color rgb="FF0070C0"/>
      <name val="Calibri"/>
      <family val="2"/>
    </font>
    <font>
      <b/>
      <sz val="11"/>
      <color rgb="FF00B050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5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mediumGray"/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mediumGray">
        <fgColor indexed="17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lightGray"/>
    </fill>
    <fill>
      <patternFill patternType="solid">
        <fgColor indexed="1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61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81">
    <xf numFmtId="0" fontId="0" fillId="0" borderId="0"/>
    <xf numFmtId="0" fontId="4" fillId="2" borderId="0" applyNumberFormat="0" applyBorder="0" applyAlignment="0" applyProtection="0"/>
    <xf numFmtId="0" fontId="31" fillId="2" borderId="0" applyNumberFormat="0" applyBorder="0" applyAlignment="0" applyProtection="0"/>
    <xf numFmtId="0" fontId="31" fillId="2" borderId="0" applyNumberFormat="0" applyBorder="0" applyAlignment="0" applyProtection="0"/>
    <xf numFmtId="0" fontId="4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4" fillId="4" borderId="0" applyNumberFormat="0" applyBorder="0" applyAlignment="0" applyProtection="0"/>
    <xf numFmtId="0" fontId="31" fillId="4" borderId="0" applyNumberFormat="0" applyBorder="0" applyAlignment="0" applyProtection="0"/>
    <xf numFmtId="0" fontId="31" fillId="4" borderId="0" applyNumberFormat="0" applyBorder="0" applyAlignment="0" applyProtection="0"/>
    <xf numFmtId="0" fontId="4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4" fillId="6" borderId="0" applyNumberFormat="0" applyBorder="0" applyAlignment="0" applyProtection="0"/>
    <xf numFmtId="0" fontId="31" fillId="6" borderId="0" applyNumberFormat="0" applyBorder="0" applyAlignment="0" applyProtection="0"/>
    <xf numFmtId="0" fontId="31" fillId="6" borderId="0" applyNumberFormat="0" applyBorder="0" applyAlignment="0" applyProtection="0"/>
    <xf numFmtId="0" fontId="4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4" fillId="8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4" fillId="9" borderId="0" applyNumberFormat="0" applyBorder="0" applyAlignment="0" applyProtection="0"/>
    <xf numFmtId="0" fontId="31" fillId="9" borderId="0" applyNumberFormat="0" applyBorder="0" applyAlignment="0" applyProtection="0"/>
    <xf numFmtId="0" fontId="31" fillId="9" borderId="0" applyNumberFormat="0" applyBorder="0" applyAlignment="0" applyProtection="0"/>
    <xf numFmtId="0" fontId="4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4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4" fillId="8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4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2" applyNumberFormat="0" applyAlignment="0" applyProtection="0"/>
    <xf numFmtId="0" fontId="8" fillId="21" borderId="3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2" applyNumberFormat="0" applyAlignment="0" applyProtection="0"/>
    <xf numFmtId="0" fontId="16" fillId="0" borderId="8" applyNumberFormat="0" applyFill="0" applyAlignment="0" applyProtection="0"/>
    <xf numFmtId="0" fontId="17" fillId="22" borderId="0" applyNumberFormat="0" applyBorder="0" applyAlignment="0" applyProtection="0"/>
    <xf numFmtId="0" fontId="18" fillId="0" borderId="0"/>
    <xf numFmtId="0" fontId="18" fillId="0" borderId="0">
      <alignment horizontal="left" wrapText="1"/>
    </xf>
    <xf numFmtId="0" fontId="4" fillId="23" borderId="9" applyNumberFormat="0" applyFont="0" applyAlignment="0" applyProtection="0"/>
    <xf numFmtId="0" fontId="31" fillId="23" borderId="9" applyNumberFormat="0" applyFont="0" applyAlignment="0" applyProtection="0"/>
    <xf numFmtId="0" fontId="31" fillId="23" borderId="9" applyNumberFormat="0" applyFont="0" applyAlignment="0" applyProtection="0"/>
    <xf numFmtId="0" fontId="19" fillId="20" borderId="1" applyNumberFormat="0" applyAlignment="0" applyProtection="0"/>
    <xf numFmtId="9" fontId="4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21" fillId="0" borderId="0" applyNumberFormat="0" applyFill="0" applyBorder="0" applyAlignment="0" applyProtection="0"/>
    <xf numFmtId="0" fontId="18" fillId="0" borderId="0"/>
    <xf numFmtId="0" fontId="40" fillId="0" borderId="0"/>
    <xf numFmtId="173" fontId="40" fillId="0" borderId="0" applyFont="0" applyFill="0" applyBorder="0" applyAlignment="0" applyProtection="0"/>
    <xf numFmtId="40" fontId="40" fillId="0" borderId="0" applyFont="0" applyFill="0" applyBorder="0" applyAlignment="0" applyProtection="0"/>
    <xf numFmtId="38" fontId="40" fillId="0" borderId="0" applyFont="0" applyFill="0" applyBorder="0" applyAlignment="0" applyProtection="0"/>
    <xf numFmtId="0" fontId="33" fillId="0" borderId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/>
    <xf numFmtId="0" fontId="18" fillId="0" borderId="0" applyNumberFormat="0" applyFill="0" applyBorder="0" applyAlignment="0" applyProtection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/>
    <xf numFmtId="0" fontId="18" fillId="0" borderId="0" applyFont="0" applyFill="0" applyBorder="0" applyAlignment="0" applyProtection="0"/>
    <xf numFmtId="0" fontId="41" fillId="0" borderId="0">
      <alignment vertical="center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38" fillId="0" borderId="0">
      <alignment vertical="top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/>
    <xf numFmtId="0" fontId="18" fillId="0" borderId="0"/>
    <xf numFmtId="0" fontId="18" fillId="0" borderId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/>
    <xf numFmtId="0" fontId="18" fillId="0" borderId="0">
      <alignment horizontal="left" wrapText="1"/>
    </xf>
    <xf numFmtId="0" fontId="41" fillId="0" borderId="0">
      <alignment vertical="center"/>
    </xf>
    <xf numFmtId="0" fontId="18" fillId="0" borderId="0"/>
    <xf numFmtId="0" fontId="18" fillId="0" borderId="0">
      <alignment horizontal="left" wrapText="1"/>
    </xf>
    <xf numFmtId="0" fontId="18" fillId="0" borderId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 applyFont="0" applyFill="0" applyBorder="0" applyAlignment="0" applyProtection="0"/>
    <xf numFmtId="0" fontId="41" fillId="0" borderId="0">
      <alignment vertical="center"/>
    </xf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8" fillId="4" borderId="0" applyNumberFormat="0" applyBorder="0" applyAlignment="0" applyProtection="0"/>
    <xf numFmtId="0" fontId="38" fillId="5" borderId="0" applyNumberFormat="0" applyBorder="0" applyAlignment="0" applyProtection="0"/>
    <xf numFmtId="0" fontId="38" fillId="6" borderId="0" applyNumberFormat="0" applyBorder="0" applyAlignment="0" applyProtection="0"/>
    <xf numFmtId="0" fontId="38" fillId="7" borderId="0" applyNumberFormat="0" applyBorder="0" applyAlignment="0" applyProtection="0"/>
    <xf numFmtId="0" fontId="38" fillId="8" borderId="0" applyNumberFormat="0" applyBorder="0" applyAlignment="0" applyProtection="0"/>
    <xf numFmtId="0" fontId="38" fillId="9" borderId="0" applyNumberFormat="0" applyBorder="0" applyAlignment="0" applyProtection="0"/>
    <xf numFmtId="0" fontId="38" fillId="10" borderId="0" applyNumberFormat="0" applyBorder="0" applyAlignment="0" applyProtection="0"/>
    <xf numFmtId="0" fontId="38" fillId="5" borderId="0" applyNumberFormat="0" applyBorder="0" applyAlignment="0" applyProtection="0"/>
    <xf numFmtId="0" fontId="38" fillId="8" borderId="0" applyNumberFormat="0" applyBorder="0" applyAlignment="0" applyProtection="0"/>
    <xf numFmtId="0" fontId="38" fillId="11" borderId="0" applyNumberFormat="0" applyBorder="0" applyAlignment="0" applyProtection="0"/>
    <xf numFmtId="0" fontId="42" fillId="12" borderId="0" applyNumberFormat="0" applyBorder="0" applyAlignment="0" applyProtection="0"/>
    <xf numFmtId="0" fontId="42" fillId="9" borderId="0" applyNumberFormat="0" applyBorder="0" applyAlignment="0" applyProtection="0"/>
    <xf numFmtId="0" fontId="42" fillId="10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4" fontId="43" fillId="0" borderId="10">
      <alignment horizontal="center"/>
      <protection locked="0"/>
    </xf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42" fillId="16" borderId="0" applyNumberFormat="0" applyBorder="0" applyAlignment="0" applyProtection="0"/>
    <xf numFmtId="0" fontId="42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9" borderId="0" applyNumberFormat="0" applyBorder="0" applyAlignment="0" applyProtection="0"/>
    <xf numFmtId="39" fontId="44" fillId="31" borderId="0" applyFont="0" applyFill="0" applyBorder="0" applyAlignment="0" applyProtection="0"/>
    <xf numFmtId="0" fontId="45" fillId="20" borderId="1" applyNumberFormat="0" applyAlignment="0" applyProtection="0"/>
    <xf numFmtId="0" fontId="46" fillId="0" borderId="0"/>
    <xf numFmtId="0" fontId="47" fillId="32" borderId="0" applyAlignment="0"/>
    <xf numFmtId="0" fontId="48" fillId="24" borderId="0"/>
    <xf numFmtId="0" fontId="49" fillId="33" borderId="0">
      <alignment vertical="center"/>
    </xf>
    <xf numFmtId="0" fontId="18" fillId="31" borderId="0"/>
    <xf numFmtId="0" fontId="50" fillId="20" borderId="2" applyNumberFormat="0" applyAlignment="0" applyProtection="0"/>
    <xf numFmtId="174" fontId="18" fillId="0" borderId="0" applyFont="0" applyFill="0" applyBorder="0" applyAlignment="0" applyProtection="0"/>
    <xf numFmtId="10" fontId="51" fillId="0" borderId="0" applyNumberFormat="0"/>
    <xf numFmtId="0" fontId="52" fillId="34" borderId="0">
      <alignment horizontal="left"/>
    </xf>
    <xf numFmtId="2" fontId="53" fillId="31" borderId="29" applyProtection="0">
      <alignment horizontal="left"/>
      <protection locked="0"/>
    </xf>
    <xf numFmtId="0" fontId="54" fillId="0" borderId="0" applyNumberFormat="0" applyFill="0" applyBorder="0" applyAlignment="0" applyProtection="0"/>
    <xf numFmtId="0" fontId="55" fillId="35" borderId="0"/>
    <xf numFmtId="175" fontId="26" fillId="0" borderId="29" applyBorder="0">
      <alignment horizontal="center" vertical="center"/>
    </xf>
    <xf numFmtId="176" fontId="56" fillId="0" borderId="0"/>
    <xf numFmtId="0" fontId="57" fillId="0" borderId="0" applyFont="0" applyFill="0" applyBorder="0" applyAlignment="0" applyProtection="0">
      <alignment horizontal="right"/>
    </xf>
    <xf numFmtId="177" fontId="33" fillId="0" borderId="0" applyFont="0" applyFill="0" applyBorder="0" applyAlignment="0" applyProtection="0"/>
    <xf numFmtId="3" fontId="58" fillId="0" borderId="0">
      <protection locked="0"/>
    </xf>
    <xf numFmtId="0" fontId="59" fillId="0" borderId="21"/>
    <xf numFmtId="0" fontId="58" fillId="0" borderId="0">
      <protection locked="0"/>
    </xf>
    <xf numFmtId="178" fontId="18" fillId="0" borderId="0" applyFont="0" applyFill="0" applyBorder="0" applyAlignment="0" applyProtection="0"/>
    <xf numFmtId="0" fontId="48" fillId="36" borderId="0">
      <protection locked="0"/>
    </xf>
    <xf numFmtId="0" fontId="18" fillId="37" borderId="0" applyNumberFormat="0" applyBorder="0" applyAlignment="0" applyProtection="0"/>
    <xf numFmtId="179" fontId="60" fillId="0" borderId="0"/>
    <xf numFmtId="0" fontId="57" fillId="0" borderId="0" applyFont="0" applyFill="0" applyBorder="0" applyAlignment="0" applyProtection="0"/>
    <xf numFmtId="0" fontId="32" fillId="31" borderId="0">
      <alignment horizontal="left"/>
    </xf>
    <xf numFmtId="179" fontId="60" fillId="0" borderId="0"/>
    <xf numFmtId="14" fontId="18" fillId="0" borderId="0"/>
    <xf numFmtId="180" fontId="61" fillId="35" borderId="0" applyFont="0" applyFill="0" applyBorder="0" applyAlignment="0" applyProtection="0">
      <alignment vertical="center"/>
    </xf>
    <xf numFmtId="15" fontId="62" fillId="0" borderId="0">
      <alignment horizontal="right"/>
    </xf>
    <xf numFmtId="0" fontId="38" fillId="0" borderId="0">
      <alignment horizontal="right"/>
    </xf>
    <xf numFmtId="0" fontId="57" fillId="0" borderId="30" applyNumberFormat="0" applyFont="0" applyFill="0" applyAlignment="0" applyProtection="0"/>
    <xf numFmtId="0" fontId="63" fillId="7" borderId="2" applyNumberFormat="0" applyAlignment="0" applyProtection="0"/>
    <xf numFmtId="0" fontId="25" fillId="0" borderId="4" applyNumberFormat="0" applyFill="0" applyAlignment="0" applyProtection="0"/>
    <xf numFmtId="0" fontId="64" fillId="0" borderId="0" applyNumberFormat="0" applyFill="0" applyBorder="0" applyAlignment="0" applyProtection="0"/>
    <xf numFmtId="181" fontId="18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Protection="0"/>
    <xf numFmtId="0" fontId="33" fillId="0" borderId="0" applyProtection="0"/>
    <xf numFmtId="0" fontId="67" fillId="0" borderId="0" applyProtection="0"/>
    <xf numFmtId="0" fontId="65" fillId="0" borderId="0" applyProtection="0"/>
    <xf numFmtId="0" fontId="68" fillId="0" borderId="0" applyProtection="0"/>
    <xf numFmtId="0" fontId="69" fillId="0" borderId="0" applyProtection="0"/>
    <xf numFmtId="0" fontId="70" fillId="0" borderId="0" applyProtection="0"/>
    <xf numFmtId="0" fontId="58" fillId="0" borderId="0">
      <protection locked="0"/>
    </xf>
    <xf numFmtId="2" fontId="71" fillId="0" borderId="31">
      <alignment horizontal="center"/>
    </xf>
    <xf numFmtId="0" fontId="72" fillId="0" borderId="0" applyFill="0" applyBorder="0" applyProtection="0">
      <alignment horizontal="left"/>
    </xf>
    <xf numFmtId="182" fontId="44" fillId="31" borderId="0" applyFont="0" applyFill="0" applyBorder="0" applyAlignment="0" applyProtection="0"/>
    <xf numFmtId="2" fontId="73" fillId="31" borderId="29" applyProtection="0">
      <alignment horizontal="left"/>
      <protection locked="0"/>
    </xf>
    <xf numFmtId="0" fontId="22" fillId="26" borderId="18" applyAlignment="0" applyProtection="0"/>
    <xf numFmtId="0" fontId="26" fillId="4" borderId="0" applyNumberFormat="0" applyBorder="0" applyAlignment="0" applyProtection="0"/>
    <xf numFmtId="0" fontId="74" fillId="38" borderId="0"/>
    <xf numFmtId="0" fontId="75" fillId="0" borderId="32" applyNumberFormat="0" applyAlignment="0" applyProtection="0">
      <alignment horizontal="left" vertical="center"/>
    </xf>
    <xf numFmtId="0" fontId="75" fillId="0" borderId="18">
      <alignment horizontal="left" vertical="center"/>
    </xf>
    <xf numFmtId="0" fontId="76" fillId="24" borderId="0" applyNumberFormat="0" applyBorder="0" applyAlignment="0" applyProtection="0"/>
    <xf numFmtId="17" fontId="77" fillId="39" borderId="0" applyNumberFormat="0" applyFill="0">
      <alignment horizontal="left"/>
    </xf>
    <xf numFmtId="0" fontId="78" fillId="40" borderId="0" applyNumberFormat="0" applyBorder="0">
      <alignment horizontal="right" vertical="center"/>
    </xf>
    <xf numFmtId="19" fontId="78" fillId="40" borderId="33" applyNumberFormat="0" applyBorder="0">
      <alignment horizontal="left" vertical="center"/>
    </xf>
    <xf numFmtId="2" fontId="79" fillId="41" borderId="0">
      <alignment horizontal="center" vertical="center"/>
    </xf>
    <xf numFmtId="2" fontId="79" fillId="41" borderId="26" applyBorder="0">
      <alignment horizontal="left" vertical="center"/>
    </xf>
    <xf numFmtId="0" fontId="78" fillId="40" borderId="0">
      <alignment horizontal="right" vertical="center"/>
    </xf>
    <xf numFmtId="19" fontId="80" fillId="40" borderId="12" applyNumberFormat="0" applyBorder="0">
      <alignment horizontal="left" vertical="center" indent="1"/>
    </xf>
    <xf numFmtId="2" fontId="81" fillId="41" borderId="34" applyBorder="0">
      <alignment horizontal="left" vertical="center" indent="1"/>
    </xf>
    <xf numFmtId="2" fontId="81" fillId="41" borderId="35" applyBorder="0">
      <alignment horizontal="center" vertical="center"/>
    </xf>
    <xf numFmtId="2" fontId="18" fillId="42" borderId="23" applyBorder="0">
      <alignment horizontal="left" vertical="center" indent="1"/>
    </xf>
    <xf numFmtId="0" fontId="18" fillId="42" borderId="0">
      <alignment horizontal="right" vertical="center"/>
    </xf>
    <xf numFmtId="2" fontId="18" fillId="42" borderId="33" applyNumberFormat="0" applyBorder="0">
      <alignment horizontal="right" vertical="center"/>
    </xf>
    <xf numFmtId="2" fontId="82" fillId="43" borderId="12" applyBorder="0">
      <alignment horizontal="left" vertical="center" indent="1"/>
    </xf>
    <xf numFmtId="2" fontId="82" fillId="43" borderId="0">
      <alignment horizontal="right" vertical="center"/>
    </xf>
    <xf numFmtId="2" fontId="82" fillId="43" borderId="26" applyBorder="0">
      <alignment horizontal="left" vertical="center"/>
    </xf>
    <xf numFmtId="2" fontId="82" fillId="43" borderId="31" applyBorder="0">
      <alignment horizontal="center" vertical="center"/>
    </xf>
    <xf numFmtId="19" fontId="80" fillId="44" borderId="36" applyNumberFormat="0" applyBorder="0">
      <alignment horizontal="left" vertical="center"/>
    </xf>
    <xf numFmtId="15" fontId="80" fillId="44" borderId="35" applyNumberFormat="0" applyBorder="0">
      <alignment horizontal="right" vertical="center"/>
    </xf>
    <xf numFmtId="19" fontId="80" fillId="44" borderId="37" applyNumberFormat="0" applyBorder="0">
      <alignment horizontal="right" vertical="center"/>
    </xf>
    <xf numFmtId="2" fontId="81" fillId="45" borderId="38" applyBorder="0">
      <alignment horizontal="left" vertical="center" indent="1"/>
    </xf>
    <xf numFmtId="2" fontId="81" fillId="45" borderId="26" applyNumberFormat="0">
      <alignment horizontal="center" vertical="center"/>
    </xf>
    <xf numFmtId="2" fontId="81" fillId="45" borderId="26" applyNumberFormat="0" applyBorder="0">
      <alignment horizontal="left" vertical="center"/>
    </xf>
    <xf numFmtId="2" fontId="18" fillId="46" borderId="37" applyNumberFormat="0" applyBorder="0">
      <alignment horizontal="right" vertical="center"/>
    </xf>
    <xf numFmtId="0" fontId="83" fillId="0" borderId="0"/>
    <xf numFmtId="38" fontId="68" fillId="0" borderId="0"/>
    <xf numFmtId="38" fontId="84" fillId="0" borderId="0"/>
    <xf numFmtId="38" fontId="85" fillId="0" borderId="0"/>
    <xf numFmtId="38" fontId="70" fillId="0" borderId="0"/>
    <xf numFmtId="0" fontId="71" fillId="0" borderId="0"/>
    <xf numFmtId="0" fontId="71" fillId="0" borderId="0"/>
    <xf numFmtId="0" fontId="86" fillId="24" borderId="0"/>
    <xf numFmtId="3" fontId="18" fillId="0" borderId="0"/>
    <xf numFmtId="0" fontId="87" fillId="47" borderId="0" applyFill="0" applyBorder="0">
      <protection hidden="1"/>
    </xf>
    <xf numFmtId="0" fontId="88" fillId="48" borderId="39">
      <protection locked="0"/>
    </xf>
    <xf numFmtId="0" fontId="33" fillId="0" borderId="0"/>
    <xf numFmtId="0" fontId="33" fillId="24" borderId="0"/>
    <xf numFmtId="183" fontId="89" fillId="0" borderId="0" applyFont="0" applyFill="0" applyBorder="0" applyAlignment="0" applyProtection="0"/>
    <xf numFmtId="184" fontId="89" fillId="0" borderId="0" applyFont="0" applyFill="0" applyBorder="0" applyAlignment="0" applyProtection="0"/>
    <xf numFmtId="185" fontId="89" fillId="0" borderId="0" applyFont="0" applyFill="0" applyBorder="0" applyAlignment="0" applyProtection="0"/>
    <xf numFmtId="186" fontId="89" fillId="0" borderId="0" applyFont="0" applyFill="0" applyBorder="0" applyAlignment="0" applyProtection="0"/>
    <xf numFmtId="187" fontId="18" fillId="0" borderId="0">
      <alignment horizontal="right"/>
    </xf>
    <xf numFmtId="188" fontId="89" fillId="0" borderId="0" applyFont="0">
      <protection locked="0"/>
    </xf>
    <xf numFmtId="0" fontId="90" fillId="24" borderId="40" applyNumberFormat="0" applyFont="0" applyFill="0" applyAlignment="0" applyProtection="0">
      <alignment horizontal="center"/>
    </xf>
    <xf numFmtId="0" fontId="18" fillId="0" borderId="0" applyNumberFormat="0" applyFont="0" applyFill="0" applyBorder="0" applyAlignment="0"/>
    <xf numFmtId="37" fontId="91" fillId="0" borderId="0"/>
    <xf numFmtId="189" fontId="92" fillId="0" borderId="0"/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44" fillId="0" borderId="0"/>
    <xf numFmtId="0" fontId="18" fillId="0" borderId="0"/>
    <xf numFmtId="0" fontId="18" fillId="0" borderId="0"/>
    <xf numFmtId="0" fontId="33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23" borderId="9" applyNumberFormat="0" applyFont="0" applyAlignment="0" applyProtection="0"/>
    <xf numFmtId="37" fontId="18" fillId="0" borderId="0"/>
    <xf numFmtId="0" fontId="22" fillId="49" borderId="41" applyNumberFormat="0" applyBorder="0">
      <alignment horizontal="left" vertical="center"/>
    </xf>
    <xf numFmtId="2" fontId="22" fillId="49" borderId="26" applyNumberFormat="0" applyBorder="0">
      <alignment horizontal="left" vertical="center"/>
    </xf>
    <xf numFmtId="2" fontId="82" fillId="43" borderId="42" applyNumberFormat="0" applyBorder="0">
      <alignment horizontal="left" vertical="center"/>
    </xf>
    <xf numFmtId="2" fontId="82" fillId="43" borderId="26" applyNumberFormat="0" applyBorder="0">
      <alignment horizontal="left" vertical="center"/>
    </xf>
    <xf numFmtId="2" fontId="93" fillId="31" borderId="14">
      <alignment horizontal="left"/>
    </xf>
    <xf numFmtId="19" fontId="18" fillId="50" borderId="13" applyNumberFormat="0" applyBorder="0">
      <alignment horizontal="left" vertical="center" indent="1"/>
    </xf>
    <xf numFmtId="0" fontId="18" fillId="50" borderId="0">
      <alignment horizontal="right" vertical="center"/>
    </xf>
    <xf numFmtId="19" fontId="18" fillId="50" borderId="37" applyNumberFormat="0" applyBorder="0">
      <alignment horizontal="right" vertical="center"/>
    </xf>
    <xf numFmtId="2" fontId="94" fillId="51" borderId="34" applyBorder="0">
      <alignment horizontal="left" vertical="center" indent="1"/>
    </xf>
    <xf numFmtId="2" fontId="94" fillId="51" borderId="0">
      <alignment horizontal="center" vertical="center"/>
    </xf>
    <xf numFmtId="2" fontId="94" fillId="51" borderId="27">
      <alignment horizontal="left" vertical="center"/>
    </xf>
    <xf numFmtId="1" fontId="95" fillId="0" borderId="0" applyProtection="0">
      <alignment horizontal="right" vertical="center"/>
    </xf>
    <xf numFmtId="0" fontId="18" fillId="52" borderId="0" applyNumberFormat="0" applyFont="0" applyBorder="0" applyAlignment="0" applyProtection="0">
      <protection hidden="1"/>
    </xf>
    <xf numFmtId="0" fontId="96" fillId="33" borderId="31">
      <alignment horizontal="center"/>
    </xf>
    <xf numFmtId="9" fontId="56" fillId="0" borderId="0" applyFont="0" applyFill="0" applyBorder="0" applyAlignment="0" applyProtection="0"/>
    <xf numFmtId="10" fontId="56" fillId="0" borderId="0" applyFont="0" applyFill="0" applyBorder="0" applyAlignment="0" applyProtection="0"/>
    <xf numFmtId="167" fontId="97" fillId="37" borderId="0" applyNumberFormat="0" applyBorder="0">
      <alignment horizontal="right" vertical="center"/>
    </xf>
    <xf numFmtId="0" fontId="98" fillId="53" borderId="31" applyNumberFormat="0">
      <alignment horizontal="center" vertical="center"/>
    </xf>
    <xf numFmtId="0" fontId="98" fillId="53" borderId="0" applyNumberFormat="0" applyBorder="0">
      <alignment horizontal="left" vertical="center" indent="1"/>
    </xf>
    <xf numFmtId="190" fontId="18" fillId="0" borderId="0"/>
    <xf numFmtId="0" fontId="80" fillId="31" borderId="34">
      <alignment horizontal="center"/>
    </xf>
    <xf numFmtId="0" fontId="99" fillId="39" borderId="0" applyNumberFormat="0" applyAlignment="0" applyProtection="0"/>
    <xf numFmtId="0" fontId="61" fillId="35" borderId="0"/>
    <xf numFmtId="38" fontId="100" fillId="0" borderId="0"/>
    <xf numFmtId="3" fontId="101" fillId="0" borderId="43">
      <alignment horizontal="center"/>
      <protection locked="0"/>
    </xf>
    <xf numFmtId="0" fontId="55" fillId="54" borderId="0"/>
    <xf numFmtId="0" fontId="18" fillId="55" borderId="44" applyNumberFormat="0" applyProtection="0">
      <alignment horizontal="left" vertical="center" indent="1"/>
    </xf>
    <xf numFmtId="0" fontId="18" fillId="0" borderId="0" applyNumberFormat="0" applyFont="0" applyFill="0" applyBorder="0" applyAlignment="0" applyProtection="0"/>
    <xf numFmtId="0" fontId="28" fillId="3" borderId="0" applyNumberFormat="0" applyBorder="0" applyAlignment="0" applyProtection="0"/>
    <xf numFmtId="15" fontId="102" fillId="31" borderId="0" applyBorder="0" applyAlignment="0" applyProtection="0">
      <alignment horizontal="right"/>
    </xf>
    <xf numFmtId="0" fontId="103" fillId="0" borderId="0"/>
    <xf numFmtId="191" fontId="104" fillId="0" borderId="0"/>
    <xf numFmtId="38" fontId="105" fillId="0" borderId="0"/>
    <xf numFmtId="192" fontId="106" fillId="56" borderId="0">
      <alignment horizontal="center" vertical="center"/>
      <protection locked="0"/>
    </xf>
    <xf numFmtId="0" fontId="38" fillId="0" borderId="0"/>
    <xf numFmtId="0" fontId="44" fillId="0" borderId="0"/>
    <xf numFmtId="0" fontId="18" fillId="0" borderId="0">
      <alignment horizontal="left" wrapText="1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>
      <alignment horizontal="left" wrapText="1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7" fillId="0" borderId="0"/>
    <xf numFmtId="0" fontId="108" fillId="0" borderId="0"/>
    <xf numFmtId="0" fontId="109" fillId="0" borderId="45" applyNumberFormat="0" applyAlignment="0" applyProtection="0">
      <alignment horizontal="left" vertical="top"/>
    </xf>
    <xf numFmtId="0" fontId="109" fillId="0" borderId="0" applyNumberFormat="0" applyProtection="0">
      <alignment horizontal="right" vertical="top"/>
    </xf>
    <xf numFmtId="0" fontId="18" fillId="0" borderId="0" applyNumberFormat="0" applyFont="0" applyAlignment="0" applyProtection="0"/>
    <xf numFmtId="0" fontId="110" fillId="0" borderId="0" applyNumberFormat="0" applyFill="0" applyBorder="0" applyProtection="0"/>
    <xf numFmtId="0" fontId="111" fillId="0" borderId="0" applyNumberFormat="0" applyFill="0" applyBorder="0" applyProtection="0">
      <alignment vertical="top"/>
    </xf>
    <xf numFmtId="0" fontId="112" fillId="0" borderId="18" applyNumberFormat="0" applyProtection="0">
      <alignment horizontal="left" vertical="top"/>
    </xf>
    <xf numFmtId="0" fontId="112" fillId="0" borderId="18" applyNumberFormat="0" applyProtection="0">
      <alignment horizontal="right" vertical="top"/>
    </xf>
    <xf numFmtId="0" fontId="109" fillId="0" borderId="0" applyNumberFormat="0" applyProtection="0">
      <alignment horizontal="left" vertical="top"/>
    </xf>
    <xf numFmtId="0" fontId="113" fillId="0" borderId="0" applyNumberFormat="0" applyProtection="0">
      <alignment horizontal="left" vertical="top"/>
    </xf>
    <xf numFmtId="0" fontId="113" fillId="0" borderId="0" applyNumberFormat="0" applyProtection="0">
      <alignment horizontal="right" vertical="top"/>
    </xf>
    <xf numFmtId="0" fontId="18" fillId="0" borderId="46" applyNumberFormat="0" applyFont="0" applyAlignment="0" applyProtection="0"/>
    <xf numFmtId="0" fontId="18" fillId="0" borderId="47" applyNumberFormat="0" applyFont="0" applyAlignment="0" applyProtection="0"/>
    <xf numFmtId="0" fontId="18" fillId="0" borderId="48" applyNumberFormat="0" applyFont="0" applyAlignment="0" applyProtection="0"/>
    <xf numFmtId="10" fontId="114" fillId="0" borderId="0" applyNumberFormat="0" applyFill="0" applyBorder="0" applyProtection="0">
      <alignment horizontal="right" vertical="top"/>
    </xf>
    <xf numFmtId="0" fontId="109" fillId="0" borderId="18" applyNumberFormat="0" applyFill="0" applyAlignment="0" applyProtection="0"/>
    <xf numFmtId="0" fontId="113" fillId="0" borderId="24" applyNumberFormat="0" applyFont="0" applyFill="0" applyAlignment="0" applyProtection="0">
      <alignment horizontal="left" vertical="top"/>
    </xf>
    <xf numFmtId="0" fontId="109" fillId="0" borderId="25" applyNumberFormat="0" applyFill="0" applyAlignment="0" applyProtection="0">
      <alignment vertical="top"/>
    </xf>
    <xf numFmtId="0" fontId="115" fillId="0" borderId="0" applyBorder="0" applyProtection="0">
      <alignment vertical="center"/>
    </xf>
    <xf numFmtId="0" fontId="115" fillId="0" borderId="25" applyBorder="0" applyProtection="0">
      <alignment horizontal="right" vertical="center"/>
    </xf>
    <xf numFmtId="0" fontId="116" fillId="57" borderId="0" applyBorder="0" applyProtection="0">
      <alignment horizontal="centerContinuous" vertical="center"/>
    </xf>
    <xf numFmtId="0" fontId="116" fillId="58" borderId="25" applyBorder="0" applyProtection="0">
      <alignment horizontal="centerContinuous" vertical="center"/>
    </xf>
    <xf numFmtId="0" fontId="32" fillId="0" borderId="0" applyBorder="0" applyProtection="0">
      <alignment horizontal="left"/>
    </xf>
    <xf numFmtId="0" fontId="117" fillId="0" borderId="0" applyFill="0" applyBorder="0" applyProtection="0">
      <alignment horizontal="left"/>
    </xf>
    <xf numFmtId="0" fontId="72" fillId="0" borderId="34" applyFill="0" applyBorder="0" applyProtection="0">
      <alignment horizontal="left" vertical="top"/>
    </xf>
    <xf numFmtId="2" fontId="18" fillId="38" borderId="26" applyNumberFormat="0" applyBorder="0">
      <alignment horizontal="right" vertical="center"/>
    </xf>
    <xf numFmtId="2" fontId="18" fillId="38" borderId="0">
      <alignment horizontal="right" vertical="center"/>
    </xf>
    <xf numFmtId="2" fontId="82" fillId="59" borderId="31">
      <alignment horizontal="center" vertical="center"/>
    </xf>
    <xf numFmtId="2" fontId="82" fillId="59" borderId="0" applyNumberFormat="0" applyBorder="0">
      <alignment horizontal="left" vertical="center"/>
    </xf>
    <xf numFmtId="193" fontId="118" fillId="0" borderId="14">
      <alignment vertical="center"/>
    </xf>
    <xf numFmtId="0" fontId="119" fillId="0" borderId="0">
      <alignment horizontal="center"/>
    </xf>
    <xf numFmtId="0" fontId="120" fillId="0" borderId="0"/>
    <xf numFmtId="0" fontId="121" fillId="0" borderId="0" applyNumberFormat="0" applyFill="0" applyBorder="0" applyAlignment="0" applyProtection="0"/>
    <xf numFmtId="38" fontId="122" fillId="60" borderId="10"/>
    <xf numFmtId="0" fontId="20" fillId="0" borderId="0" applyNumberFormat="0" applyFill="0" applyBorder="0" applyAlignment="0" applyProtection="0"/>
    <xf numFmtId="0" fontId="123" fillId="0" borderId="5" applyNumberFormat="0" applyFill="0" applyAlignment="0" applyProtection="0"/>
    <xf numFmtId="0" fontId="124" fillId="0" borderId="6" applyNumberFormat="0" applyFill="0" applyAlignment="0" applyProtection="0"/>
    <xf numFmtId="0" fontId="125" fillId="0" borderId="7" applyNumberFormat="0" applyFill="0" applyAlignment="0" applyProtection="0"/>
    <xf numFmtId="0" fontId="125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89" fillId="0" borderId="0"/>
    <xf numFmtId="0" fontId="127" fillId="0" borderId="0">
      <alignment vertical="top"/>
    </xf>
    <xf numFmtId="0" fontId="18" fillId="61" borderId="0" applyNumberFormat="0" applyBorder="0" applyAlignment="0">
      <protection locked="0"/>
    </xf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28" fillId="0" borderId="8" applyNumberFormat="0" applyFill="0" applyAlignment="0" applyProtection="0"/>
    <xf numFmtId="0" fontId="18" fillId="24" borderId="0" applyNumberFormat="0" applyFont="0" applyFill="0" applyBorder="0" applyProtection="0">
      <alignment horizontal="center" textRotation="90" wrapText="1"/>
    </xf>
    <xf numFmtId="0" fontId="29" fillId="0" borderId="0" applyNumberFormat="0" applyFill="0" applyBorder="0" applyAlignment="0" applyProtection="0"/>
    <xf numFmtId="0" fontId="129" fillId="55" borderId="0">
      <alignment horizontal="right"/>
    </xf>
    <xf numFmtId="0" fontId="44" fillId="20" borderId="0" applyNumberFormat="0" applyFont="0" applyBorder="0" applyAlignment="0" applyProtection="0"/>
    <xf numFmtId="0" fontId="130" fillId="24" borderId="0"/>
    <xf numFmtId="14" fontId="56" fillId="0" borderId="0" applyFont="0" applyFill="0" applyBorder="0" applyProtection="0"/>
    <xf numFmtId="194" fontId="18" fillId="0" borderId="0">
      <alignment horizontal="center"/>
    </xf>
    <xf numFmtId="0" fontId="131" fillId="21" borderId="3" applyNumberFormat="0" applyAlignment="0" applyProtection="0"/>
    <xf numFmtId="9" fontId="18" fillId="0" borderId="0" applyFont="0" applyFill="0" applyBorder="0" applyAlignment="0" applyProtection="0"/>
    <xf numFmtId="0" fontId="132" fillId="0" borderId="0" applyNumberFormat="0" applyFill="0" applyBorder="0" applyAlignment="0" applyProtection="0">
      <alignment vertical="top"/>
      <protection locked="0"/>
    </xf>
    <xf numFmtId="40" fontId="133" fillId="0" borderId="0" applyFont="0" applyFill="0" applyBorder="0" applyAlignment="0" applyProtection="0"/>
    <xf numFmtId="38" fontId="133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44" fillId="0" borderId="0"/>
    <xf numFmtId="0" fontId="134" fillId="0" borderId="0" applyNumberFormat="0" applyFill="0" applyBorder="0" applyAlignment="0" applyProtection="0">
      <alignment vertical="top"/>
      <protection locked="0"/>
    </xf>
    <xf numFmtId="173" fontId="133" fillId="0" borderId="0" applyFont="0" applyFill="0" applyBorder="0" applyAlignment="0" applyProtection="0"/>
    <xf numFmtId="195" fontId="133" fillId="0" borderId="0" applyFont="0" applyFill="0" applyBorder="0" applyAlignment="0" applyProtection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</cellStyleXfs>
  <cellXfs count="444">
    <xf numFmtId="0" fontId="0" fillId="0" borderId="0" xfId="0"/>
    <xf numFmtId="0" fontId="22" fillId="24" borderId="10" xfId="0" applyFont="1" applyFill="1" applyBorder="1" applyAlignment="1">
      <alignment horizontal="left"/>
    </xf>
    <xf numFmtId="0" fontId="23" fillId="25" borderId="10" xfId="0" quotePrefix="1" applyFont="1" applyFill="1" applyBorder="1" applyAlignment="1"/>
    <xf numFmtId="0" fontId="25" fillId="26" borderId="10" xfId="0" applyFont="1" applyFill="1" applyBorder="1" applyAlignment="1">
      <alignment horizontal="center"/>
    </xf>
    <xf numFmtId="0" fontId="29" fillId="25" borderId="11" xfId="0" applyFont="1" applyFill="1" applyBorder="1" applyAlignment="1">
      <alignment horizontal="center"/>
    </xf>
    <xf numFmtId="0" fontId="22" fillId="24" borderId="12" xfId="0" applyFont="1" applyFill="1" applyBorder="1" applyAlignment="1">
      <alignment horizontal="left"/>
    </xf>
    <xf numFmtId="0" fontId="23" fillId="25" borderId="12" xfId="0" applyFont="1" applyFill="1" applyBorder="1" applyAlignment="1">
      <alignment horizontal="right"/>
    </xf>
    <xf numFmtId="0" fontId="22" fillId="24" borderId="11" xfId="0" applyFont="1" applyFill="1" applyBorder="1" applyAlignment="1">
      <alignment horizontal="left"/>
    </xf>
    <xf numFmtId="0" fontId="22" fillId="0" borderId="12" xfId="0" applyFont="1" applyBorder="1"/>
    <xf numFmtId="0" fontId="26" fillId="0" borderId="12" xfId="0" applyFont="1" applyBorder="1" applyAlignment="1">
      <alignment horizontal="right"/>
    </xf>
    <xf numFmtId="0" fontId="22" fillId="0" borderId="13" xfId="0" applyFont="1" applyBorder="1"/>
    <xf numFmtId="0" fontId="26" fillId="0" borderId="13" xfId="0" applyFont="1" applyBorder="1" applyAlignment="1">
      <alignment horizontal="right"/>
    </xf>
    <xf numFmtId="0" fontId="26" fillId="0" borderId="13" xfId="0" applyFont="1" applyFill="1" applyBorder="1" applyAlignment="1">
      <alignment horizontal="right"/>
    </xf>
    <xf numFmtId="0" fontId="22" fillId="0" borderId="13" xfId="0" applyFont="1" applyFill="1" applyBorder="1"/>
    <xf numFmtId="0" fontId="22" fillId="0" borderId="11" xfId="0" applyFont="1" applyBorder="1"/>
    <xf numFmtId="0" fontId="26" fillId="0" borderId="11" xfId="0" applyFont="1" applyBorder="1" applyAlignment="1">
      <alignment horizontal="right"/>
    </xf>
    <xf numFmtId="0" fontId="22" fillId="24" borderId="12" xfId="0" applyFont="1" applyFill="1" applyBorder="1"/>
    <xf numFmtId="0" fontId="22" fillId="24" borderId="13" xfId="0" applyFont="1" applyFill="1" applyBorder="1"/>
    <xf numFmtId="0" fontId="22" fillId="24" borderId="11" xfId="0" applyFont="1" applyFill="1" applyBorder="1"/>
    <xf numFmtId="10" fontId="28" fillId="0" borderId="12" xfId="67" applyNumberFormat="1" applyFont="1" applyBorder="1"/>
    <xf numFmtId="10" fontId="28" fillId="0" borderId="13" xfId="67" applyNumberFormat="1" applyFont="1" applyBorder="1"/>
    <xf numFmtId="10" fontId="28" fillId="0" borderId="11" xfId="67" applyNumberFormat="1" applyFont="1" applyBorder="1"/>
    <xf numFmtId="0" fontId="26" fillId="0" borderId="14" xfId="0" applyFont="1" applyBorder="1" applyAlignment="1">
      <alignment horizontal="right"/>
    </xf>
    <xf numFmtId="0" fontId="26" fillId="0" borderId="15" xfId="0" applyFont="1" applyBorder="1" applyAlignment="1">
      <alignment horizontal="right"/>
    </xf>
    <xf numFmtId="10" fontId="26" fillId="0" borderId="13" xfId="67" applyNumberFormat="1" applyFont="1" applyFill="1" applyBorder="1" applyAlignment="1">
      <alignment horizontal="right"/>
    </xf>
    <xf numFmtId="10" fontId="26" fillId="0" borderId="13" xfId="67" applyNumberFormat="1" applyFont="1" applyBorder="1" applyAlignment="1">
      <alignment horizontal="right"/>
    </xf>
    <xf numFmtId="0" fontId="26" fillId="28" borderId="13" xfId="0" applyFont="1" applyFill="1" applyBorder="1" applyAlignment="1">
      <alignment horizontal="right"/>
    </xf>
    <xf numFmtId="0" fontId="35" fillId="0" borderId="13" xfId="0" applyFont="1" applyBorder="1" applyAlignment="1">
      <alignment horizontal="right"/>
    </xf>
    <xf numFmtId="0" fontId="34" fillId="29" borderId="13" xfId="0" applyFont="1" applyFill="1" applyBorder="1" applyAlignment="1">
      <alignment horizontal="right"/>
    </xf>
    <xf numFmtId="11" fontId="34" fillId="29" borderId="13" xfId="0" applyNumberFormat="1" applyFont="1" applyFill="1" applyBorder="1" applyAlignment="1">
      <alignment horizontal="right"/>
    </xf>
    <xf numFmtId="0" fontId="22" fillId="0" borderId="0" xfId="0" applyFont="1"/>
    <xf numFmtId="0" fontId="36" fillId="0" borderId="0" xfId="0" applyFont="1"/>
    <xf numFmtId="0" fontId="26" fillId="30" borderId="20" xfId="0" applyFont="1" applyFill="1" applyBorder="1" applyAlignment="1">
      <alignment horizontal="center"/>
    </xf>
    <xf numFmtId="0" fontId="26" fillId="30" borderId="18" xfId="0" applyFont="1" applyFill="1" applyBorder="1" applyAlignment="1">
      <alignment horizontal="center"/>
    </xf>
    <xf numFmtId="0" fontId="26" fillId="30" borderId="12" xfId="0" applyFont="1" applyFill="1" applyBorder="1" applyAlignment="1">
      <alignment horizontal="center"/>
    </xf>
    <xf numFmtId="0" fontId="26" fillId="30" borderId="13" xfId="0" applyFont="1" applyFill="1" applyBorder="1" applyAlignment="1">
      <alignment horizontal="center"/>
    </xf>
    <xf numFmtId="10" fontId="26" fillId="0" borderId="0" xfId="67" applyNumberFormat="1" applyFont="1" applyFill="1" applyBorder="1" applyAlignment="1"/>
    <xf numFmtId="0" fontId="23" fillId="25" borderId="22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9" fillId="25" borderId="16" xfId="0" applyFont="1" applyFill="1" applyBorder="1" applyAlignment="1">
      <alignment horizontal="center"/>
    </xf>
    <xf numFmtId="0" fontId="29" fillId="25" borderId="17" xfId="0" applyFont="1" applyFill="1" applyBorder="1" applyAlignment="1">
      <alignment horizontal="center"/>
    </xf>
    <xf numFmtId="0" fontId="26" fillId="0" borderId="22" xfId="0" applyFont="1" applyBorder="1" applyAlignment="1">
      <alignment horizontal="right"/>
    </xf>
    <xf numFmtId="0" fontId="26" fillId="0" borderId="23" xfId="0" applyFont="1" applyBorder="1" applyAlignment="1">
      <alignment horizontal="right"/>
    </xf>
    <xf numFmtId="0" fontId="26" fillId="24" borderId="15" xfId="0" applyFont="1" applyFill="1" applyBorder="1" applyAlignment="1">
      <alignment horizontal="right"/>
    </xf>
    <xf numFmtId="0" fontId="26" fillId="24" borderId="14" xfId="0" applyFont="1" applyFill="1" applyBorder="1" applyAlignment="1">
      <alignment horizontal="right"/>
    </xf>
    <xf numFmtId="0" fontId="26" fillId="0" borderId="16" xfId="0" applyFont="1" applyBorder="1" applyAlignment="1">
      <alignment horizontal="right"/>
    </xf>
    <xf numFmtId="0" fontId="26" fillId="0" borderId="17" xfId="0" applyFont="1" applyBorder="1" applyAlignment="1">
      <alignment horizontal="right"/>
    </xf>
    <xf numFmtId="0" fontId="38" fillId="0" borderId="0" xfId="0" applyFont="1"/>
    <xf numFmtId="0" fontId="25" fillId="0" borderId="0" xfId="0" applyFont="1"/>
    <xf numFmtId="0" fontId="18" fillId="0" borderId="0" xfId="0" applyFont="1"/>
    <xf numFmtId="0" fontId="22" fillId="26" borderId="10" xfId="0" applyFont="1" applyFill="1" applyBorder="1"/>
    <xf numFmtId="0" fontId="39" fillId="0" borderId="10" xfId="0" applyFont="1" applyBorder="1"/>
    <xf numFmtId="0" fontId="22" fillId="0" borderId="0" xfId="0" applyFont="1" applyFill="1" applyBorder="1"/>
    <xf numFmtId="0" fontId="22" fillId="24" borderId="12" xfId="0" applyFont="1" applyFill="1" applyBorder="1" applyAlignment="1">
      <alignment horizontal="center"/>
    </xf>
    <xf numFmtId="0" fontId="22" fillId="24" borderId="22" xfId="0" applyFont="1" applyFill="1" applyBorder="1" applyAlignment="1"/>
    <xf numFmtId="0" fontId="22" fillId="24" borderId="24" xfId="0" applyFont="1" applyFill="1" applyBorder="1" applyAlignment="1"/>
    <xf numFmtId="0" fontId="22" fillId="24" borderId="23" xfId="0" applyFont="1" applyFill="1" applyBorder="1" applyAlignment="1">
      <alignment horizontal="center"/>
    </xf>
    <xf numFmtId="0" fontId="22" fillId="24" borderId="10" xfId="0" applyFont="1" applyFill="1" applyBorder="1" applyAlignment="1">
      <alignment horizontal="center"/>
    </xf>
    <xf numFmtId="0" fontId="22" fillId="24" borderId="11" xfId="0" applyFont="1" applyFill="1" applyBorder="1" applyAlignment="1">
      <alignment horizontal="center"/>
    </xf>
    <xf numFmtId="14" fontId="28" fillId="0" borderId="12" xfId="0" applyNumberFormat="1" applyFont="1" applyBorder="1"/>
    <xf numFmtId="14" fontId="28" fillId="0" borderId="13" xfId="0" applyNumberFormat="1" applyFont="1" applyBorder="1"/>
    <xf numFmtId="14" fontId="28" fillId="0" borderId="11" xfId="0" applyNumberFormat="1" applyFont="1" applyBorder="1"/>
    <xf numFmtId="167" fontId="28" fillId="0" borderId="12" xfId="67" applyNumberFormat="1" applyFont="1" applyBorder="1"/>
    <xf numFmtId="167" fontId="28" fillId="0" borderId="13" xfId="67" applyNumberFormat="1" applyFont="1" applyBorder="1"/>
    <xf numFmtId="167" fontId="28" fillId="0" borderId="11" xfId="67" applyNumberFormat="1" applyFont="1" applyBorder="1"/>
    <xf numFmtId="10" fontId="38" fillId="0" borderId="0" xfId="67" applyNumberFormat="1" applyFont="1"/>
    <xf numFmtId="0" fontId="26" fillId="0" borderId="12" xfId="0" applyFont="1" applyFill="1" applyBorder="1" applyAlignment="1">
      <alignment horizontal="center"/>
    </xf>
    <xf numFmtId="0" fontId="18" fillId="0" borderId="12" xfId="0" applyFont="1" applyBorder="1"/>
    <xf numFmtId="0" fontId="27" fillId="0" borderId="13" xfId="0" applyFont="1" applyFill="1" applyBorder="1" applyAlignment="1">
      <alignment horizontal="center"/>
    </xf>
    <xf numFmtId="0" fontId="28" fillId="25" borderId="12" xfId="0" applyFont="1" applyFill="1" applyBorder="1" applyAlignment="1">
      <alignment horizontal="left"/>
    </xf>
    <xf numFmtId="0" fontId="29" fillId="25" borderId="12" xfId="0" applyFont="1" applyFill="1" applyBorder="1" applyAlignment="1">
      <alignment horizontal="center"/>
    </xf>
    <xf numFmtId="0" fontId="26" fillId="0" borderId="13" xfId="0" applyFont="1" applyFill="1" applyBorder="1" applyAlignment="1">
      <alignment horizontal="center"/>
    </xf>
    <xf numFmtId="0" fontId="26" fillId="0" borderId="13" xfId="0" applyFont="1" applyBorder="1"/>
    <xf numFmtId="0" fontId="28" fillId="25" borderId="13" xfId="0" applyFont="1" applyFill="1" applyBorder="1" applyAlignment="1">
      <alignment horizontal="left"/>
    </xf>
    <xf numFmtId="0" fontId="29" fillId="25" borderId="13" xfId="0" applyFont="1" applyFill="1" applyBorder="1" applyAlignment="1">
      <alignment horizontal="center"/>
    </xf>
    <xf numFmtId="0" fontId="29" fillId="25" borderId="13" xfId="0" applyFont="1" applyFill="1" applyBorder="1" applyAlignment="1">
      <alignment horizontal="left"/>
    </xf>
    <xf numFmtId="14" fontId="18" fillId="24" borderId="13" xfId="0" applyNumberFormat="1" applyFont="1" applyFill="1" applyBorder="1" applyAlignment="1">
      <alignment horizontal="right"/>
    </xf>
    <xf numFmtId="0" fontId="27" fillId="0" borderId="13" xfId="0" applyFont="1" applyBorder="1" applyAlignment="1">
      <alignment horizontal="right"/>
    </xf>
    <xf numFmtId="0" fontId="26" fillId="0" borderId="11" xfId="0" applyFont="1" applyFill="1" applyBorder="1" applyAlignment="1">
      <alignment horizontal="center"/>
    </xf>
    <xf numFmtId="0" fontId="27" fillId="0" borderId="11" xfId="0" applyFont="1" applyFill="1" applyBorder="1" applyAlignment="1">
      <alignment horizontal="center"/>
    </xf>
    <xf numFmtId="0" fontId="26" fillId="0" borderId="11" xfId="0" applyFont="1" applyFill="1" applyBorder="1"/>
    <xf numFmtId="0" fontId="28" fillId="0" borderId="11" xfId="0" applyFont="1" applyFill="1" applyBorder="1" applyAlignment="1">
      <alignment horizontal="left"/>
    </xf>
    <xf numFmtId="0" fontId="29" fillId="0" borderId="11" xfId="0" applyFont="1" applyFill="1" applyBorder="1" applyAlignment="1">
      <alignment horizontal="center"/>
    </xf>
    <xf numFmtId="14" fontId="18" fillId="0" borderId="0" xfId="0" applyNumberFormat="1" applyFont="1"/>
    <xf numFmtId="14" fontId="38" fillId="0" borderId="0" xfId="0" applyNumberFormat="1" applyFont="1"/>
    <xf numFmtId="0" fontId="26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6" fillId="0" borderId="0" xfId="0" applyFont="1" applyFill="1" applyBorder="1"/>
    <xf numFmtId="0" fontId="28" fillId="0" borderId="0" xfId="0" applyFont="1" applyFill="1" applyBorder="1" applyAlignment="1">
      <alignment horizontal="left"/>
    </xf>
    <xf numFmtId="0" fontId="29" fillId="0" borderId="0" xfId="0" applyFont="1" applyFill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0" xfId="0" applyFont="1" applyBorder="1" applyAlignment="1">
      <alignment horizontal="right"/>
    </xf>
    <xf numFmtId="170" fontId="35" fillId="0" borderId="12" xfId="0" applyNumberFormat="1" applyFont="1" applyBorder="1"/>
    <xf numFmtId="10" fontId="35" fillId="0" borderId="12" xfId="67" applyNumberFormat="1" applyFont="1" applyBorder="1"/>
    <xf numFmtId="0" fontId="38" fillId="0" borderId="22" xfId="0" applyFont="1" applyBorder="1"/>
    <xf numFmtId="0" fontId="38" fillId="0" borderId="24" xfId="0" applyFont="1" applyBorder="1"/>
    <xf numFmtId="0" fontId="38" fillId="0" borderId="23" xfId="0" applyFont="1" applyBorder="1"/>
    <xf numFmtId="170" fontId="35" fillId="0" borderId="13" xfId="0" applyNumberFormat="1" applyFont="1" applyBorder="1"/>
    <xf numFmtId="10" fontId="35" fillId="0" borderId="13" xfId="67" applyNumberFormat="1" applyFont="1" applyBorder="1"/>
    <xf numFmtId="0" fontId="38" fillId="0" borderId="15" xfId="0" applyFont="1" applyBorder="1"/>
    <xf numFmtId="0" fontId="38" fillId="0" borderId="0" xfId="0" applyFont="1" applyBorder="1"/>
    <xf numFmtId="0" fontId="38" fillId="0" borderId="14" xfId="0" applyFont="1" applyBorder="1"/>
    <xf numFmtId="0" fontId="22" fillId="24" borderId="26" xfId="0" applyFont="1" applyFill="1" applyBorder="1" applyAlignment="1">
      <alignment horizontal="right"/>
    </xf>
    <xf numFmtId="172" fontId="35" fillId="27" borderId="26" xfId="0" applyNumberFormat="1" applyFont="1" applyFill="1" applyBorder="1" applyAlignment="1">
      <alignment horizontal="center"/>
    </xf>
    <xf numFmtId="0" fontId="22" fillId="24" borderId="27" xfId="0" applyFont="1" applyFill="1" applyBorder="1" applyAlignment="1">
      <alignment horizontal="right"/>
    </xf>
    <xf numFmtId="0" fontId="135" fillId="0" borderId="27" xfId="0" applyFont="1" applyBorder="1" applyAlignment="1">
      <alignment horizontal="center"/>
    </xf>
    <xf numFmtId="0" fontId="135" fillId="0" borderId="27" xfId="0" applyFont="1" applyBorder="1" applyAlignment="1">
      <alignment horizontal="right"/>
    </xf>
    <xf numFmtId="0" fontId="22" fillId="24" borderId="28" xfId="0" applyFont="1" applyFill="1" applyBorder="1" applyAlignment="1">
      <alignment horizontal="right"/>
    </xf>
    <xf numFmtId="0" fontId="135" fillId="0" borderId="28" xfId="0" applyFont="1" applyBorder="1" applyAlignment="1">
      <alignment horizontal="center"/>
    </xf>
    <xf numFmtId="0" fontId="135" fillId="0" borderId="28" xfId="0" applyFont="1" applyBorder="1" applyAlignment="1">
      <alignment horizontal="right"/>
    </xf>
    <xf numFmtId="0" fontId="135" fillId="27" borderId="26" xfId="0" applyFont="1" applyFill="1" applyBorder="1" applyAlignment="1">
      <alignment horizontal="center"/>
    </xf>
    <xf numFmtId="172" fontId="35" fillId="27" borderId="27" xfId="0" applyNumberFormat="1" applyFont="1" applyFill="1" applyBorder="1" applyAlignment="1">
      <alignment horizontal="center"/>
    </xf>
    <xf numFmtId="172" fontId="35" fillId="27" borderId="28" xfId="0" applyNumberFormat="1" applyFont="1" applyFill="1" applyBorder="1" applyAlignment="1">
      <alignment horizontal="center"/>
    </xf>
    <xf numFmtId="0" fontId="37" fillId="25" borderId="26" xfId="0" applyFont="1" applyFill="1" applyBorder="1" applyAlignment="1">
      <alignment horizontal="center"/>
    </xf>
    <xf numFmtId="0" fontId="29" fillId="25" borderId="28" xfId="0" applyFont="1" applyFill="1" applyBorder="1" applyAlignment="1">
      <alignment horizontal="center"/>
    </xf>
    <xf numFmtId="0" fontId="18" fillId="27" borderId="26" xfId="0" applyFont="1" applyFill="1" applyBorder="1" applyAlignment="1">
      <alignment horizontal="center"/>
    </xf>
    <xf numFmtId="0" fontId="135" fillId="27" borderId="27" xfId="0" applyFont="1" applyFill="1" applyBorder="1" applyAlignment="1">
      <alignment horizontal="center"/>
    </xf>
    <xf numFmtId="0" fontId="38" fillId="0" borderId="16" xfId="0" applyFont="1" applyBorder="1"/>
    <xf numFmtId="0" fontId="38" fillId="0" borderId="25" xfId="0" applyFont="1" applyBorder="1"/>
    <xf numFmtId="0" fontId="38" fillId="0" borderId="17" xfId="0" applyFont="1" applyBorder="1"/>
    <xf numFmtId="10" fontId="35" fillId="0" borderId="13" xfId="0" applyNumberFormat="1" applyFont="1" applyBorder="1"/>
    <xf numFmtId="170" fontId="35" fillId="0" borderId="11" xfId="0" applyNumberFormat="1" applyFont="1" applyBorder="1"/>
    <xf numFmtId="10" fontId="35" fillId="0" borderId="11" xfId="0" applyNumberFormat="1" applyFont="1" applyBorder="1"/>
    <xf numFmtId="0" fontId="18" fillId="27" borderId="27" xfId="0" applyFont="1" applyFill="1" applyBorder="1" applyAlignment="1">
      <alignment horizontal="center"/>
    </xf>
    <xf numFmtId="172" fontId="18" fillId="27" borderId="27" xfId="0" applyNumberFormat="1" applyFont="1" applyFill="1" applyBorder="1" applyAlignment="1">
      <alignment horizontal="center"/>
    </xf>
    <xf numFmtId="0" fontId="25" fillId="0" borderId="20" xfId="0" applyFont="1" applyBorder="1"/>
    <xf numFmtId="0" fontId="38" fillId="0" borderId="19" xfId="0" applyFont="1" applyBorder="1"/>
    <xf numFmtId="0" fontId="18" fillId="27" borderId="28" xfId="0" applyFont="1" applyFill="1" applyBorder="1" applyAlignment="1">
      <alignment horizontal="center"/>
    </xf>
    <xf numFmtId="164" fontId="37" fillId="0" borderId="12" xfId="0" applyNumberFormat="1" applyFont="1" applyBorder="1"/>
    <xf numFmtId="167" fontId="37" fillId="0" borderId="12" xfId="67" applyNumberFormat="1" applyFont="1" applyBorder="1"/>
    <xf numFmtId="164" fontId="37" fillId="0" borderId="13" xfId="0" applyNumberFormat="1" applyFont="1" applyBorder="1"/>
    <xf numFmtId="167" fontId="37" fillId="0" borderId="13" xfId="67" applyNumberFormat="1" applyFont="1" applyBorder="1"/>
    <xf numFmtId="164" fontId="37" fillId="0" borderId="11" xfId="0" applyNumberFormat="1" applyFont="1" applyBorder="1"/>
    <xf numFmtId="167" fontId="37" fillId="0" borderId="11" xfId="67" applyNumberFormat="1" applyFont="1" applyBorder="1"/>
    <xf numFmtId="0" fontId="18" fillId="25" borderId="26" xfId="0" applyFont="1" applyFill="1" applyBorder="1" applyAlignment="1">
      <alignment horizontal="center"/>
    </xf>
    <xf numFmtId="171" fontId="135" fillId="27" borderId="27" xfId="0" applyNumberFormat="1" applyFont="1" applyFill="1" applyBorder="1" applyAlignment="1">
      <alignment horizontal="center"/>
    </xf>
    <xf numFmtId="0" fontId="35" fillId="27" borderId="27" xfId="0" applyFont="1" applyFill="1" applyBorder="1" applyAlignment="1">
      <alignment horizontal="center"/>
    </xf>
    <xf numFmtId="165" fontId="135" fillId="27" borderId="27" xfId="0" applyNumberFormat="1" applyFont="1" applyFill="1" applyBorder="1" applyAlignment="1">
      <alignment horizontal="center"/>
    </xf>
    <xf numFmtId="172" fontId="37" fillId="27" borderId="27" xfId="0" applyNumberFormat="1" applyFont="1" applyFill="1" applyBorder="1" applyAlignment="1">
      <alignment horizontal="center"/>
    </xf>
    <xf numFmtId="172" fontId="37" fillId="28" borderId="27" xfId="0" applyNumberFormat="1" applyFont="1" applyFill="1" applyBorder="1" applyAlignment="1">
      <alignment horizontal="center"/>
    </xf>
    <xf numFmtId="172" fontId="37" fillId="27" borderId="26" xfId="0" applyNumberFormat="1" applyFont="1" applyFill="1" applyBorder="1" applyAlignment="1">
      <alignment horizontal="center"/>
    </xf>
    <xf numFmtId="2" fontId="37" fillId="0" borderId="27" xfId="0" applyNumberFormat="1" applyFont="1" applyBorder="1" applyAlignment="1">
      <alignment horizontal="right"/>
    </xf>
    <xf numFmtId="10" fontId="37" fillId="0" borderId="28" xfId="69" applyNumberFormat="1" applyFont="1" applyBorder="1" applyAlignment="1">
      <alignment horizontal="right"/>
    </xf>
    <xf numFmtId="2" fontId="37" fillId="0" borderId="28" xfId="69" applyNumberFormat="1" applyFont="1" applyBorder="1" applyAlignment="1">
      <alignment horizontal="right"/>
    </xf>
    <xf numFmtId="2" fontId="37" fillId="27" borderId="26" xfId="0" applyNumberFormat="1" applyFont="1" applyFill="1" applyBorder="1" applyAlignment="1"/>
    <xf numFmtId="2" fontId="38" fillId="0" borderId="0" xfId="0" applyNumberFormat="1" applyFont="1"/>
    <xf numFmtId="10" fontId="37" fillId="0" borderId="27" xfId="69" applyNumberFormat="1" applyFont="1" applyBorder="1" applyAlignment="1">
      <alignment horizontal="right"/>
    </xf>
    <xf numFmtId="4" fontId="37" fillId="0" borderId="28" xfId="69" applyNumberFormat="1" applyFont="1" applyBorder="1" applyAlignment="1">
      <alignment horizontal="right"/>
    </xf>
    <xf numFmtId="167" fontId="37" fillId="27" borderId="26" xfId="67" applyNumberFormat="1" applyFont="1" applyFill="1" applyBorder="1" applyAlignment="1"/>
    <xf numFmtId="167" fontId="37" fillId="0" borderId="27" xfId="69" applyNumberFormat="1" applyFont="1" applyBorder="1" applyAlignment="1">
      <alignment horizontal="right"/>
    </xf>
    <xf numFmtId="167" fontId="37" fillId="0" borderId="27" xfId="67" applyNumberFormat="1" applyFont="1" applyBorder="1" applyAlignment="1">
      <alignment horizontal="right"/>
    </xf>
    <xf numFmtId="0" fontId="135" fillId="0" borderId="50" xfId="0" applyFont="1" applyBorder="1" applyAlignment="1">
      <alignment horizontal="center"/>
    </xf>
    <xf numFmtId="0" fontId="135" fillId="0" borderId="51" xfId="0" applyFont="1" applyBorder="1" applyAlignment="1">
      <alignment horizontal="center"/>
    </xf>
    <xf numFmtId="0" fontId="135" fillId="0" borderId="34" xfId="0" applyFont="1" applyBorder="1" applyAlignment="1">
      <alignment horizontal="center"/>
    </xf>
    <xf numFmtId="0" fontId="135" fillId="0" borderId="16" xfId="0" applyFont="1" applyBorder="1" applyAlignment="1">
      <alignment horizontal="center"/>
    </xf>
    <xf numFmtId="0" fontId="38" fillId="0" borderId="52" xfId="0" applyFont="1" applyBorder="1"/>
    <xf numFmtId="170" fontId="35" fillId="0" borderId="49" xfId="67" applyNumberFormat="1" applyFont="1" applyBorder="1"/>
    <xf numFmtId="170" fontId="35" fillId="0" borderId="50" xfId="67" applyNumberFormat="1" applyFont="1" applyBorder="1"/>
    <xf numFmtId="170" fontId="35" fillId="0" borderId="51" xfId="67" applyNumberFormat="1" applyFont="1" applyBorder="1"/>
    <xf numFmtId="170" fontId="35" fillId="0" borderId="34" xfId="67" applyNumberFormat="1" applyFont="1" applyBorder="1"/>
    <xf numFmtId="170" fontId="35" fillId="0" borderId="0" xfId="67" applyNumberFormat="1" applyFont="1" applyBorder="1"/>
    <xf numFmtId="170" fontId="35" fillId="0" borderId="14" xfId="67" applyNumberFormat="1" applyFont="1" applyBorder="1"/>
    <xf numFmtId="170" fontId="35" fillId="0" borderId="16" xfId="67" applyNumberFormat="1" applyFont="1" applyBorder="1"/>
    <xf numFmtId="170" fontId="35" fillId="0" borderId="25" xfId="67" applyNumberFormat="1" applyFont="1" applyBorder="1"/>
    <xf numFmtId="170" fontId="35" fillId="0" borderId="17" xfId="67" applyNumberFormat="1" applyFont="1" applyBorder="1"/>
    <xf numFmtId="0" fontId="25" fillId="0" borderId="52" xfId="0" applyFont="1" applyBorder="1" applyAlignment="1">
      <alignment horizontal="center"/>
    </xf>
    <xf numFmtId="0" fontId="135" fillId="0" borderId="53" xfId="0" applyFont="1" applyBorder="1" applyAlignment="1">
      <alignment horizontal="center"/>
    </xf>
    <xf numFmtId="0" fontId="135" fillId="0" borderId="13" xfId="0" applyFont="1" applyBorder="1" applyAlignment="1">
      <alignment horizontal="center"/>
    </xf>
    <xf numFmtId="165" fontId="135" fillId="0" borderId="13" xfId="67" applyNumberFormat="1" applyFont="1" applyBorder="1" applyAlignment="1">
      <alignment horizontal="center"/>
    </xf>
    <xf numFmtId="0" fontId="135" fillId="0" borderId="11" xfId="0" applyFont="1" applyBorder="1" applyAlignment="1">
      <alignment horizontal="center"/>
    </xf>
    <xf numFmtId="0" fontId="35" fillId="0" borderId="53" xfId="0" applyFont="1" applyBorder="1" applyAlignment="1">
      <alignment horizontal="center"/>
    </xf>
    <xf numFmtId="0" fontId="35" fillId="0" borderId="13" xfId="0" applyFont="1" applyBorder="1" applyAlignment="1">
      <alignment horizontal="center"/>
    </xf>
    <xf numFmtId="0" fontId="35" fillId="0" borderId="11" xfId="0" applyFont="1" applyBorder="1" applyAlignment="1">
      <alignment horizontal="center"/>
    </xf>
    <xf numFmtId="170" fontId="35" fillId="29" borderId="0" xfId="67" applyNumberFormat="1" applyFont="1" applyFill="1" applyBorder="1"/>
    <xf numFmtId="167" fontId="38" fillId="0" borderId="0" xfId="0" applyNumberFormat="1" applyFont="1"/>
    <xf numFmtId="9" fontId="38" fillId="0" borderId="0" xfId="67" applyFont="1"/>
    <xf numFmtId="10" fontId="38" fillId="0" borderId="0" xfId="0" applyNumberFormat="1" applyFont="1"/>
    <xf numFmtId="170" fontId="38" fillId="0" borderId="0" xfId="0" applyNumberFormat="1" applyFont="1"/>
    <xf numFmtId="0" fontId="25" fillId="0" borderId="0" xfId="0" applyFont="1" applyAlignment="1">
      <alignment horizontal="center"/>
    </xf>
    <xf numFmtId="0" fontId="136" fillId="0" borderId="0" xfId="0" applyFont="1" applyAlignment="1">
      <alignment horizontal="right"/>
    </xf>
    <xf numFmtId="2" fontId="136" fillId="0" borderId="0" xfId="0" applyNumberFormat="1" applyFont="1"/>
    <xf numFmtId="0" fontId="9" fillId="0" borderId="52" xfId="0" applyFont="1" applyBorder="1" applyAlignment="1">
      <alignment horizontal="center"/>
    </xf>
    <xf numFmtId="2" fontId="136" fillId="0" borderId="53" xfId="0" applyNumberFormat="1" applyFont="1" applyBorder="1"/>
    <xf numFmtId="2" fontId="136" fillId="0" borderId="13" xfId="0" applyNumberFormat="1" applyFont="1" applyBorder="1"/>
    <xf numFmtId="0" fontId="0" fillId="0" borderId="13" xfId="0" applyBorder="1"/>
    <xf numFmtId="2" fontId="136" fillId="0" borderId="56" xfId="0" applyNumberFormat="1" applyFont="1" applyBorder="1"/>
    <xf numFmtId="0" fontId="0" fillId="0" borderId="56" xfId="0" applyBorder="1"/>
    <xf numFmtId="0" fontId="137" fillId="0" borderId="0" xfId="0" applyFont="1" applyAlignment="1">
      <alignment horizontal="right"/>
    </xf>
    <xf numFmtId="169" fontId="136" fillId="0" borderId="53" xfId="0" applyNumberFormat="1" applyFont="1" applyBorder="1"/>
    <xf numFmtId="169" fontId="136" fillId="0" borderId="13" xfId="0" applyNumberFormat="1" applyFont="1" applyBorder="1"/>
    <xf numFmtId="169" fontId="136" fillId="0" borderId="56" xfId="0" applyNumberFormat="1" applyFont="1" applyBorder="1"/>
    <xf numFmtId="165" fontId="37" fillId="0" borderId="28" xfId="69" applyNumberFormat="1" applyFont="1" applyBorder="1" applyAlignment="1">
      <alignment horizontal="right"/>
    </xf>
    <xf numFmtId="10" fontId="138" fillId="0" borderId="53" xfId="67" applyNumberFormat="1" applyFont="1" applyBorder="1"/>
    <xf numFmtId="10" fontId="138" fillId="0" borderId="13" xfId="67" applyNumberFormat="1" applyFont="1" applyBorder="1"/>
    <xf numFmtId="10" fontId="138" fillId="29" borderId="13" xfId="67" applyNumberFormat="1" applyFont="1" applyFill="1" applyBorder="1"/>
    <xf numFmtId="2" fontId="136" fillId="29" borderId="13" xfId="0" applyNumberFormat="1" applyFont="1" applyFill="1" applyBorder="1"/>
    <xf numFmtId="170" fontId="137" fillId="0" borderId="54" xfId="0" applyNumberFormat="1" applyFont="1" applyBorder="1" applyAlignment="1">
      <alignment horizontal="center"/>
    </xf>
    <xf numFmtId="170" fontId="137" fillId="0" borderId="57" xfId="0" applyNumberFormat="1" applyFont="1" applyBorder="1" applyAlignment="1">
      <alignment horizontal="center"/>
    </xf>
    <xf numFmtId="170" fontId="137" fillId="0" borderId="55" xfId="0" applyNumberFormat="1" applyFont="1" applyBorder="1" applyAlignment="1">
      <alignment horizontal="center"/>
    </xf>
    <xf numFmtId="169" fontId="136" fillId="0" borderId="49" xfId="0" applyNumberFormat="1" applyFont="1" applyBorder="1"/>
    <xf numFmtId="169" fontId="136" fillId="0" borderId="50" xfId="0" applyNumberFormat="1" applyFont="1" applyBorder="1"/>
    <xf numFmtId="169" fontId="136" fillId="0" borderId="51" xfId="0" applyNumberFormat="1" applyFont="1" applyBorder="1"/>
    <xf numFmtId="169" fontId="136" fillId="0" borderId="34" xfId="0" applyNumberFormat="1" applyFont="1" applyBorder="1"/>
    <xf numFmtId="169" fontId="136" fillId="0" borderId="0" xfId="0" applyNumberFormat="1" applyFont="1" applyBorder="1"/>
    <xf numFmtId="169" fontId="136" fillId="0" borderId="29" xfId="0" applyNumberFormat="1" applyFont="1" applyBorder="1"/>
    <xf numFmtId="169" fontId="136" fillId="29" borderId="34" xfId="0" applyNumberFormat="1" applyFont="1" applyFill="1" applyBorder="1"/>
    <xf numFmtId="169" fontId="136" fillId="29" borderId="0" xfId="0" applyNumberFormat="1" applyFont="1" applyFill="1" applyBorder="1"/>
    <xf numFmtId="169" fontId="136" fillId="29" borderId="29" xfId="0" applyNumberFormat="1" applyFont="1" applyFill="1" applyBorder="1"/>
    <xf numFmtId="169" fontId="136" fillId="0" borderId="54" xfId="0" applyNumberFormat="1" applyFont="1" applyBorder="1"/>
    <xf numFmtId="169" fontId="136" fillId="0" borderId="57" xfId="0" applyNumberFormat="1" applyFont="1" applyBorder="1"/>
    <xf numFmtId="169" fontId="136" fillId="0" borderId="55" xfId="0" applyNumberFormat="1" applyFont="1" applyBorder="1"/>
    <xf numFmtId="166" fontId="139" fillId="0" borderId="53" xfId="67" applyNumberFormat="1" applyFont="1" applyBorder="1"/>
    <xf numFmtId="166" fontId="139" fillId="0" borderId="13" xfId="67" applyNumberFormat="1" applyFont="1" applyBorder="1"/>
    <xf numFmtId="166" fontId="139" fillId="0" borderId="56" xfId="67" applyNumberFormat="1" applyFont="1" applyBorder="1"/>
    <xf numFmtId="167" fontId="139" fillId="29" borderId="13" xfId="67" applyNumberFormat="1" applyFont="1" applyFill="1" applyBorder="1"/>
    <xf numFmtId="165" fontId="0" fillId="0" borderId="0" xfId="67" applyNumberFormat="1" applyFont="1"/>
    <xf numFmtId="10" fontId="138" fillId="29" borderId="53" xfId="67" applyNumberFormat="1" applyFont="1" applyFill="1" applyBorder="1"/>
    <xf numFmtId="2" fontId="136" fillId="29" borderId="53" xfId="0" applyNumberFormat="1" applyFont="1" applyFill="1" applyBorder="1"/>
    <xf numFmtId="167" fontId="139" fillId="29" borderId="53" xfId="67" applyNumberFormat="1" applyFont="1" applyFill="1" applyBorder="1"/>
    <xf numFmtId="169" fontId="136" fillId="29" borderId="49" xfId="0" applyNumberFormat="1" applyFont="1" applyFill="1" applyBorder="1"/>
    <xf numFmtId="169" fontId="136" fillId="29" borderId="50" xfId="0" applyNumberFormat="1" applyFont="1" applyFill="1" applyBorder="1"/>
    <xf numFmtId="169" fontId="136" fillId="29" borderId="51" xfId="0" applyNumberFormat="1" applyFont="1" applyFill="1" applyBorder="1"/>
    <xf numFmtId="10" fontId="138" fillId="29" borderId="56" xfId="67" applyNumberFormat="1" applyFont="1" applyFill="1" applyBorder="1"/>
    <xf numFmtId="2" fontId="136" fillId="29" borderId="56" xfId="0" applyNumberFormat="1" applyFont="1" applyFill="1" applyBorder="1"/>
    <xf numFmtId="167" fontId="139" fillId="29" borderId="56" xfId="67" applyNumberFormat="1" applyFont="1" applyFill="1" applyBorder="1"/>
    <xf numFmtId="169" fontId="136" fillId="29" borderId="54" xfId="0" applyNumberFormat="1" applyFont="1" applyFill="1" applyBorder="1"/>
    <xf numFmtId="169" fontId="136" fillId="29" borderId="57" xfId="0" applyNumberFormat="1" applyFont="1" applyFill="1" applyBorder="1"/>
    <xf numFmtId="169" fontId="136" fillId="29" borderId="55" xfId="0" applyNumberFormat="1" applyFont="1" applyFill="1" applyBorder="1"/>
    <xf numFmtId="0" fontId="9" fillId="0" borderId="0" xfId="0" applyFont="1"/>
    <xf numFmtId="0" fontId="9" fillId="0" borderId="52" xfId="0" applyFont="1" applyBorder="1"/>
    <xf numFmtId="10" fontId="137" fillId="0" borderId="52" xfId="0" applyNumberFormat="1" applyFont="1" applyBorder="1" applyAlignment="1">
      <alignment horizontal="right"/>
    </xf>
    <xf numFmtId="10" fontId="137" fillId="0" borderId="0" xfId="0" applyNumberFormat="1" applyFont="1"/>
    <xf numFmtId="2" fontId="136" fillId="0" borderId="53" xfId="0" applyNumberFormat="1" applyFont="1" applyBorder="1" applyAlignment="1"/>
    <xf numFmtId="2" fontId="136" fillId="0" borderId="13" xfId="0" applyNumberFormat="1" applyFont="1" applyBorder="1" applyAlignment="1"/>
    <xf numFmtId="2" fontId="136" fillId="0" borderId="56" xfId="0" applyNumberFormat="1" applyFont="1" applyBorder="1" applyAlignment="1"/>
    <xf numFmtId="169" fontId="137" fillId="0" borderId="53" xfId="0" applyNumberFormat="1" applyFont="1" applyBorder="1"/>
    <xf numFmtId="2" fontId="137" fillId="0" borderId="53" xfId="0" applyNumberFormat="1" applyFont="1" applyBorder="1"/>
    <xf numFmtId="0" fontId="136" fillId="0" borderId="13" xfId="0" applyFont="1" applyBorder="1"/>
    <xf numFmtId="0" fontId="136" fillId="0" borderId="56" xfId="0" applyFont="1" applyBorder="1"/>
    <xf numFmtId="169" fontId="137" fillId="0" borderId="13" xfId="0" applyNumberFormat="1" applyFont="1" applyBorder="1"/>
    <xf numFmtId="2" fontId="137" fillId="0" borderId="13" xfId="0" applyNumberFormat="1" applyFont="1" applyBorder="1"/>
    <xf numFmtId="2" fontId="136" fillId="0" borderId="0" xfId="0" applyNumberFormat="1" applyFont="1" applyAlignment="1"/>
    <xf numFmtId="169" fontId="136" fillId="0" borderId="0" xfId="0" applyNumberFormat="1" applyFont="1"/>
    <xf numFmtId="0" fontId="136" fillId="0" borderId="0" xfId="0" applyFont="1"/>
    <xf numFmtId="0" fontId="9" fillId="0" borderId="49" xfId="0" applyFont="1" applyBorder="1"/>
    <xf numFmtId="0" fontId="0" fillId="0" borderId="51" xfId="0" applyBorder="1"/>
    <xf numFmtId="0" fontId="9" fillId="0" borderId="34" xfId="0" applyFont="1" applyBorder="1"/>
    <xf numFmtId="0" fontId="0" fillId="0" borderId="29" xfId="0" applyBorder="1"/>
    <xf numFmtId="168" fontId="137" fillId="0" borderId="13" xfId="0" applyNumberFormat="1" applyFont="1" applyBorder="1"/>
    <xf numFmtId="0" fontId="9" fillId="0" borderId="54" xfId="0" applyFont="1" applyBorder="1"/>
    <xf numFmtId="0" fontId="0" fillId="0" borderId="55" xfId="0" applyBorder="1"/>
    <xf numFmtId="2" fontId="137" fillId="0" borderId="56" xfId="0" applyNumberFormat="1" applyFont="1" applyBorder="1"/>
    <xf numFmtId="2" fontId="139" fillId="29" borderId="53" xfId="0" applyNumberFormat="1" applyFont="1" applyFill="1" applyBorder="1"/>
    <xf numFmtId="2" fontId="139" fillId="29" borderId="56" xfId="0" applyNumberFormat="1" applyFont="1" applyFill="1" applyBorder="1"/>
    <xf numFmtId="1" fontId="138" fillId="0" borderId="0" xfId="67" applyNumberFormat="1" applyFont="1" applyFill="1" applyBorder="1"/>
    <xf numFmtId="167" fontId="37" fillId="0" borderId="28" xfId="69" applyNumberFormat="1" applyFont="1" applyBorder="1" applyAlignment="1">
      <alignment horizontal="right"/>
    </xf>
    <xf numFmtId="169" fontId="37" fillId="0" borderId="28" xfId="69" applyNumberFormat="1" applyFont="1" applyBorder="1" applyAlignment="1">
      <alignment horizontal="right"/>
    </xf>
    <xf numFmtId="0" fontId="140" fillId="0" borderId="49" xfId="0" applyFont="1" applyBorder="1" applyAlignment="1">
      <alignment horizontal="center"/>
    </xf>
    <xf numFmtId="0" fontId="140" fillId="0" borderId="50" xfId="0" applyFont="1" applyBorder="1" applyAlignment="1">
      <alignment horizontal="center"/>
    </xf>
    <xf numFmtId="0" fontId="140" fillId="0" borderId="51" xfId="0" applyFont="1" applyBorder="1" applyAlignment="1">
      <alignment horizontal="center"/>
    </xf>
    <xf numFmtId="14" fontId="137" fillId="0" borderId="49" xfId="0" applyNumberFormat="1" applyFont="1" applyBorder="1" applyAlignment="1">
      <alignment horizontal="center"/>
    </xf>
    <xf numFmtId="14" fontId="137" fillId="0" borderId="50" xfId="0" applyNumberFormat="1" applyFont="1" applyBorder="1" applyAlignment="1">
      <alignment horizontal="center"/>
    </xf>
    <xf numFmtId="14" fontId="137" fillId="0" borderId="51" xfId="0" applyNumberFormat="1" applyFont="1" applyBorder="1" applyAlignment="1">
      <alignment horizontal="center"/>
    </xf>
    <xf numFmtId="0" fontId="0" fillId="0" borderId="49" xfId="0" applyBorder="1"/>
    <xf numFmtId="0" fontId="0" fillId="0" borderId="50" xfId="0" applyBorder="1"/>
    <xf numFmtId="0" fontId="9" fillId="0" borderId="51" xfId="0" applyFont="1" applyBorder="1" applyAlignment="1">
      <alignment horizontal="center"/>
    </xf>
    <xf numFmtId="0" fontId="0" fillId="0" borderId="54" xfId="0" applyBorder="1"/>
    <xf numFmtId="0" fontId="0" fillId="0" borderId="57" xfId="0" applyBorder="1"/>
    <xf numFmtId="0" fontId="9" fillId="0" borderId="55" xfId="0" applyFont="1" applyBorder="1" applyAlignment="1">
      <alignment horizontal="center"/>
    </xf>
    <xf numFmtId="169" fontId="137" fillId="0" borderId="54" xfId="0" applyNumberFormat="1" applyFont="1" applyBorder="1" applyAlignment="1">
      <alignment horizontal="center"/>
    </xf>
    <xf numFmtId="169" fontId="137" fillId="0" borderId="57" xfId="0" applyNumberFormat="1" applyFont="1" applyBorder="1" applyAlignment="1">
      <alignment horizontal="center"/>
    </xf>
    <xf numFmtId="169" fontId="137" fillId="0" borderId="55" xfId="0" applyNumberFormat="1" applyFont="1" applyBorder="1" applyAlignment="1">
      <alignment horizontal="center"/>
    </xf>
    <xf numFmtId="169" fontId="137" fillId="0" borderId="49" xfId="0" applyNumberFormat="1" applyFont="1" applyBorder="1"/>
    <xf numFmtId="169" fontId="137" fillId="0" borderId="50" xfId="0" applyNumberFormat="1" applyFont="1" applyBorder="1"/>
    <xf numFmtId="169" fontId="137" fillId="0" borderId="51" xfId="0" applyNumberFormat="1" applyFont="1" applyBorder="1"/>
    <xf numFmtId="169" fontId="137" fillId="0" borderId="34" xfId="0" applyNumberFormat="1" applyFont="1" applyBorder="1"/>
    <xf numFmtId="169" fontId="137" fillId="0" borderId="0" xfId="0" applyNumberFormat="1" applyFont="1" applyBorder="1"/>
    <xf numFmtId="169" fontId="137" fillId="0" borderId="29" xfId="0" applyNumberFormat="1" applyFont="1" applyBorder="1"/>
    <xf numFmtId="169" fontId="137" fillId="0" borderId="54" xfId="0" applyNumberFormat="1" applyFont="1" applyBorder="1"/>
    <xf numFmtId="169" fontId="137" fillId="0" borderId="57" xfId="0" applyNumberFormat="1" applyFont="1" applyBorder="1"/>
    <xf numFmtId="169" fontId="137" fillId="0" borderId="55" xfId="0" applyNumberFormat="1" applyFont="1" applyBorder="1"/>
    <xf numFmtId="169" fontId="137" fillId="29" borderId="49" xfId="0" applyNumberFormat="1" applyFont="1" applyFill="1" applyBorder="1"/>
    <xf numFmtId="169" fontId="137" fillId="29" borderId="50" xfId="0" applyNumberFormat="1" applyFont="1" applyFill="1" applyBorder="1"/>
    <xf numFmtId="169" fontId="137" fillId="29" borderId="51" xfId="0" applyNumberFormat="1" applyFont="1" applyFill="1" applyBorder="1"/>
    <xf numFmtId="169" fontId="137" fillId="29" borderId="34" xfId="0" applyNumberFormat="1" applyFont="1" applyFill="1" applyBorder="1"/>
    <xf numFmtId="169" fontId="137" fillId="29" borderId="0" xfId="0" applyNumberFormat="1" applyFont="1" applyFill="1" applyBorder="1"/>
    <xf numFmtId="169" fontId="137" fillId="29" borderId="29" xfId="0" applyNumberFormat="1" applyFont="1" applyFill="1" applyBorder="1"/>
    <xf numFmtId="169" fontId="137" fillId="29" borderId="54" xfId="0" applyNumberFormat="1" applyFont="1" applyFill="1" applyBorder="1"/>
    <xf numFmtId="169" fontId="137" fillId="29" borderId="57" xfId="0" applyNumberFormat="1" applyFont="1" applyFill="1" applyBorder="1"/>
    <xf numFmtId="169" fontId="137" fillId="29" borderId="55" xfId="0" applyNumberFormat="1" applyFont="1" applyFill="1" applyBorder="1"/>
    <xf numFmtId="0" fontId="141" fillId="0" borderId="52" xfId="680" applyFont="1" applyBorder="1" applyAlignment="1">
      <alignment horizontal="center"/>
    </xf>
    <xf numFmtId="0" fontId="141" fillId="0" borderId="53" xfId="680" applyFont="1" applyBorder="1" applyAlignment="1">
      <alignment horizontal="center"/>
    </xf>
    <xf numFmtId="0" fontId="142" fillId="62" borderId="53" xfId="680" applyFont="1" applyFill="1" applyBorder="1" applyAlignment="1">
      <alignment horizontal="center"/>
    </xf>
    <xf numFmtId="0" fontId="143" fillId="0" borderId="0" xfId="680" applyFont="1" applyBorder="1"/>
    <xf numFmtId="0" fontId="142" fillId="63" borderId="53" xfId="680" applyFont="1" applyFill="1" applyBorder="1" applyAlignment="1">
      <alignment horizontal="center"/>
    </xf>
    <xf numFmtId="0" fontId="143" fillId="0" borderId="0" xfId="680" applyFont="1"/>
    <xf numFmtId="0" fontId="141" fillId="0" borderId="59" xfId="680" applyFont="1" applyBorder="1" applyAlignment="1">
      <alignment horizontal="center"/>
    </xf>
    <xf numFmtId="0" fontId="141" fillId="0" borderId="60" xfId="680" applyFont="1" applyBorder="1" applyAlignment="1">
      <alignment horizontal="center"/>
    </xf>
    <xf numFmtId="0" fontId="141" fillId="0" borderId="58" xfId="680" applyFont="1" applyBorder="1" applyAlignment="1">
      <alignment horizontal="center"/>
    </xf>
    <xf numFmtId="0" fontId="143" fillId="0" borderId="13" xfId="680" applyFont="1" applyBorder="1" applyAlignment="1">
      <alignment horizontal="center"/>
    </xf>
    <xf numFmtId="0" fontId="141" fillId="0" borderId="13" xfId="680" applyFont="1" applyBorder="1" applyAlignment="1">
      <alignment horizontal="center"/>
    </xf>
    <xf numFmtId="0" fontId="141" fillId="0" borderId="59" xfId="680" applyFont="1" applyBorder="1"/>
    <xf numFmtId="0" fontId="143" fillId="0" borderId="60" xfId="680" applyFont="1" applyBorder="1"/>
    <xf numFmtId="0" fontId="143" fillId="0" borderId="60" xfId="680" applyFont="1" applyBorder="1" applyAlignment="1">
      <alignment horizontal="center"/>
    </xf>
    <xf numFmtId="0" fontId="143" fillId="0" borderId="60" xfId="680" applyFont="1" applyBorder="1" applyAlignment="1">
      <alignment horizontal="left"/>
    </xf>
    <xf numFmtId="0" fontId="143" fillId="0" borderId="58" xfId="680" applyFont="1" applyBorder="1" applyAlignment="1">
      <alignment horizontal="left"/>
    </xf>
    <xf numFmtId="0" fontId="141" fillId="0" borderId="13" xfId="680" applyFont="1" applyBorder="1"/>
    <xf numFmtId="0" fontId="143" fillId="0" borderId="13" xfId="680" applyFont="1" applyBorder="1"/>
    <xf numFmtId="0" fontId="143" fillId="0" borderId="59" xfId="680" applyFont="1" applyBorder="1" applyAlignment="1">
      <alignment horizontal="center"/>
    </xf>
    <xf numFmtId="0" fontId="143" fillId="0" borderId="52" xfId="680" applyFont="1" applyBorder="1" applyAlignment="1">
      <alignment horizontal="left"/>
    </xf>
    <xf numFmtId="0" fontId="143" fillId="0" borderId="13" xfId="680" applyFont="1" applyBorder="1" applyAlignment="1">
      <alignment horizontal="left"/>
    </xf>
    <xf numFmtId="0" fontId="143" fillId="0" borderId="13" xfId="680" applyFont="1" applyBorder="1" applyAlignment="1"/>
    <xf numFmtId="0" fontId="143" fillId="0" borderId="13" xfId="680" applyFont="1" applyFill="1" applyBorder="1" applyAlignment="1">
      <alignment horizontal="center"/>
    </xf>
    <xf numFmtId="0" fontId="143" fillId="0" borderId="13" xfId="680" applyFont="1" applyFill="1" applyBorder="1"/>
    <xf numFmtId="0" fontId="143" fillId="0" borderId="0" xfId="680" applyFont="1" applyFill="1" applyBorder="1"/>
    <xf numFmtId="0" fontId="143" fillId="0" borderId="56" xfId="680" applyFont="1" applyFill="1" applyBorder="1" applyAlignment="1">
      <alignment horizontal="center"/>
    </xf>
    <xf numFmtId="0" fontId="143" fillId="0" borderId="56" xfId="680" applyFont="1" applyFill="1" applyBorder="1"/>
    <xf numFmtId="0" fontId="141" fillId="0" borderId="52" xfId="680" applyFont="1" applyBorder="1"/>
    <xf numFmtId="0" fontId="143" fillId="0" borderId="52" xfId="680" applyFont="1" applyBorder="1"/>
    <xf numFmtId="0" fontId="143" fillId="0" borderId="58" xfId="680" applyFont="1" applyBorder="1" applyAlignment="1">
      <alignment horizontal="center"/>
    </xf>
    <xf numFmtId="0" fontId="143" fillId="0" borderId="58" xfId="680" applyFont="1" applyFill="1" applyBorder="1" applyAlignment="1">
      <alignment horizontal="left"/>
    </xf>
    <xf numFmtId="0" fontId="143" fillId="0" borderId="59" xfId="680" applyFont="1" applyBorder="1"/>
    <xf numFmtId="0" fontId="143" fillId="0" borderId="58" xfId="680" applyFont="1" applyBorder="1"/>
    <xf numFmtId="0" fontId="143" fillId="0" borderId="56" xfId="680" applyFont="1" applyBorder="1"/>
    <xf numFmtId="0" fontId="143" fillId="0" borderId="56" xfId="680" applyFont="1" applyBorder="1" applyAlignment="1">
      <alignment horizontal="center"/>
    </xf>
    <xf numFmtId="0" fontId="143" fillId="0" borderId="54" xfId="680" applyFont="1" applyBorder="1" applyAlignment="1">
      <alignment horizontal="center"/>
    </xf>
    <xf numFmtId="0" fontId="143" fillId="0" borderId="57" xfId="680" applyFont="1" applyBorder="1"/>
    <xf numFmtId="0" fontId="143" fillId="0" borderId="57" xfId="680" applyFont="1" applyBorder="1" applyAlignment="1">
      <alignment horizontal="center"/>
    </xf>
    <xf numFmtId="0" fontId="143" fillId="0" borderId="55" xfId="680" applyFont="1" applyBorder="1" applyAlignment="1">
      <alignment horizontal="center"/>
    </xf>
    <xf numFmtId="0" fontId="143" fillId="29" borderId="13" xfId="680" applyFont="1" applyFill="1" applyBorder="1" applyAlignment="1">
      <alignment horizontal="center"/>
    </xf>
    <xf numFmtId="0" fontId="143" fillId="29" borderId="13" xfId="680" applyFont="1" applyFill="1" applyBorder="1"/>
    <xf numFmtId="0" fontId="141" fillId="0" borderId="53" xfId="680" applyFont="1" applyBorder="1"/>
    <xf numFmtId="0" fontId="143" fillId="0" borderId="53" xfId="680" applyFont="1" applyBorder="1"/>
    <xf numFmtId="0" fontId="143" fillId="0" borderId="29" xfId="680" applyFont="1" applyBorder="1" applyAlignment="1">
      <alignment horizontal="center"/>
    </xf>
    <xf numFmtId="0" fontId="143" fillId="0" borderId="0" xfId="680" applyFont="1" applyAlignment="1">
      <alignment horizontal="center"/>
    </xf>
    <xf numFmtId="0" fontId="1" fillId="0" borderId="0" xfId="680"/>
    <xf numFmtId="0" fontId="1" fillId="0" borderId="0" xfId="680" applyFill="1" applyBorder="1"/>
    <xf numFmtId="165" fontId="35" fillId="0" borderId="12" xfId="67" applyNumberFormat="1" applyFont="1" applyFill="1" applyBorder="1" applyAlignment="1"/>
    <xf numFmtId="165" fontId="35" fillId="0" borderId="13" xfId="67" applyNumberFormat="1" applyFont="1" applyFill="1" applyBorder="1" applyAlignment="1"/>
    <xf numFmtId="165" fontId="35" fillId="0" borderId="11" xfId="67" applyNumberFormat="1" applyFont="1" applyFill="1" applyBorder="1" applyAlignment="1"/>
    <xf numFmtId="165" fontId="146" fillId="0" borderId="11" xfId="67" applyNumberFormat="1" applyFont="1" applyFill="1" applyBorder="1" applyAlignment="1"/>
    <xf numFmtId="10" fontId="35" fillId="0" borderId="11" xfId="67" applyNumberFormat="1" applyFont="1" applyFill="1" applyBorder="1" applyAlignment="1"/>
    <xf numFmtId="0" fontId="22" fillId="24" borderId="52" xfId="0" applyFont="1" applyFill="1" applyBorder="1" applyAlignment="1">
      <alignment horizontal="left"/>
    </xf>
    <xf numFmtId="0" fontId="23" fillId="25" borderId="52" xfId="0" applyFont="1" applyFill="1" applyBorder="1" applyAlignment="1">
      <alignment horizontal="center"/>
    </xf>
    <xf numFmtId="0" fontId="38" fillId="0" borderId="0" xfId="0" applyFont="1" applyFill="1" applyBorder="1"/>
    <xf numFmtId="172" fontId="35" fillId="0" borderId="0" xfId="0" applyNumberFormat="1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171" fontId="135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135" fillId="0" borderId="0" xfId="0" quotePrefix="1" applyFont="1" applyFill="1" applyBorder="1" applyAlignment="1">
      <alignment horizontal="center"/>
    </xf>
    <xf numFmtId="171" fontId="37" fillId="0" borderId="0" xfId="0" applyNumberFormat="1" applyFont="1" applyFill="1" applyBorder="1" applyAlignment="1">
      <alignment horizontal="center"/>
    </xf>
    <xf numFmtId="167" fontId="35" fillId="0" borderId="0" xfId="67" applyNumberFormat="1" applyFont="1" applyFill="1" applyBorder="1" applyAlignment="1">
      <alignment horizontal="center"/>
    </xf>
    <xf numFmtId="170" fontId="35" fillId="0" borderId="0" xfId="67" applyNumberFormat="1" applyFont="1" applyFill="1" applyBorder="1" applyAlignment="1">
      <alignment horizontal="center"/>
    </xf>
    <xf numFmtId="0" fontId="37" fillId="0" borderId="0" xfId="0" applyFont="1" applyFill="1" applyBorder="1"/>
    <xf numFmtId="0" fontId="135" fillId="0" borderId="0" xfId="0" applyFont="1" applyFill="1" applyBorder="1"/>
    <xf numFmtId="165" fontId="37" fillId="0" borderId="0" xfId="67" applyNumberFormat="1" applyFont="1" applyFill="1" applyBorder="1"/>
    <xf numFmtId="0" fontId="37" fillId="0" borderId="0" xfId="0" applyFont="1" applyAlignment="1">
      <alignment horizontal="center"/>
    </xf>
    <xf numFmtId="0" fontId="37" fillId="0" borderId="0" xfId="0" applyFont="1"/>
    <xf numFmtId="170" fontId="37" fillId="0" borderId="0" xfId="0" applyNumberFormat="1" applyFont="1" applyAlignment="1">
      <alignment horizontal="center"/>
    </xf>
    <xf numFmtId="165" fontId="37" fillId="0" borderId="0" xfId="67" applyNumberFormat="1" applyFont="1" applyAlignment="1">
      <alignment horizontal="center"/>
    </xf>
    <xf numFmtId="167" fontId="37" fillId="0" borderId="0" xfId="67" applyNumberFormat="1" applyFont="1" applyFill="1" applyBorder="1"/>
    <xf numFmtId="166" fontId="37" fillId="0" borderId="0" xfId="67" applyNumberFormat="1" applyFont="1" applyFill="1" applyBorder="1"/>
    <xf numFmtId="167" fontId="146" fillId="0" borderId="0" xfId="67" applyNumberFormat="1" applyFont="1" applyFill="1" applyBorder="1" applyAlignment="1">
      <alignment horizontal="center"/>
    </xf>
    <xf numFmtId="167" fontId="135" fillId="0" borderId="0" xfId="67" applyNumberFormat="1" applyFont="1" applyFill="1" applyBorder="1"/>
    <xf numFmtId="0" fontId="25" fillId="0" borderId="0" xfId="0" applyFont="1" applyFill="1" applyBorder="1" applyAlignment="1">
      <alignment horizontal="center"/>
    </xf>
    <xf numFmtId="167" fontId="35" fillId="0" borderId="0" xfId="0" applyNumberFormat="1" applyFont="1" applyFill="1" applyBorder="1"/>
    <xf numFmtId="0" fontId="22" fillId="0" borderId="59" xfId="0" applyFont="1" applyFill="1" applyBorder="1" applyAlignment="1">
      <alignment horizontal="center"/>
    </xf>
    <xf numFmtId="0" fontId="22" fillId="0" borderId="60" xfId="0" applyFont="1" applyFill="1" applyBorder="1" applyAlignment="1">
      <alignment horizontal="right"/>
    </xf>
    <xf numFmtId="0" fontId="22" fillId="0" borderId="58" xfId="0" applyFont="1" applyFill="1" applyBorder="1" applyAlignment="1">
      <alignment horizontal="right"/>
    </xf>
    <xf numFmtId="0" fontId="22" fillId="0" borderId="59" xfId="0" applyFont="1" applyFill="1" applyBorder="1" applyAlignment="1">
      <alignment horizontal="right"/>
    </xf>
    <xf numFmtId="0" fontId="22" fillId="0" borderId="60" xfId="0" applyFont="1" applyFill="1" applyBorder="1" applyAlignment="1">
      <alignment horizontal="center"/>
    </xf>
    <xf numFmtId="0" fontId="22" fillId="0" borderId="58" xfId="0" applyFont="1" applyFill="1" applyBorder="1" applyAlignment="1">
      <alignment horizontal="center"/>
    </xf>
    <xf numFmtId="167" fontId="35" fillId="0" borderId="49" xfId="67" applyNumberFormat="1" applyFont="1" applyFill="1" applyBorder="1" applyAlignment="1"/>
    <xf numFmtId="167" fontId="35" fillId="0" borderId="50" xfId="67" applyNumberFormat="1" applyFont="1" applyFill="1" applyBorder="1" applyAlignment="1"/>
    <xf numFmtId="167" fontId="35" fillId="0" borderId="34" xfId="67" applyNumberFormat="1" applyFont="1" applyFill="1" applyBorder="1" applyAlignment="1"/>
    <xf numFmtId="167" fontId="35" fillId="0" borderId="0" xfId="67" applyNumberFormat="1" applyFont="1" applyFill="1" applyBorder="1" applyAlignment="1"/>
    <xf numFmtId="167" fontId="35" fillId="0" borderId="54" xfId="67" applyNumberFormat="1" applyFont="1" applyFill="1" applyBorder="1" applyAlignment="1"/>
    <xf numFmtId="167" fontId="35" fillId="0" borderId="57" xfId="67" applyNumberFormat="1" applyFont="1" applyFill="1" applyBorder="1" applyAlignment="1"/>
    <xf numFmtId="0" fontId="9" fillId="30" borderId="52" xfId="0" applyFont="1" applyFill="1" applyBorder="1" applyAlignment="1">
      <alignment horizontal="center"/>
    </xf>
    <xf numFmtId="166" fontId="35" fillId="0" borderId="49" xfId="67" applyNumberFormat="1" applyFont="1" applyFill="1" applyBorder="1" applyAlignment="1"/>
    <xf numFmtId="166" fontId="35" fillId="0" borderId="50" xfId="67" applyNumberFormat="1" applyFont="1" applyFill="1" applyBorder="1" applyAlignment="1"/>
    <xf numFmtId="166" fontId="35" fillId="0" borderId="34" xfId="67" applyNumberFormat="1" applyFont="1" applyFill="1" applyBorder="1" applyAlignment="1"/>
    <xf numFmtId="166" fontId="35" fillId="0" borderId="0" xfId="67" applyNumberFormat="1" applyFont="1" applyFill="1" applyBorder="1" applyAlignment="1"/>
    <xf numFmtId="166" fontId="35" fillId="0" borderId="54" xfId="67" applyNumberFormat="1" applyFont="1" applyFill="1" applyBorder="1" applyAlignment="1"/>
    <xf numFmtId="166" fontId="35" fillId="0" borderId="57" xfId="67" applyNumberFormat="1" applyFont="1" applyFill="1" applyBorder="1" applyAlignment="1"/>
    <xf numFmtId="0" fontId="34" fillId="30" borderId="18" xfId="0" applyFont="1" applyFill="1" applyBorder="1" applyAlignment="1">
      <alignment horizontal="center"/>
    </xf>
    <xf numFmtId="167" fontId="147" fillId="0" borderId="50" xfId="67" applyNumberFormat="1" applyFont="1" applyFill="1" applyBorder="1" applyAlignment="1"/>
    <xf numFmtId="167" fontId="147" fillId="0" borderId="0" xfId="67" applyNumberFormat="1" applyFont="1" applyFill="1" applyBorder="1" applyAlignment="1"/>
    <xf numFmtId="167" fontId="147" fillId="0" borderId="57" xfId="67" applyNumberFormat="1" applyFont="1" applyFill="1" applyBorder="1" applyAlignment="1"/>
    <xf numFmtId="0" fontId="34" fillId="30" borderId="19" xfId="0" applyFont="1" applyFill="1" applyBorder="1" applyAlignment="1">
      <alignment horizontal="center"/>
    </xf>
    <xf numFmtId="167" fontId="147" fillId="0" borderId="51" xfId="67" applyNumberFormat="1" applyFont="1" applyFill="1" applyBorder="1" applyAlignment="1"/>
    <xf numFmtId="167" fontId="147" fillId="0" borderId="29" xfId="67" applyNumberFormat="1" applyFont="1" applyFill="1" applyBorder="1" applyAlignment="1"/>
    <xf numFmtId="167" fontId="147" fillId="0" borderId="55" xfId="67" applyNumberFormat="1" applyFont="1" applyFill="1" applyBorder="1" applyAlignment="1"/>
    <xf numFmtId="166" fontId="147" fillId="0" borderId="50" xfId="67" applyNumberFormat="1" applyFont="1" applyFill="1" applyBorder="1" applyAlignment="1"/>
    <xf numFmtId="166" fontId="147" fillId="0" borderId="0" xfId="67" applyNumberFormat="1" applyFont="1" applyFill="1" applyBorder="1" applyAlignment="1"/>
    <xf numFmtId="166" fontId="147" fillId="0" borderId="57" xfId="67" applyNumberFormat="1" applyFont="1" applyFill="1" applyBorder="1" applyAlignment="1"/>
    <xf numFmtId="166" fontId="147" fillId="0" borderId="51" xfId="67" applyNumberFormat="1" applyFont="1" applyFill="1" applyBorder="1" applyAlignment="1"/>
    <xf numFmtId="166" fontId="147" fillId="0" borderId="29" xfId="67" applyNumberFormat="1" applyFont="1" applyFill="1" applyBorder="1" applyAlignment="1"/>
    <xf numFmtId="166" fontId="147" fillId="0" borderId="55" xfId="67" applyNumberFormat="1" applyFont="1" applyFill="1" applyBorder="1" applyAlignment="1"/>
    <xf numFmtId="0" fontId="148" fillId="64" borderId="0" xfId="0" applyFont="1" applyFill="1" applyBorder="1" applyAlignment="1">
      <alignment horizontal="center"/>
    </xf>
    <xf numFmtId="0" fontId="149" fillId="64" borderId="0" xfId="0" applyFont="1" applyFill="1" applyBorder="1"/>
    <xf numFmtId="0" fontId="35" fillId="0" borderId="0" xfId="0" applyFont="1"/>
    <xf numFmtId="0" fontId="25" fillId="0" borderId="49" xfId="0" applyFont="1" applyBorder="1" applyAlignment="1">
      <alignment horizontal="center"/>
    </xf>
    <xf numFmtId="0" fontId="25" fillId="0" borderId="50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170" fontId="37" fillId="0" borderId="0" xfId="0" applyNumberFormat="1" applyFont="1"/>
    <xf numFmtId="4" fontId="37" fillId="0" borderId="0" xfId="0" applyNumberFormat="1" applyFont="1"/>
    <xf numFmtId="170" fontId="35" fillId="0" borderId="0" xfId="0" applyNumberFormat="1" applyFont="1"/>
    <xf numFmtId="0" fontId="25" fillId="0" borderId="59" xfId="0" applyFont="1" applyBorder="1" applyAlignment="1">
      <alignment horizontal="center"/>
    </xf>
    <xf numFmtId="0" fontId="25" fillId="0" borderId="60" xfId="0" applyFont="1" applyBorder="1" applyAlignment="1">
      <alignment horizontal="center"/>
    </xf>
    <xf numFmtId="0" fontId="25" fillId="0" borderId="58" xfId="0" applyFont="1" applyBorder="1" applyAlignment="1">
      <alignment horizontal="center"/>
    </xf>
    <xf numFmtId="0" fontId="35" fillId="0" borderId="0" xfId="0" applyFont="1" applyAlignment="1">
      <alignment horizontal="center"/>
    </xf>
    <xf numFmtId="9" fontId="35" fillId="0" borderId="0" xfId="0" applyNumberFormat="1" applyFont="1" applyAlignment="1">
      <alignment horizontal="center"/>
    </xf>
    <xf numFmtId="0" fontId="138" fillId="0" borderId="57" xfId="0" applyFont="1" applyBorder="1" applyAlignment="1">
      <alignment horizontal="center"/>
    </xf>
    <xf numFmtId="9" fontId="138" fillId="0" borderId="57" xfId="67" applyFont="1" applyBorder="1" applyAlignment="1">
      <alignment horizontal="center"/>
    </xf>
    <xf numFmtId="0" fontId="135" fillId="0" borderId="0" xfId="680" applyFont="1" applyAlignment="1">
      <alignment horizontal="center"/>
    </xf>
    <xf numFmtId="170" fontId="135" fillId="0" borderId="0" xfId="0" applyNumberFormat="1" applyFont="1"/>
    <xf numFmtId="0" fontId="135" fillId="0" borderId="0" xfId="680" applyFont="1" applyFill="1" applyBorder="1" applyAlignment="1">
      <alignment horizontal="center"/>
    </xf>
    <xf numFmtId="9" fontId="35" fillId="0" borderId="0" xfId="0" applyNumberFormat="1" applyFont="1" applyAlignment="1">
      <alignment horizontal="right"/>
    </xf>
    <xf numFmtId="0" fontId="24" fillId="26" borderId="20" xfId="0" applyFont="1" applyFill="1" applyBorder="1" applyAlignment="1">
      <alignment horizontal="center"/>
    </xf>
    <xf numFmtId="0" fontId="24" fillId="26" borderId="19" xfId="0" applyFont="1" applyFill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170" fontId="137" fillId="0" borderId="34" xfId="0" applyNumberFormat="1" applyFont="1" applyBorder="1" applyAlignment="1">
      <alignment horizontal="center"/>
    </xf>
    <xf numFmtId="170" fontId="137" fillId="0" borderId="0" xfId="0" applyNumberFormat="1" applyFont="1" applyBorder="1" applyAlignment="1">
      <alignment horizontal="center"/>
    </xf>
    <xf numFmtId="170" fontId="137" fillId="0" borderId="29" xfId="0" applyNumberFormat="1" applyFont="1" applyBorder="1" applyAlignment="1">
      <alignment horizontal="center"/>
    </xf>
    <xf numFmtId="2" fontId="137" fillId="0" borderId="34" xfId="0" applyNumberFormat="1" applyFont="1" applyBorder="1" applyAlignment="1">
      <alignment horizontal="center"/>
    </xf>
    <xf numFmtId="2" fontId="137" fillId="0" borderId="0" xfId="0" applyNumberFormat="1" applyFont="1" applyBorder="1" applyAlignment="1">
      <alignment horizontal="center"/>
    </xf>
    <xf numFmtId="2" fontId="137" fillId="0" borderId="29" xfId="0" applyNumberFormat="1" applyFont="1" applyBorder="1" applyAlignment="1">
      <alignment horizontal="center"/>
    </xf>
    <xf numFmtId="0" fontId="9" fillId="0" borderId="53" xfId="0" applyFont="1" applyFill="1" applyBorder="1" applyAlignment="1">
      <alignment horizontal="center"/>
    </xf>
    <xf numFmtId="0" fontId="9" fillId="0" borderId="56" xfId="0" applyFont="1" applyBorder="1"/>
    <xf numFmtId="167" fontId="137" fillId="0" borderId="53" xfId="67" applyNumberFormat="1" applyFont="1" applyBorder="1"/>
    <xf numFmtId="170" fontId="137" fillId="0" borderId="56" xfId="0" applyNumberFormat="1" applyFont="1" applyBorder="1"/>
    <xf numFmtId="172" fontId="147" fillId="29" borderId="10" xfId="0" applyNumberFormat="1" applyFont="1" applyFill="1" applyBorder="1" applyAlignment="1">
      <alignment horizontal="center"/>
    </xf>
    <xf numFmtId="0" fontId="38" fillId="0" borderId="49" xfId="0" applyFont="1" applyBorder="1"/>
    <xf numFmtId="0" fontId="38" fillId="0" borderId="50" xfId="0" applyFont="1" applyBorder="1"/>
    <xf numFmtId="0" fontId="38" fillId="0" borderId="54" xfId="0" applyFont="1" applyBorder="1"/>
    <xf numFmtId="9" fontId="137" fillId="0" borderId="57" xfId="67" applyFont="1" applyBorder="1" applyAlignment="1">
      <alignment horizontal="right"/>
    </xf>
    <xf numFmtId="0" fontId="38" fillId="0" borderId="57" xfId="0" applyFont="1" applyBorder="1"/>
    <xf numFmtId="0" fontId="35" fillId="0" borderId="51" xfId="0" applyFont="1" applyBorder="1" applyAlignment="1">
      <alignment horizontal="right"/>
    </xf>
    <xf numFmtId="0" fontId="35" fillId="0" borderId="55" xfId="0" applyFont="1" applyBorder="1" applyAlignment="1">
      <alignment horizontal="right"/>
    </xf>
    <xf numFmtId="0" fontId="25" fillId="0" borderId="54" xfId="0" applyFont="1" applyBorder="1" applyAlignment="1">
      <alignment horizontal="center"/>
    </xf>
    <xf numFmtId="0" fontId="25" fillId="0" borderId="55" xfId="0" applyFont="1" applyBorder="1" applyAlignment="1">
      <alignment horizontal="center"/>
    </xf>
  </cellXfs>
  <cellStyles count="681">
    <cellStyle name="%" xfId="73"/>
    <cellStyle name="??" xfId="74"/>
    <cellStyle name="?? [0.00]_APPEND" xfId="75"/>
    <cellStyle name="???? [0.00]_APPEND" xfId="76"/>
    <cellStyle name="????_APPEND" xfId="77"/>
    <cellStyle name="??_20080630_JPY_PRDC" xfId="78"/>
    <cellStyle name="_ATM" xfId="79"/>
    <cellStyle name="_AvidBatch" xfId="80"/>
    <cellStyle name="_Basis bidask provision" xfId="81"/>
    <cellStyle name="_Bonds Futures IPV" xfId="82"/>
    <cellStyle name="_Book1" xfId="83"/>
    <cellStyle name="_cap risk for Steve (2)" xfId="84"/>
    <cellStyle name="_CheckPv" xfId="85"/>
    <cellStyle name="_Control" xfId="86"/>
    <cellStyle name="_Control_EURGBP_IPV BasisCEV_7_F4" xfId="87"/>
    <cellStyle name="_Control_YC_MODEL" xfId="88"/>
    <cellStyle name="_Copy of Portfolios to Archeus 6-3-04 (2)" xfId="89"/>
    <cellStyle name="_EUR Berms PVDiff Daily" xfId="90"/>
    <cellStyle name="_EUR_EURCS_YC_02" xfId="91"/>
    <cellStyle name="_EUR_Imply_Sabr_F4" xfId="92"/>
    <cellStyle name="_EUR_Stn_Sub" xfId="93"/>
    <cellStyle name="_EURGBP_IPV BasisCEV_5.9" xfId="94"/>
    <cellStyle name="_EURGBP_IPV BasisCEV_7_F4" xfId="95"/>
    <cellStyle name="_EUROSWAPTION" xfId="96"/>
    <cellStyle name="_EURSWAPTION" xfId="97"/>
    <cellStyle name="_Exclude" xfId="98"/>
    <cellStyle name="_F3 YC Models" xfId="99"/>
    <cellStyle name="_FX_drilldown_POST_TOL_20100226_d" xfId="100"/>
    <cellStyle name="_GBP" xfId="101"/>
    <cellStyle name="_GBPSWAPTIONS" xfId="102"/>
    <cellStyle name="_ICAP FWD PREMIUM" xfId="103"/>
    <cellStyle name="_ICAP FWD PREMIUM_ATM" xfId="104"/>
    <cellStyle name="_ICAP FWD PREMIUM_Cap_Calc" xfId="105"/>
    <cellStyle name="_ICAP FWD PREMIUM_Control" xfId="106"/>
    <cellStyle name="_ICAP FWD PREMIUM_EUR_EURCS_YC_02" xfId="107"/>
    <cellStyle name="_ICAP FWD PREMIUM_EUR_Imply_Sabr_F3" xfId="108"/>
    <cellStyle name="_ICAP FWD PREMIUM_EURSWAPTION" xfId="109"/>
    <cellStyle name="_ICAP FWD PREMIUM_F3 YC Models" xfId="110"/>
    <cellStyle name="_ICAP FWD PREMIUM_GBP_Imply_Sabr_F3" xfId="111"/>
    <cellStyle name="_ICAP FWD PREMIUM_GBPSWAPTIONS" xfId="112"/>
    <cellStyle name="_ICAP FWD PREMIUM_JPY Swaption Submission_4_Final" xfId="113"/>
    <cellStyle name="_ICAP FWD PREMIUM_MktData" xfId="114"/>
    <cellStyle name="_ICAP FWD PREMIUM_Pricing_EUR_Swtn" xfId="115"/>
    <cellStyle name="_ICAP FWD PREMIUM_Rec Totem_LM" xfId="116"/>
    <cellStyle name="_ICAP FWD PREMIUM_Sabr" xfId="117"/>
    <cellStyle name="_ICAP FWD PREMIUM_SABR +sd" xfId="118"/>
    <cellStyle name="_ICAP FWD PREMIUM_SABR_1" xfId="119"/>
    <cellStyle name="_ICAP FWD PREMIUM_SABR_SW" xfId="120"/>
    <cellStyle name="_ICAP FWD PREMIUM_Sheet1" xfId="121"/>
    <cellStyle name="_ICAP FWD PREMIUM_Sheet3" xfId="122"/>
    <cellStyle name="_ICAP FWD PREMIUM_Skew Report for Flow_GBP_F3_Wings" xfId="123"/>
    <cellStyle name="_ICAP FWD PREMIUM_Static" xfId="124"/>
    <cellStyle name="_ICAP FWD PREMIUM_Static Data" xfId="125"/>
    <cellStyle name="_ICAP FWD PREMIUM_Totem Sabr" xfId="126"/>
    <cellStyle name="_ICAP FWD PREMIUM_Totem_Cap_LM" xfId="127"/>
    <cellStyle name="_ICAP FWD PREMIUM_Valuation" xfId="128"/>
    <cellStyle name="_IR Skew" xfId="129"/>
    <cellStyle name="_IRVolData" xfId="130"/>
    <cellStyle name="_JPY_Submission" xfId="131"/>
    <cellStyle name="_Kondor FX Forwards" xfId="132"/>
    <cellStyle name="_local markets 2010 02_2" xfId="133"/>
    <cellStyle name="_Local Markets MM &amp; OIS" xfId="134"/>
    <cellStyle name="_MktData" xfId="135"/>
    <cellStyle name="_Portfolio Default Distribution" xfId="136"/>
    <cellStyle name="_Pricing EUR_Swtn" xfId="137"/>
    <cellStyle name="_Pricing_EUR_Swtn" xfId="138"/>
    <cellStyle name="_Pricing_EUR_Wing" xfId="139"/>
    <cellStyle name="_Pricing_GBP_Swtn" xfId="140"/>
    <cellStyle name="_PricingSwaption" xfId="141"/>
    <cellStyle name="_PV Diffs" xfId="142"/>
    <cellStyle name="_Recalc_GBP_Sw" xfId="143"/>
    <cellStyle name="_Reuters" xfId="144"/>
    <cellStyle name="_Risk" xfId="145"/>
    <cellStyle name="_Risk Data" xfId="146"/>
    <cellStyle name="_Sabr" xfId="147"/>
    <cellStyle name="_SABR +sd" xfId="148"/>
    <cellStyle name="_SABR_1" xfId="149"/>
    <cellStyle name="_Sheet1" xfId="150"/>
    <cellStyle name="_Sheet2" xfId="151"/>
    <cellStyle name="_Sheet3" xfId="152"/>
    <cellStyle name="_Skew Report for Flow_GBP_F3_Wings" xfId="153"/>
    <cellStyle name="_Static Data" xfId="154"/>
    <cellStyle name="_Swaption Pricer_2.1" xfId="155"/>
    <cellStyle name="_Template_Coba_Feb10" xfId="156"/>
    <cellStyle name="_Today YC" xfId="157"/>
    <cellStyle name="_Totem ATM" xfId="158"/>
    <cellStyle name="_Totem Results" xfId="159"/>
    <cellStyle name="_Totem Sabr" xfId="160"/>
    <cellStyle name="_Valuation" xfId="161"/>
    <cellStyle name="_Volatility Cubes Caps" xfId="162"/>
    <cellStyle name="_Volatility Cubes Swpt" xfId="163"/>
    <cellStyle name="_Zero_Spreads" xfId="164"/>
    <cellStyle name="=C:\WINNT35\SYSTEM32\COMMAND.COM" xfId="165"/>
    <cellStyle name="20 % - Akzent1" xfId="166"/>
    <cellStyle name="20 % - Akzent2" xfId="167"/>
    <cellStyle name="20 % - Akzent3" xfId="168"/>
    <cellStyle name="20 % - Akzent4" xfId="169"/>
    <cellStyle name="20 % - Akzent5" xfId="170"/>
    <cellStyle name="20 % - Akzent6" xfId="171"/>
    <cellStyle name="20% - Accent1" xfId="1"/>
    <cellStyle name="20% - Accent1 2" xfId="2"/>
    <cellStyle name="20% - Accent1 3" xfId="3"/>
    <cellStyle name="20% - Accent2" xfId="4"/>
    <cellStyle name="20% - Accent2 2" xfId="5"/>
    <cellStyle name="20% - Accent2 3" xfId="6"/>
    <cellStyle name="20% - Accent3" xfId="7"/>
    <cellStyle name="20% - Accent3 2" xfId="8"/>
    <cellStyle name="20% - Accent3 3" xfId="9"/>
    <cellStyle name="20% - Accent4" xfId="10"/>
    <cellStyle name="20% - Accent4 2" xfId="11"/>
    <cellStyle name="20% - Accent4 3" xfId="12"/>
    <cellStyle name="20% - Accent5" xfId="13"/>
    <cellStyle name="20% - Accent5 2" xfId="14"/>
    <cellStyle name="20% - Accent5 3" xfId="15"/>
    <cellStyle name="20% - Accent6" xfId="16"/>
    <cellStyle name="20% - Accent6 2" xfId="17"/>
    <cellStyle name="20% - Accent6 3" xfId="18"/>
    <cellStyle name="40 % - Akzent1" xfId="172"/>
    <cellStyle name="40 % - Akzent2" xfId="173"/>
    <cellStyle name="40 % - Akzent3" xfId="174"/>
    <cellStyle name="40 % - Akzent4" xfId="175"/>
    <cellStyle name="40 % - Akzent5" xfId="176"/>
    <cellStyle name="40 % - Akzent6" xfId="177"/>
    <cellStyle name="40% - Accent1" xfId="19"/>
    <cellStyle name="40% - Accent1 2" xfId="20"/>
    <cellStyle name="40% - Accent1 3" xfId="21"/>
    <cellStyle name="40% - Accent2" xfId="22"/>
    <cellStyle name="40% - Accent2 2" xfId="23"/>
    <cellStyle name="40% - Accent2 3" xfId="24"/>
    <cellStyle name="40% - Accent3" xfId="25"/>
    <cellStyle name="40% - Accent3 2" xfId="26"/>
    <cellStyle name="40% - Accent3 3" xfId="27"/>
    <cellStyle name="40% - Accent4" xfId="28"/>
    <cellStyle name="40% - Accent4 2" xfId="29"/>
    <cellStyle name="40% - Accent4 3" xfId="30"/>
    <cellStyle name="40% - Accent5" xfId="31"/>
    <cellStyle name="40% - Accent5 2" xfId="32"/>
    <cellStyle name="40% - Accent5 3" xfId="33"/>
    <cellStyle name="40% - Accent6" xfId="34"/>
    <cellStyle name="40% - Accent6 2" xfId="35"/>
    <cellStyle name="40% - Accent6 3" xfId="36"/>
    <cellStyle name="60 % - Akzent1" xfId="178"/>
    <cellStyle name="60 % - Akzent2" xfId="179"/>
    <cellStyle name="60 % - Akzent3" xfId="180"/>
    <cellStyle name="60 % - Akzent4" xfId="181"/>
    <cellStyle name="60 % - Akzent5" xfId="182"/>
    <cellStyle name="60 % - Akzent6" xfId="183"/>
    <cellStyle name="60% - Accent1" xfId="37"/>
    <cellStyle name="60% - Accent2" xfId="38"/>
    <cellStyle name="60% - Accent3" xfId="39"/>
    <cellStyle name="60% - Accent4" xfId="40"/>
    <cellStyle name="60% - Accent5" xfId="41"/>
    <cellStyle name="60% - Accent6" xfId="42"/>
    <cellStyle name="9.86" xfId="184"/>
    <cellStyle name="Accent1" xfId="43"/>
    <cellStyle name="Accent2" xfId="44"/>
    <cellStyle name="Accent3" xfId="45"/>
    <cellStyle name="Accent4" xfId="46"/>
    <cellStyle name="Accent5" xfId="47"/>
    <cellStyle name="Accent6" xfId="48"/>
    <cellStyle name="adam" xfId="185"/>
    <cellStyle name="adam 2" xfId="186"/>
    <cellStyle name="adam 2 10" xfId="187"/>
    <cellStyle name="adam 2 11" xfId="188"/>
    <cellStyle name="adam 2 12" xfId="189"/>
    <cellStyle name="adam 2 13" xfId="190"/>
    <cellStyle name="adam 2 14" xfId="191"/>
    <cellStyle name="adam 2 15" xfId="192"/>
    <cellStyle name="adam 2 16" xfId="193"/>
    <cellStyle name="adam 2 17" xfId="194"/>
    <cellStyle name="adam 2 18" xfId="195"/>
    <cellStyle name="adam 2 19" xfId="196"/>
    <cellStyle name="adam 2 2" xfId="197"/>
    <cellStyle name="adam 2 20" xfId="198"/>
    <cellStyle name="adam 2 21" xfId="199"/>
    <cellStyle name="adam 2 22" xfId="200"/>
    <cellStyle name="adam 2 23" xfId="201"/>
    <cellStyle name="adam 2 24" xfId="202"/>
    <cellStyle name="adam 2 25" xfId="203"/>
    <cellStyle name="adam 2 26" xfId="204"/>
    <cellStyle name="adam 2 27" xfId="205"/>
    <cellStyle name="adam 2 28" xfId="206"/>
    <cellStyle name="adam 2 29" xfId="207"/>
    <cellStyle name="adam 2 3" xfId="208"/>
    <cellStyle name="adam 2 30" xfId="209"/>
    <cellStyle name="adam 2 31" xfId="210"/>
    <cellStyle name="adam 2 32" xfId="211"/>
    <cellStyle name="adam 2 33" xfId="212"/>
    <cellStyle name="adam 2 34" xfId="213"/>
    <cellStyle name="adam 2 35" xfId="214"/>
    <cellStyle name="adam 2 36" xfId="215"/>
    <cellStyle name="adam 2 37" xfId="216"/>
    <cellStyle name="adam 2 38" xfId="217"/>
    <cellStyle name="adam 2 39" xfId="218"/>
    <cellStyle name="adam 2 4" xfId="219"/>
    <cellStyle name="adam 2 40" xfId="220"/>
    <cellStyle name="adam 2 41" xfId="221"/>
    <cellStyle name="adam 2 42" xfId="222"/>
    <cellStyle name="adam 2 43" xfId="223"/>
    <cellStyle name="adam 2 44" xfId="224"/>
    <cellStyle name="adam 2 45" xfId="225"/>
    <cellStyle name="adam 2 46" xfId="226"/>
    <cellStyle name="adam 2 47" xfId="227"/>
    <cellStyle name="adam 2 48" xfId="228"/>
    <cellStyle name="adam 2 49" xfId="229"/>
    <cellStyle name="adam 2 5" xfId="230"/>
    <cellStyle name="adam 2 50" xfId="231"/>
    <cellStyle name="adam 2 51" xfId="232"/>
    <cellStyle name="adam 2 52" xfId="233"/>
    <cellStyle name="adam 2 53" xfId="234"/>
    <cellStyle name="adam 2 54" xfId="235"/>
    <cellStyle name="adam 2 55" xfId="236"/>
    <cellStyle name="adam 2 56" xfId="237"/>
    <cellStyle name="adam 2 57" xfId="238"/>
    <cellStyle name="adam 2 58" xfId="239"/>
    <cellStyle name="adam 2 59" xfId="240"/>
    <cellStyle name="adam 2 6" xfId="241"/>
    <cellStyle name="adam 2 60" xfId="242"/>
    <cellStyle name="adam 2 61" xfId="243"/>
    <cellStyle name="adam 2 62" xfId="244"/>
    <cellStyle name="adam 2 63" xfId="245"/>
    <cellStyle name="adam 2 64" xfId="246"/>
    <cellStyle name="adam 2 65" xfId="247"/>
    <cellStyle name="adam 2 66" xfId="248"/>
    <cellStyle name="adam 2 67" xfId="249"/>
    <cellStyle name="adam 2 68" xfId="250"/>
    <cellStyle name="adam 2 69" xfId="251"/>
    <cellStyle name="adam 2 7" xfId="252"/>
    <cellStyle name="adam 2 70" xfId="253"/>
    <cellStyle name="adam 2 71" xfId="254"/>
    <cellStyle name="adam 2 72" xfId="255"/>
    <cellStyle name="adam 2 73" xfId="256"/>
    <cellStyle name="adam 2 74" xfId="257"/>
    <cellStyle name="adam 2 75" xfId="258"/>
    <cellStyle name="adam 2 76" xfId="259"/>
    <cellStyle name="adam 2 77" xfId="260"/>
    <cellStyle name="adam 2 78" xfId="261"/>
    <cellStyle name="adam 2 79" xfId="262"/>
    <cellStyle name="adam 2 8" xfId="263"/>
    <cellStyle name="adam 2 80" xfId="264"/>
    <cellStyle name="adam 2 81" xfId="265"/>
    <cellStyle name="adam 2 82" xfId="266"/>
    <cellStyle name="adam 2 83" xfId="267"/>
    <cellStyle name="adam 2 84" xfId="268"/>
    <cellStyle name="adam 2 85" xfId="269"/>
    <cellStyle name="adam 2 86" xfId="270"/>
    <cellStyle name="adam 2 87" xfId="271"/>
    <cellStyle name="adam 2 88" xfId="272"/>
    <cellStyle name="adam 2 89" xfId="273"/>
    <cellStyle name="adam 2 9" xfId="274"/>
    <cellStyle name="adam 2 90" xfId="275"/>
    <cellStyle name="adam 2 91" xfId="276"/>
    <cellStyle name="adam 2 92" xfId="277"/>
    <cellStyle name="Akzent1" xfId="278"/>
    <cellStyle name="Akzent2" xfId="279"/>
    <cellStyle name="Akzent3" xfId="280"/>
    <cellStyle name="Akzent4" xfId="281"/>
    <cellStyle name="Akzent5" xfId="282"/>
    <cellStyle name="Akzent6" xfId="283"/>
    <cellStyle name="Amount" xfId="284"/>
    <cellStyle name="Ausgabe" xfId="285"/>
    <cellStyle name="Availability" xfId="286"/>
    <cellStyle name="back" xfId="287"/>
    <cellStyle name="background" xfId="288"/>
    <cellStyle name="Bad" xfId="49"/>
    <cellStyle name="banner" xfId="289"/>
    <cellStyle name="Bberg Code" xfId="290"/>
    <cellStyle name="Berechnung" xfId="291"/>
    <cellStyle name="BlankedZeros" xfId="292"/>
    <cellStyle name="Blue" xfId="293"/>
    <cellStyle name="blue axis cells" xfId="294"/>
    <cellStyle name="blue text cells" xfId="295"/>
    <cellStyle name="Body" xfId="296"/>
    <cellStyle name="calc" xfId="297"/>
    <cellStyle name="Calculation" xfId="50"/>
    <cellStyle name="Check Cell" xfId="51"/>
    <cellStyle name="CodeEingabe" xfId="298"/>
    <cellStyle name="Comma  - Style1" xfId="299"/>
    <cellStyle name="Comma 0" xfId="300"/>
    <cellStyle name="Comma 2" xfId="301"/>
    <cellStyle name="Comma0" xfId="302"/>
    <cellStyle name="Curren - Style2" xfId="303"/>
    <cellStyle name="Currency0" xfId="304"/>
    <cellStyle name="CurrencyOAlarmModule" xfId="305"/>
    <cellStyle name="data_3000" xfId="306"/>
    <cellStyle name="DataFeed" xfId="307"/>
    <cellStyle name="Date" xfId="308"/>
    <cellStyle name="Date Aligned" xfId="309"/>
    <cellStyle name="date title" xfId="310"/>
    <cellStyle name="Date_Black Matrix Pricer" xfId="311"/>
    <cellStyle name="DateFormat" xfId="312"/>
    <cellStyle name="datetime" xfId="313"/>
    <cellStyle name="documentation data" xfId="314"/>
    <cellStyle name="documentation titles" xfId="315"/>
    <cellStyle name="Dotted Line" xfId="316"/>
    <cellStyle name="Eingabe" xfId="317"/>
    <cellStyle name="Ergebnis" xfId="318"/>
    <cellStyle name="Erklärender Text" xfId="319"/>
    <cellStyle name="Euro" xfId="320"/>
    <cellStyle name="Explanatory Text" xfId="52"/>
    <cellStyle name="EY House" xfId="321"/>
    <cellStyle name="F2" xfId="322"/>
    <cellStyle name="F3" xfId="323"/>
    <cellStyle name="F4" xfId="324"/>
    <cellStyle name="F5" xfId="325"/>
    <cellStyle name="F6" xfId="326"/>
    <cellStyle name="F7" xfId="327"/>
    <cellStyle name="F8" xfId="328"/>
    <cellStyle name="Fixed" xfId="329"/>
    <cellStyle name="font1" xfId="330"/>
    <cellStyle name="Footnote" xfId="331"/>
    <cellStyle name="FVF" xfId="332"/>
    <cellStyle name="Good" xfId="53"/>
    <cellStyle name="gray text cells" xfId="333"/>
    <cellStyle name="GreybarHeader" xfId="334"/>
    <cellStyle name="Gut" xfId="335"/>
    <cellStyle name="header" xfId="336"/>
    <cellStyle name="Header1" xfId="337"/>
    <cellStyle name="Header2" xfId="338"/>
    <cellStyle name="Heading" xfId="339"/>
    <cellStyle name="Heading 1" xfId="54"/>
    <cellStyle name="Heading 2" xfId="55"/>
    <cellStyle name="Heading 3" xfId="56"/>
    <cellStyle name="Heading 4" xfId="57"/>
    <cellStyle name="Info" xfId="340"/>
    <cellStyle name="InfoDataColumn" xfId="341"/>
    <cellStyle name="InfoDataRow" xfId="342"/>
    <cellStyle name="InfoLabelColumn" xfId="343"/>
    <cellStyle name="InfoLabelRow" xfId="344"/>
    <cellStyle name="InfolDataColumn" xfId="345"/>
    <cellStyle name="InformationalData" xfId="346"/>
    <cellStyle name="InformationalLabel" xfId="347"/>
    <cellStyle name="InformationalLabelTop" xfId="348"/>
    <cellStyle name="Input" xfId="58"/>
    <cellStyle name="InputData" xfId="349"/>
    <cellStyle name="InputDataColumn" xfId="350"/>
    <cellStyle name="InputDataRow" xfId="351"/>
    <cellStyle name="InputLabel" xfId="352"/>
    <cellStyle name="InputLabelColumn" xfId="353"/>
    <cellStyle name="InputLabelRow" xfId="354"/>
    <cellStyle name="InputLabelTop" xfId="355"/>
    <cellStyle name="IntermediateData" xfId="356"/>
    <cellStyle name="IntermediateDataColumn" xfId="357"/>
    <cellStyle name="IntermediateDataRow" xfId="358"/>
    <cellStyle name="IntermediateLabel" xfId="359"/>
    <cellStyle name="IntermediateLabelColumn" xfId="360"/>
    <cellStyle name="IntermediateLabelRow" xfId="361"/>
    <cellStyle name="InvalidCell" xfId="362"/>
    <cellStyle name="ItalicHeader" xfId="363"/>
    <cellStyle name="KPMG Heading 1" xfId="364"/>
    <cellStyle name="KPMG Heading 2" xfId="365"/>
    <cellStyle name="KPMG Heading 3" xfId="366"/>
    <cellStyle name="KPMG Heading 4" xfId="367"/>
    <cellStyle name="KPMG Normal" xfId="368"/>
    <cellStyle name="KPMG Normal Text" xfId="369"/>
    <cellStyle name="label" xfId="370"/>
    <cellStyle name="Lien hypertexte visité" xfId="371"/>
    <cellStyle name="Linked Cell" xfId="59"/>
    <cellStyle name="Macro" xfId="372"/>
    <cellStyle name="main_input" xfId="373"/>
    <cellStyle name="McFormBody" xfId="374"/>
    <cellStyle name="Menu" xfId="375"/>
    <cellStyle name="Milliers [0]_book_indice" xfId="376"/>
    <cellStyle name="Milliers_book_indice" xfId="377"/>
    <cellStyle name="Monétaire [0]_book_indice" xfId="378"/>
    <cellStyle name="Monétaire_book_indice" xfId="379"/>
    <cellStyle name="Month" xfId="380"/>
    <cellStyle name="MultipleType" xfId="381"/>
    <cellStyle name="Neutral" xfId="60" builtinId="28" customBuiltin="1"/>
    <cellStyle name="NEW" xfId="382"/>
    <cellStyle name="NewSheet" xfId="383"/>
    <cellStyle name="no dec" xfId="384"/>
    <cellStyle name="Normal" xfId="0" builtinId="0"/>
    <cellStyle name="Normal - Style1" xfId="385"/>
    <cellStyle name="Normal 10" xfId="680"/>
    <cellStyle name="Normal 2" xfId="386"/>
    <cellStyle name="Normal 2 10" xfId="387"/>
    <cellStyle name="Normal 2 11" xfId="388"/>
    <cellStyle name="Normal 2 12" xfId="389"/>
    <cellStyle name="Normal 2 13" xfId="390"/>
    <cellStyle name="Normal 2 2" xfId="61"/>
    <cellStyle name="Normal 2 3" xfId="391"/>
    <cellStyle name="Normal 2 4" xfId="392"/>
    <cellStyle name="Normal 2 5" xfId="393"/>
    <cellStyle name="Normal 2 6" xfId="394"/>
    <cellStyle name="Normal 2 7" xfId="395"/>
    <cellStyle name="Normal 2 8" xfId="396"/>
    <cellStyle name="Normal 2 9" xfId="397"/>
    <cellStyle name="Normal 2_ATM" xfId="398"/>
    <cellStyle name="Normal 3" xfId="399"/>
    <cellStyle name="Normal 3 2" xfId="400"/>
    <cellStyle name="Normal 3_GBPSWAPTIONS" xfId="401"/>
    <cellStyle name="Normal 4" xfId="62"/>
    <cellStyle name="Normal 4 2" xfId="402"/>
    <cellStyle name="Normal 5" xfId="403"/>
    <cellStyle name="Normal 5 2" xfId="404"/>
    <cellStyle name="Normal 5 3" xfId="405"/>
    <cellStyle name="Normal 5 4" xfId="406"/>
    <cellStyle name="Normal 5 5" xfId="407"/>
    <cellStyle name="Normal 6" xfId="408"/>
    <cellStyle name="Normal 6 2" xfId="409"/>
    <cellStyle name="Normal 7" xfId="410"/>
    <cellStyle name="Normal 8" xfId="677"/>
    <cellStyle name="Normal 9" xfId="678"/>
    <cellStyle name="Note" xfId="63"/>
    <cellStyle name="Note 2" xfId="64"/>
    <cellStyle name="Note 3" xfId="65"/>
    <cellStyle name="Notiz" xfId="411"/>
    <cellStyle name="NumberFormat" xfId="412"/>
    <cellStyle name="ObjectDataColumn" xfId="413"/>
    <cellStyle name="ObjectDataRow" xfId="414"/>
    <cellStyle name="ObjectLabelColumn" xfId="415"/>
    <cellStyle name="ObjectLabelRow" xfId="416"/>
    <cellStyle name="orange text cell" xfId="417"/>
    <cellStyle name="Output" xfId="66"/>
    <cellStyle name="OutputData" xfId="418"/>
    <cellStyle name="OutputDataColumn" xfId="419"/>
    <cellStyle name="OutputDataRow" xfId="420"/>
    <cellStyle name="OutputLabel" xfId="421"/>
    <cellStyle name="OutputLabelColumn" xfId="422"/>
    <cellStyle name="OutputLabelRow" xfId="423"/>
    <cellStyle name="Page Number" xfId="424"/>
    <cellStyle name="Page1" xfId="425"/>
    <cellStyle name="PanelLabel" xfId="426"/>
    <cellStyle name="Percent" xfId="67" builtinId="5"/>
    <cellStyle name="Percent [0%]" xfId="427"/>
    <cellStyle name="Percent [0.00%]" xfId="428"/>
    <cellStyle name="Percent 2" xfId="68"/>
    <cellStyle name="Percent 3" xfId="69"/>
    <cellStyle name="Percent 4" xfId="679"/>
    <cellStyle name="PersonalDataColumn" xfId="429"/>
    <cellStyle name="PersonalLabelColumn" xfId="430"/>
    <cellStyle name="PersonalLabelRow" xfId="431"/>
    <cellStyle name="Pivot Table" xfId="432"/>
    <cellStyle name="PricingProducts" xfId="433"/>
    <cellStyle name="rate entry" xfId="434"/>
    <cellStyle name="realtime" xfId="435"/>
    <cellStyle name="RED_DEBITS" xfId="436"/>
    <cellStyle name="ReserveStyle" xfId="437"/>
    <cellStyle name="result" xfId="438"/>
    <cellStyle name="SAPBEXHLevel2" xfId="439"/>
    <cellStyle name="SAPOutput" xfId="440"/>
    <cellStyle name="Schlecht" xfId="441"/>
    <cellStyle name="Small Date" xfId="442"/>
    <cellStyle name="Small Heading" xfId="443"/>
    <cellStyle name="SMALL_NUMBERS" xfId="444"/>
    <cellStyle name="SMALLER_NUMBERS" xfId="445"/>
    <cellStyle name="spreads" xfId="446"/>
    <cellStyle name="Standard 2" xfId="447"/>
    <cellStyle name="Standard_21011_ME_20150331_IR_SWAPTIONS_RESULTS_GBP_30" xfId="448"/>
    <cellStyle name="Stil 1" xfId="449"/>
    <cellStyle name="Stil 10" xfId="450"/>
    <cellStyle name="Stil 11" xfId="451"/>
    <cellStyle name="Stil 12" xfId="452"/>
    <cellStyle name="Stil 13" xfId="453"/>
    <cellStyle name="Stil 14" xfId="454"/>
    <cellStyle name="Stil 15" xfId="455"/>
    <cellStyle name="Stil 16" xfId="456"/>
    <cellStyle name="Stil 17" xfId="457"/>
    <cellStyle name="Stil 18" xfId="458"/>
    <cellStyle name="Stil 2" xfId="459"/>
    <cellStyle name="Stil 3" xfId="460"/>
    <cellStyle name="Stil 4" xfId="461"/>
    <cellStyle name="Stil 5" xfId="462"/>
    <cellStyle name="Stil 6" xfId="463"/>
    <cellStyle name="Stil 7" xfId="464"/>
    <cellStyle name="Stil 8" xfId="465"/>
    <cellStyle name="Stil 9" xfId="466"/>
    <cellStyle name="Style 1" xfId="467"/>
    <cellStyle name="Style 10" xfId="468"/>
    <cellStyle name="Style 11" xfId="469"/>
    <cellStyle name="Style 12" xfId="470"/>
    <cellStyle name="Style 13" xfId="471"/>
    <cellStyle name="Style 14" xfId="472"/>
    <cellStyle name="Style 15" xfId="473"/>
    <cellStyle name="Style 16" xfId="474"/>
    <cellStyle name="Style 2" xfId="475"/>
    <cellStyle name="Style 3" xfId="476"/>
    <cellStyle name="Style 4" xfId="477"/>
    <cellStyle name="Style 5" xfId="478"/>
    <cellStyle name="Style 6" xfId="479"/>
    <cellStyle name="Style 7" xfId="480"/>
    <cellStyle name="Style 8" xfId="481"/>
    <cellStyle name="Style 9" xfId="482"/>
    <cellStyle name="Style1" xfId="483"/>
    <cellStyle name="subtitle" xfId="484"/>
    <cellStyle name="swpBody01" xfId="485"/>
    <cellStyle name="swpCaption" xfId="486"/>
    <cellStyle name="swpClear" xfId="487"/>
    <cellStyle name="swpHBBookTitle" xfId="488"/>
    <cellStyle name="swpHBChapterTitle" xfId="489"/>
    <cellStyle name="swpHead01" xfId="490"/>
    <cellStyle name="swpHead01R" xfId="491"/>
    <cellStyle name="swpHead02" xfId="492"/>
    <cellStyle name="swpHead03" xfId="493"/>
    <cellStyle name="swpHead03R" xfId="494"/>
    <cellStyle name="swpHeadBraL" xfId="495"/>
    <cellStyle name="swpHeadBraM" xfId="496"/>
    <cellStyle name="swpHeadBraR" xfId="497"/>
    <cellStyle name="swpTag" xfId="498"/>
    <cellStyle name="swpTotals" xfId="499"/>
    <cellStyle name="swpTotalsNo" xfId="500"/>
    <cellStyle name="swpTotalsTotal" xfId="501"/>
    <cellStyle name="Table Head" xfId="502"/>
    <cellStyle name="Table Head Aligned" xfId="503"/>
    <cellStyle name="Table Head Blue" xfId="504"/>
    <cellStyle name="Table Head Green" xfId="505"/>
    <cellStyle name="Table Heading" xfId="506"/>
    <cellStyle name="Table Title" xfId="507"/>
    <cellStyle name="Table Units" xfId="508"/>
    <cellStyle name="TableDataColumn" xfId="509"/>
    <cellStyle name="TableDataRow" xfId="510"/>
    <cellStyle name="TableLabelColumn" xfId="511"/>
    <cellStyle name="TableLabelRow" xfId="512"/>
    <cellStyle name="TEST" xfId="513"/>
    <cellStyle name="TIMES" xfId="514"/>
    <cellStyle name="Title" xfId="70"/>
    <cellStyle name="Title 2" xfId="515"/>
    <cellStyle name="Title_2062269" xfId="516"/>
    <cellStyle name="Total" xfId="71"/>
    <cellStyle name="TOTALS" xfId="517"/>
    <cellStyle name="Überschrift" xfId="518"/>
    <cellStyle name="Überschrift 1" xfId="519"/>
    <cellStyle name="Überschrift 2" xfId="520"/>
    <cellStyle name="Überschrift 3" xfId="521"/>
    <cellStyle name="Überschrift 4" xfId="522"/>
    <cellStyle name="Überschrift_CapletStripping (AS 2015-05-18)" xfId="523"/>
    <cellStyle name="Undefiniert" xfId="524"/>
    <cellStyle name="Update" xfId="525"/>
    <cellStyle name="UserInput" xfId="526"/>
    <cellStyle name="v" xfId="527"/>
    <cellStyle name="v 10" xfId="528"/>
    <cellStyle name="v 11" xfId="529"/>
    <cellStyle name="v 12" xfId="530"/>
    <cellStyle name="v 13" xfId="531"/>
    <cellStyle name="v 14" xfId="532"/>
    <cellStyle name="v 15" xfId="533"/>
    <cellStyle name="v 16" xfId="534"/>
    <cellStyle name="v 17" xfId="535"/>
    <cellStyle name="v 18" xfId="536"/>
    <cellStyle name="v 19" xfId="537"/>
    <cellStyle name="v 2" xfId="538"/>
    <cellStyle name="v 20" xfId="539"/>
    <cellStyle name="v 21" xfId="540"/>
    <cellStyle name="v 22" xfId="541"/>
    <cellStyle name="v 23" xfId="542"/>
    <cellStyle name="v 24" xfId="543"/>
    <cellStyle name="v 25" xfId="544"/>
    <cellStyle name="v 26" xfId="545"/>
    <cellStyle name="v 27" xfId="546"/>
    <cellStyle name="v 28" xfId="547"/>
    <cellStyle name="v 29" xfId="548"/>
    <cellStyle name="v 3" xfId="549"/>
    <cellStyle name="v 30" xfId="550"/>
    <cellStyle name="v 31" xfId="551"/>
    <cellStyle name="v 32" xfId="552"/>
    <cellStyle name="v 33" xfId="553"/>
    <cellStyle name="v 34" xfId="554"/>
    <cellStyle name="v 35" xfId="555"/>
    <cellStyle name="v 36" xfId="556"/>
    <cellStyle name="v 37" xfId="557"/>
    <cellStyle name="v 38" xfId="558"/>
    <cellStyle name="v 39" xfId="559"/>
    <cellStyle name="v 4" xfId="560"/>
    <cellStyle name="v 40" xfId="561"/>
    <cellStyle name="v 41" xfId="562"/>
    <cellStyle name="v 42" xfId="563"/>
    <cellStyle name="v 43" xfId="564"/>
    <cellStyle name="v 44" xfId="565"/>
    <cellStyle name="v 45" xfId="566"/>
    <cellStyle name="v 46" xfId="567"/>
    <cellStyle name="v 47" xfId="568"/>
    <cellStyle name="v 48" xfId="569"/>
    <cellStyle name="v 49" xfId="570"/>
    <cellStyle name="v 5" xfId="571"/>
    <cellStyle name="v 50" xfId="572"/>
    <cellStyle name="v 51" xfId="573"/>
    <cellStyle name="v 52" xfId="574"/>
    <cellStyle name="v 53" xfId="575"/>
    <cellStyle name="v 54" xfId="576"/>
    <cellStyle name="v 55" xfId="577"/>
    <cellStyle name="v 56" xfId="578"/>
    <cellStyle name="v 57" xfId="579"/>
    <cellStyle name="v 58" xfId="580"/>
    <cellStyle name="v 59" xfId="581"/>
    <cellStyle name="v 6" xfId="582"/>
    <cellStyle name="v 60" xfId="583"/>
    <cellStyle name="v 61" xfId="584"/>
    <cellStyle name="v 62" xfId="585"/>
    <cellStyle name="v 63" xfId="586"/>
    <cellStyle name="v 64" xfId="587"/>
    <cellStyle name="v 65" xfId="588"/>
    <cellStyle name="v 66" xfId="589"/>
    <cellStyle name="v 67" xfId="590"/>
    <cellStyle name="v 68" xfId="591"/>
    <cellStyle name="v 69" xfId="592"/>
    <cellStyle name="v 7" xfId="593"/>
    <cellStyle name="v 70" xfId="594"/>
    <cellStyle name="v 71" xfId="595"/>
    <cellStyle name="v 72" xfId="596"/>
    <cellStyle name="v 73" xfId="597"/>
    <cellStyle name="v 74" xfId="598"/>
    <cellStyle name="v 75" xfId="599"/>
    <cellStyle name="v 76" xfId="600"/>
    <cellStyle name="v 77" xfId="601"/>
    <cellStyle name="v 78" xfId="602"/>
    <cellStyle name="v 79" xfId="603"/>
    <cellStyle name="v 8" xfId="604"/>
    <cellStyle name="v 80" xfId="605"/>
    <cellStyle name="v 81" xfId="606"/>
    <cellStyle name="v 82" xfId="607"/>
    <cellStyle name="v 83" xfId="608"/>
    <cellStyle name="v 84" xfId="609"/>
    <cellStyle name="v 85" xfId="610"/>
    <cellStyle name="v 86" xfId="611"/>
    <cellStyle name="v 87" xfId="612"/>
    <cellStyle name="v 88" xfId="613"/>
    <cellStyle name="v 89" xfId="614"/>
    <cellStyle name="v 9" xfId="615"/>
    <cellStyle name="v 90" xfId="616"/>
    <cellStyle name="v 91" xfId="617"/>
    <cellStyle name="v 92" xfId="618"/>
    <cellStyle name="v 93" xfId="619"/>
    <cellStyle name="Verknüpfte Zelle" xfId="620"/>
    <cellStyle name="VerticalText" xfId="621"/>
    <cellStyle name="Warnender Text" xfId="622"/>
    <cellStyle name="Warning Text" xfId="72"/>
    <cellStyle name="WASP_PLStyle" xfId="623"/>
    <cellStyle name="working" xfId="624"/>
    <cellStyle name="WorksheetForm" xfId="625"/>
    <cellStyle name="Y2K Compliant Date Fmt" xfId="626"/>
    <cellStyle name="Year" xfId="627"/>
    <cellStyle name="Zelle überprüfen" xfId="628"/>
    <cellStyle name="パーセント 2" xfId="629"/>
    <cellStyle name="ハイパーリンク_Book1" xfId="630"/>
    <cellStyle name="桁区切り [0.00]_amendment" xfId="631"/>
    <cellStyle name="桁区切り_amendment" xfId="632"/>
    <cellStyle name="標準 10" xfId="633"/>
    <cellStyle name="標準 11" xfId="634"/>
    <cellStyle name="標準 12" xfId="635"/>
    <cellStyle name="標準 13" xfId="636"/>
    <cellStyle name="標準 14" xfId="637"/>
    <cellStyle name="標準 14 2" xfId="638"/>
    <cellStyle name="標準 15" xfId="639"/>
    <cellStyle name="標準 16" xfId="640"/>
    <cellStyle name="標準 17" xfId="641"/>
    <cellStyle name="標準 18" xfId="642"/>
    <cellStyle name="標準 18 10" xfId="643"/>
    <cellStyle name="標準 18 2" xfId="644"/>
    <cellStyle name="標準 18 3" xfId="645"/>
    <cellStyle name="標準 18 4" xfId="646"/>
    <cellStyle name="標準 18 5" xfId="647"/>
    <cellStyle name="標準 18 6" xfId="648"/>
    <cellStyle name="標準 18 7" xfId="649"/>
    <cellStyle name="標準 18 8" xfId="650"/>
    <cellStyle name="標準 18 9" xfId="651"/>
    <cellStyle name="標準 19" xfId="652"/>
    <cellStyle name="標準 19 2" xfId="653"/>
    <cellStyle name="標準 2" xfId="654"/>
    <cellStyle name="標準 2 10" xfId="655"/>
    <cellStyle name="標準 2 11" xfId="656"/>
    <cellStyle name="標準 2 12" xfId="657"/>
    <cellStyle name="標準 2 2" xfId="658"/>
    <cellStyle name="標準 2 3" xfId="659"/>
    <cellStyle name="標準 2 4" xfId="660"/>
    <cellStyle name="標準 2 5" xfId="661"/>
    <cellStyle name="標準 2 6" xfId="662"/>
    <cellStyle name="標準 2 7" xfId="663"/>
    <cellStyle name="標準 2 8" xfId="664"/>
    <cellStyle name="標準 2 9" xfId="665"/>
    <cellStyle name="標準 3" xfId="666"/>
    <cellStyle name="標準 4" xfId="667"/>
    <cellStyle name="標準 5" xfId="668"/>
    <cellStyle name="標準 6" xfId="669"/>
    <cellStyle name="標準 7" xfId="670"/>
    <cellStyle name="標準 8" xfId="671"/>
    <cellStyle name="標準 9" xfId="672"/>
    <cellStyle name="標準_10-03-11" xfId="673"/>
    <cellStyle name="表示済みのハイパーリンク_Book1" xfId="674"/>
    <cellStyle name="通貨 [0.00]_amendment" xfId="675"/>
    <cellStyle name="通貨_amendment" xfId="676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Calibration!$DE$2</c:f>
              <c:strCache>
                <c:ptCount val="1"/>
                <c:pt idx="0">
                  <c:v>Hull White Short Rate Volatility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</c:spPr>
          </c:marker>
          <c:xVal>
            <c:numRef>
              <c:f>Calibration!$DD$3:$DD$23</c:f>
              <c:numCache>
                <c:formatCode>#,#00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12</c:v>
                </c:pt>
              </c:numCache>
            </c:numRef>
          </c:xVal>
          <c:yVal>
            <c:numRef>
              <c:f>Calibration!$DE$3:$DE$23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8.9974062731137758E-3</c:v>
                </c:pt>
                <c:pt idx="20">
                  <c:v>8.9974062731137758E-3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46880"/>
        <c:axId val="233549184"/>
      </c:scatterChart>
      <c:valAx>
        <c:axId val="233546880"/>
        <c:scaling>
          <c:orientation val="minMax"/>
          <c:max val="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in years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549184"/>
        <c:crosses val="autoZero"/>
        <c:crossBetween val="midCat"/>
      </c:valAx>
      <c:valAx>
        <c:axId val="233549184"/>
        <c:scaling>
          <c:orientation val="minMax"/>
          <c:min val="0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short rate volatility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546880"/>
        <c:crosses val="autoZero"/>
        <c:crossBetween val="midCat"/>
        <c:majorUnit val="2.0000000000000005E-3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 panose="020B0604020202020204" pitchFamily="34" charset="0"/>
          <a:ea typeface="Calibri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rotY val="3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134100521842148"/>
          <c:y val="3.7796452035481966E-2"/>
          <c:w val="0.86329912738116399"/>
          <c:h val="0.8886152157567008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Calibration!$DG$28</c:f>
              <c:strCache>
                <c:ptCount val="1"/>
                <c:pt idx="0">
                  <c:v>1Y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Calibration!$DH$28:$DQ$28</c:f>
              <c:numCache>
                <c:formatCode>#,#00</c:formatCode>
                <c:ptCount val="10"/>
                <c:pt idx="0">
                  <c:v>-49.995073866775677</c:v>
                </c:pt>
                <c:pt idx="1">
                  <c:v>-45.141835182400307</c:v>
                </c:pt>
                <c:pt idx="2">
                  <c:v>0</c:v>
                </c:pt>
                <c:pt idx="3">
                  <c:v>-31.573433375660617</c:v>
                </c:pt>
                <c:pt idx="4">
                  <c:v>-25.142017209930358</c:v>
                </c:pt>
                <c:pt idx="5">
                  <c:v>-18.910252043517232</c:v>
                </c:pt>
                <c:pt idx="6">
                  <c:v>0</c:v>
                </c:pt>
                <c:pt idx="7">
                  <c:v>-8.2052614710273559</c:v>
                </c:pt>
                <c:pt idx="8">
                  <c:v>-4.0508466833399748</c:v>
                </c:pt>
                <c:pt idx="9">
                  <c:v>6.7654215563095477E-13</c:v>
                </c:pt>
              </c:numCache>
            </c:numRef>
          </c:val>
        </c:ser>
        <c:ser>
          <c:idx val="1"/>
          <c:order val="1"/>
          <c:tx>
            <c:strRef>
              <c:f>Calibration!$DG$29</c:f>
              <c:strCache>
                <c:ptCount val="1"/>
                <c:pt idx="0">
                  <c:v>2Y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Calibration!$DH$29:$DQ$29</c:f>
              <c:numCache>
                <c:formatCode>#,#00</c:formatCode>
                <c:ptCount val="10"/>
                <c:pt idx="0">
                  <c:v>-39.255910041213092</c:v>
                </c:pt>
                <c:pt idx="1">
                  <c:v>0</c:v>
                </c:pt>
                <c:pt idx="2">
                  <c:v>-27.354496892449433</c:v>
                </c:pt>
                <c:pt idx="3">
                  <c:v>-22.542572185245405</c:v>
                </c:pt>
                <c:pt idx="4">
                  <c:v>-17.370610062192455</c:v>
                </c:pt>
                <c:pt idx="5">
                  <c:v>-13.098674980186455</c:v>
                </c:pt>
                <c:pt idx="6">
                  <c:v>0</c:v>
                </c:pt>
                <c:pt idx="7">
                  <c:v>-5.6108751928601004</c:v>
                </c:pt>
                <c:pt idx="8">
                  <c:v>-2.8538007242599663</c:v>
                </c:pt>
                <c:pt idx="9">
                  <c:v>8.8722432178833799E-11</c:v>
                </c:pt>
              </c:numCache>
            </c:numRef>
          </c:val>
        </c:ser>
        <c:ser>
          <c:idx val="2"/>
          <c:order val="2"/>
          <c:tx>
            <c:strRef>
              <c:f>Calibration!$DG$30</c:f>
              <c:strCache>
                <c:ptCount val="1"/>
                <c:pt idx="0">
                  <c:v>3Y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Calibration!$DH$30:$DQ$30</c:f>
              <c:numCache>
                <c:formatCode>#,#00</c:formatCode>
                <c:ptCount val="10"/>
                <c:pt idx="0">
                  <c:v>-27.19936896908937</c:v>
                </c:pt>
                <c:pt idx="1">
                  <c:v>-23.138247064030011</c:v>
                </c:pt>
                <c:pt idx="2">
                  <c:v>-18.859304259550733</c:v>
                </c:pt>
                <c:pt idx="3">
                  <c:v>0</c:v>
                </c:pt>
                <c:pt idx="4">
                  <c:v>0</c:v>
                </c:pt>
                <c:pt idx="5">
                  <c:v>-9.0095965902925279</c:v>
                </c:pt>
                <c:pt idx="6">
                  <c:v>-6.6802868327790579</c:v>
                </c:pt>
                <c:pt idx="7">
                  <c:v>-4.4411508217213553</c:v>
                </c:pt>
                <c:pt idx="8">
                  <c:v>-2.237856799253684</c:v>
                </c:pt>
                <c:pt idx="9">
                  <c:v>0</c:v>
                </c:pt>
              </c:numCache>
            </c:numRef>
          </c:val>
        </c:ser>
        <c:ser>
          <c:idx val="3"/>
          <c:order val="3"/>
          <c:tx>
            <c:strRef>
              <c:f>Calibration!$DG$31</c:f>
              <c:strCache>
                <c:ptCount val="1"/>
                <c:pt idx="0">
                  <c:v>4Y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Calibration!$DH$31:$DQ$31</c:f>
              <c:numCache>
                <c:formatCode>#,#00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-11.029492912286374</c:v>
                </c:pt>
                <c:pt idx="4">
                  <c:v>0</c:v>
                </c:pt>
                <c:pt idx="5">
                  <c:v>-6.3767099421179783</c:v>
                </c:pt>
                <c:pt idx="6">
                  <c:v>-4.4153436975070353</c:v>
                </c:pt>
                <c:pt idx="7">
                  <c:v>-2.715904802433073</c:v>
                </c:pt>
                <c:pt idx="8">
                  <c:v>0</c:v>
                </c:pt>
                <c:pt idx="9">
                  <c:v>2.7564756033271465E-11</c:v>
                </c:pt>
              </c:numCache>
            </c:numRef>
          </c:val>
        </c:ser>
        <c:ser>
          <c:idx val="4"/>
          <c:order val="4"/>
          <c:tx>
            <c:strRef>
              <c:f>Calibration!$DG$32</c:f>
              <c:strCache>
                <c:ptCount val="1"/>
                <c:pt idx="0">
                  <c:v>5Y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Calibration!$DH$32:$DQ$32</c:f>
              <c:numCache>
                <c:formatCode>#,#00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-5.2664410930542553</c:v>
                </c:pt>
                <c:pt idx="5">
                  <c:v>-4.022640935360724</c:v>
                </c:pt>
                <c:pt idx="6">
                  <c:v>0</c:v>
                </c:pt>
                <c:pt idx="7">
                  <c:v>-1.9114798502780674</c:v>
                </c:pt>
                <c:pt idx="8">
                  <c:v>0</c:v>
                </c:pt>
                <c:pt idx="9">
                  <c:v>2.6124935548210715E-11</c:v>
                </c:pt>
              </c:numCache>
            </c:numRef>
          </c:val>
        </c:ser>
        <c:ser>
          <c:idx val="5"/>
          <c:order val="5"/>
          <c:tx>
            <c:strRef>
              <c:f>Calibration!$DG$33</c:f>
              <c:strCache>
                <c:ptCount val="1"/>
                <c:pt idx="0">
                  <c:v>6Y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Calibration!$DH$33:$DQ$33</c:f>
              <c:numCache>
                <c:formatCode>#,#00</c:formatCode>
                <c:ptCount val="10"/>
                <c:pt idx="0">
                  <c:v>-10.501986973220998</c:v>
                </c:pt>
                <c:pt idx="1">
                  <c:v>-8.2394130756053592</c:v>
                </c:pt>
                <c:pt idx="2">
                  <c:v>0</c:v>
                </c:pt>
                <c:pt idx="3">
                  <c:v>-5.302619341676432</c:v>
                </c:pt>
                <c:pt idx="4">
                  <c:v>0</c:v>
                </c:pt>
                <c:pt idx="5">
                  <c:v>-2.9445247266492345</c:v>
                </c:pt>
                <c:pt idx="6">
                  <c:v>-2.0593896671203606</c:v>
                </c:pt>
                <c:pt idx="7">
                  <c:v>0</c:v>
                </c:pt>
                <c:pt idx="8">
                  <c:v>-0.71783614771192894</c:v>
                </c:pt>
                <c:pt idx="9">
                  <c:v>3.6116942769837124E-11</c:v>
                </c:pt>
              </c:numCache>
            </c:numRef>
          </c:val>
        </c:ser>
        <c:ser>
          <c:idx val="6"/>
          <c:order val="6"/>
          <c:tx>
            <c:strRef>
              <c:f>Calibration!$DG$34</c:f>
              <c:strCache>
                <c:ptCount val="1"/>
                <c:pt idx="0">
                  <c:v>7Y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Calibration!$DH$34:$DQ$34</c:f>
              <c:numCache>
                <c:formatCode>#,#00</c:formatCode>
                <c:ptCount val="10"/>
                <c:pt idx="0">
                  <c:v>0</c:v>
                </c:pt>
                <c:pt idx="1">
                  <c:v>-6.157771304616082</c:v>
                </c:pt>
                <c:pt idx="2">
                  <c:v>-4.7465375620679708</c:v>
                </c:pt>
                <c:pt idx="3">
                  <c:v>0</c:v>
                </c:pt>
                <c:pt idx="4">
                  <c:v>-2.5668315460222053</c:v>
                </c:pt>
                <c:pt idx="5">
                  <c:v>0</c:v>
                </c:pt>
                <c:pt idx="6">
                  <c:v>-1.2781772009897232</c:v>
                </c:pt>
                <c:pt idx="7">
                  <c:v>-0.76378097698566461</c:v>
                </c:pt>
                <c:pt idx="8">
                  <c:v>-0.34282863142521058</c:v>
                </c:pt>
                <c:pt idx="9">
                  <c:v>3.7470027081099033E-12</c:v>
                </c:pt>
              </c:numCache>
            </c:numRef>
          </c:val>
        </c:ser>
        <c:ser>
          <c:idx val="7"/>
          <c:order val="7"/>
          <c:tx>
            <c:strRef>
              <c:f>Calibration!$DG$35</c:f>
              <c:strCache>
                <c:ptCount val="1"/>
                <c:pt idx="0">
                  <c:v>8Y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Calibration!$DH$35:$DQ$35</c:f>
              <c:numCache>
                <c:formatCode>#,#00</c:formatCode>
                <c:ptCount val="10"/>
                <c:pt idx="0">
                  <c:v>0</c:v>
                </c:pt>
                <c:pt idx="1">
                  <c:v>-4.877634429400687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-0.49338431764208923</c:v>
                </c:pt>
                <c:pt idx="8">
                  <c:v>0</c:v>
                </c:pt>
                <c:pt idx="9">
                  <c:v>8.6279941524658454E-10</c:v>
                </c:pt>
              </c:numCache>
            </c:numRef>
          </c:val>
        </c:ser>
        <c:ser>
          <c:idx val="8"/>
          <c:order val="8"/>
          <c:tx>
            <c:strRef>
              <c:f>Calibration!$DG$36</c:f>
              <c:strCache>
                <c:ptCount val="1"/>
                <c:pt idx="0">
                  <c:v>9Y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Calibration!$DH$36:$DQ$36</c:f>
              <c:numCache>
                <c:formatCode>#,#00</c:formatCode>
                <c:ptCount val="10"/>
                <c:pt idx="0">
                  <c:v>-5.0163699427169073</c:v>
                </c:pt>
                <c:pt idx="1">
                  <c:v>-3.1144739695912818</c:v>
                </c:pt>
                <c:pt idx="2">
                  <c:v>0</c:v>
                </c:pt>
                <c:pt idx="3">
                  <c:v>0</c:v>
                </c:pt>
                <c:pt idx="4">
                  <c:v>-1.0535977374658347</c:v>
                </c:pt>
                <c:pt idx="5">
                  <c:v>0</c:v>
                </c:pt>
                <c:pt idx="6">
                  <c:v>0</c:v>
                </c:pt>
                <c:pt idx="7">
                  <c:v>-0.20894491290793238</c:v>
                </c:pt>
                <c:pt idx="8">
                  <c:v>-0.10329372239331266</c:v>
                </c:pt>
                <c:pt idx="9">
                  <c:v>2.6889948601116487E-10</c:v>
                </c:pt>
              </c:numCache>
            </c:numRef>
          </c:val>
        </c:ser>
        <c:ser>
          <c:idx val="9"/>
          <c:order val="9"/>
          <c:tx>
            <c:strRef>
              <c:f>Calibration!$DG$37</c:f>
              <c:strCache>
                <c:ptCount val="1"/>
                <c:pt idx="0">
                  <c:v>10Y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Calibration!$DH$37:$DQ$37</c:f>
              <c:numCache>
                <c:formatCode>#,#00</c:formatCode>
                <c:ptCount val="10"/>
                <c:pt idx="0">
                  <c:v>-3.3618930674007319</c:v>
                </c:pt>
                <c:pt idx="1">
                  <c:v>0</c:v>
                </c:pt>
                <c:pt idx="2">
                  <c:v>-0.69961481555363625</c:v>
                </c:pt>
                <c:pt idx="3">
                  <c:v>-0.34612313242103965</c:v>
                </c:pt>
                <c:pt idx="4">
                  <c:v>-0.30855487559310402</c:v>
                </c:pt>
                <c:pt idx="5">
                  <c:v>0</c:v>
                </c:pt>
                <c:pt idx="6">
                  <c:v>0.14529808211417167</c:v>
                </c:pt>
                <c:pt idx="7">
                  <c:v>7.2007727368542801E-2</c:v>
                </c:pt>
                <c:pt idx="8">
                  <c:v>-58.067051035610127</c:v>
                </c:pt>
                <c:pt idx="9">
                  <c:v>3.0551949858903527E-10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4342272"/>
        <c:axId val="234348544"/>
        <c:axId val="234344896"/>
      </c:bar3DChart>
      <c:catAx>
        <c:axId val="234342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SwapTerm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4348544"/>
        <c:crosses val="autoZero"/>
        <c:auto val="1"/>
        <c:lblAlgn val="ctr"/>
        <c:lblOffset val="100"/>
        <c:noMultiLvlLbl val="0"/>
      </c:catAx>
      <c:valAx>
        <c:axId val="234348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BP vol variance [Mkt - Mdl]</a:t>
                </a:r>
              </a:p>
            </c:rich>
          </c:tx>
          <c:layout/>
          <c:overlay val="0"/>
        </c:title>
        <c:numFmt formatCode="#,#00" sourceLinked="1"/>
        <c:majorTickMark val="out"/>
        <c:minorTickMark val="none"/>
        <c:tickLblPos val="nextTo"/>
        <c:crossAx val="234342272"/>
        <c:crosses val="autoZero"/>
        <c:crossBetween val="between"/>
      </c:valAx>
      <c:serAx>
        <c:axId val="234344896"/>
        <c:scaling>
          <c:orientation val="maxMin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Exercise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4348544"/>
        <c:crosses val="autoZero"/>
      </c:serAx>
      <c:spPr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Calibration!$DV$30</c:f>
              <c:strCache>
                <c:ptCount val="1"/>
                <c:pt idx="0">
                  <c:v>Market Nvol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xVal>
            <c:numRef>
              <c:f>Calibration!$DT$31:$DT$41</c:f>
              <c:numCache>
                <c:formatCode>0%</c:formatCode>
                <c:ptCount val="11"/>
                <c:pt idx="0" formatCode="0.00%">
                  <c:v>1E-4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Calibration!$DV$31:$DV$41</c:f>
              <c:numCache>
                <c:formatCode>0,000%</c:formatCode>
                <c:ptCount val="11"/>
                <c:pt idx="0">
                  <c:v>4.45E-3</c:v>
                </c:pt>
                <c:pt idx="1">
                  <c:v>4.45E-3</c:v>
                </c:pt>
                <c:pt idx="2">
                  <c:v>4.45E-3</c:v>
                </c:pt>
                <c:pt idx="3">
                  <c:v>4.45E-3</c:v>
                </c:pt>
                <c:pt idx="4">
                  <c:v>4.45E-3</c:v>
                </c:pt>
                <c:pt idx="5">
                  <c:v>4.45E-3</c:v>
                </c:pt>
                <c:pt idx="6">
                  <c:v>4.45E-3</c:v>
                </c:pt>
                <c:pt idx="7">
                  <c:v>4.45E-3</c:v>
                </c:pt>
                <c:pt idx="8">
                  <c:v>4.45E-3</c:v>
                </c:pt>
                <c:pt idx="9">
                  <c:v>4.45E-3</c:v>
                </c:pt>
                <c:pt idx="10">
                  <c:v>4.45E-3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Calibration!$DW$30</c:f>
              <c:strCache>
                <c:ptCount val="1"/>
                <c:pt idx="0">
                  <c:v>Implied NVol</c:v>
                </c:pt>
              </c:strCache>
            </c:strRef>
          </c:tx>
          <c:marker>
            <c:symbol val="none"/>
          </c:marker>
          <c:xVal>
            <c:numRef>
              <c:f>Calibration!$DT$31:$DT$41</c:f>
              <c:numCache>
                <c:formatCode>0%</c:formatCode>
                <c:ptCount val="11"/>
                <c:pt idx="0" formatCode="0.00%">
                  <c:v>1E-4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Calibration!$DW$31:$DW$41</c:f>
              <c:numCache>
                <c:formatCode>0.00%</c:formatCode>
                <c:ptCount val="11"/>
                <c:pt idx="0">
                  <c:v>6.6947480327595593E-3</c:v>
                </c:pt>
                <c:pt idx="1">
                  <c:v>6.9244734917392123E-3</c:v>
                </c:pt>
                <c:pt idx="2">
                  <c:v>7.1599456062766799E-3</c:v>
                </c:pt>
                <c:pt idx="3">
                  <c:v>7.3986812224092289E-3</c:v>
                </c:pt>
                <c:pt idx="4">
                  <c:v>7.6404924806931264E-3</c:v>
                </c:pt>
                <c:pt idx="5">
                  <c:v>7.885184896024227E-3</c:v>
                </c:pt>
                <c:pt idx="6">
                  <c:v>8.1325581409048709E-3</c:v>
                </c:pt>
                <c:pt idx="7">
                  <c:v>8.3824068488996626E-3</c:v>
                </c:pt>
                <c:pt idx="8">
                  <c:v>8.6345214397108398E-3</c:v>
                </c:pt>
                <c:pt idx="9">
                  <c:v>8.888688956478737E-3</c:v>
                </c:pt>
                <c:pt idx="10">
                  <c:v>9.1446939082015181E-3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55552"/>
        <c:axId val="234061824"/>
      </c:scatterChart>
      <c:valAx>
        <c:axId val="234055552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reversion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34061824"/>
        <c:crosses val="autoZero"/>
        <c:crossBetween val="midCat"/>
      </c:valAx>
      <c:valAx>
        <c:axId val="234061824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normal volatility</a:t>
                </a: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234055552"/>
        <c:crosses val="autoZero"/>
        <c:crossBetween val="midCat"/>
        <c:majorUnit val="2.0000000000000005E-3"/>
      </c:valAx>
    </c:plotArea>
    <c:legend>
      <c:legendPos val="t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Calibration!$DU$45</c:f>
              <c:strCache>
                <c:ptCount val="1"/>
                <c:pt idx="0">
                  <c:v>mean reversion 1%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Calibration!$DT$46:$DT$66</c:f>
              <c:numCache>
                <c:formatCode>#,#00</c:formatCode>
                <c:ptCount val="21"/>
                <c:pt idx="0">
                  <c:v>0</c:v>
                </c:pt>
                <c:pt idx="1">
                  <c:v>1.0054794520547945</c:v>
                </c:pt>
                <c:pt idx="2">
                  <c:v>1.0054794520547945</c:v>
                </c:pt>
                <c:pt idx="3">
                  <c:v>2.0027397260273974</c:v>
                </c:pt>
                <c:pt idx="4">
                  <c:v>2.0027397260273974</c:v>
                </c:pt>
                <c:pt idx="5">
                  <c:v>3.0027397260273974</c:v>
                </c:pt>
                <c:pt idx="6">
                  <c:v>3.0027397260273974</c:v>
                </c:pt>
                <c:pt idx="7">
                  <c:v>4.0027397260273974</c:v>
                </c:pt>
                <c:pt idx="8">
                  <c:v>4.0027397260273974</c:v>
                </c:pt>
                <c:pt idx="9">
                  <c:v>5.0054794520547947</c:v>
                </c:pt>
                <c:pt idx="10">
                  <c:v>5.0054794520547947</c:v>
                </c:pt>
                <c:pt idx="11">
                  <c:v>6.0109589041095894</c:v>
                </c:pt>
                <c:pt idx="12">
                  <c:v>6.0109589041095894</c:v>
                </c:pt>
                <c:pt idx="13">
                  <c:v>7.0082191780821921</c:v>
                </c:pt>
                <c:pt idx="14">
                  <c:v>7.0082191780821921</c:v>
                </c:pt>
                <c:pt idx="15">
                  <c:v>8.0054794520547947</c:v>
                </c:pt>
                <c:pt idx="16">
                  <c:v>8.0054794520547947</c:v>
                </c:pt>
                <c:pt idx="17">
                  <c:v>9.0082191780821912</c:v>
                </c:pt>
                <c:pt idx="18">
                  <c:v>9.0082191780821912</c:v>
                </c:pt>
                <c:pt idx="19">
                  <c:v>10.008219178082191</c:v>
                </c:pt>
                <c:pt idx="20">
                  <c:v>12</c:v>
                </c:pt>
              </c:numCache>
            </c:numRef>
          </c:xVal>
          <c:yVal>
            <c:numRef>
              <c:f>Calibration!$DU$46:$DU$66</c:f>
              <c:numCache>
                <c:formatCode>0.00%</c:formatCode>
                <c:ptCount val="21"/>
                <c:pt idx="0">
                  <c:v>7.1470633746922247E-3</c:v>
                </c:pt>
                <c:pt idx="1">
                  <c:v>7.1470633746922247E-3</c:v>
                </c:pt>
                <c:pt idx="2">
                  <c:v>6.9107299901207224E-3</c:v>
                </c:pt>
                <c:pt idx="3">
                  <c:v>6.9107299901207224E-3</c:v>
                </c:pt>
                <c:pt idx="4">
                  <c:v>7.439937903754858E-3</c:v>
                </c:pt>
                <c:pt idx="5">
                  <c:v>7.439937903754858E-3</c:v>
                </c:pt>
                <c:pt idx="6">
                  <c:v>7.5612848684738707E-3</c:v>
                </c:pt>
                <c:pt idx="7">
                  <c:v>7.5612848684738707E-3</c:v>
                </c:pt>
                <c:pt idx="8">
                  <c:v>7.4315459270602735E-3</c:v>
                </c:pt>
                <c:pt idx="9">
                  <c:v>7.4315459270602735E-3</c:v>
                </c:pt>
                <c:pt idx="10">
                  <c:v>7.2669214865091385E-3</c:v>
                </c:pt>
                <c:pt idx="11">
                  <c:v>7.2669214865091385E-3</c:v>
                </c:pt>
                <c:pt idx="12">
                  <c:v>8.1003430551925461E-3</c:v>
                </c:pt>
                <c:pt idx="13">
                  <c:v>8.1003430551925461E-3</c:v>
                </c:pt>
                <c:pt idx="14">
                  <c:v>7.9167872687981224E-3</c:v>
                </c:pt>
                <c:pt idx="15">
                  <c:v>7.9167872687981224E-3</c:v>
                </c:pt>
                <c:pt idx="16">
                  <c:v>8.0036163580064212E-3</c:v>
                </c:pt>
                <c:pt idx="17">
                  <c:v>8.0036163580064212E-3</c:v>
                </c:pt>
                <c:pt idx="18">
                  <c:v>7.0751032367535023E-3</c:v>
                </c:pt>
                <c:pt idx="19">
                  <c:v>7.0751032367535023E-3</c:v>
                </c:pt>
                <c:pt idx="20">
                  <c:v>7.0751032367535023E-3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Calibration!$DV$45</c:f>
              <c:strCache>
                <c:ptCount val="1"/>
                <c:pt idx="0">
                  <c:v>mean reversion 5%</c:v>
                </c:pt>
              </c:strCache>
            </c:strRef>
          </c:tx>
          <c:marker>
            <c:symbol val="square"/>
            <c:size val="4"/>
          </c:marker>
          <c:xVal>
            <c:numRef>
              <c:f>Calibration!$DT$46:$DT$66</c:f>
              <c:numCache>
                <c:formatCode>#,#00</c:formatCode>
                <c:ptCount val="21"/>
                <c:pt idx="0">
                  <c:v>0</c:v>
                </c:pt>
                <c:pt idx="1">
                  <c:v>1.0054794520547945</c:v>
                </c:pt>
                <c:pt idx="2">
                  <c:v>1.0054794520547945</c:v>
                </c:pt>
                <c:pt idx="3">
                  <c:v>2.0027397260273974</c:v>
                </c:pt>
                <c:pt idx="4">
                  <c:v>2.0027397260273974</c:v>
                </c:pt>
                <c:pt idx="5">
                  <c:v>3.0027397260273974</c:v>
                </c:pt>
                <c:pt idx="6">
                  <c:v>3.0027397260273974</c:v>
                </c:pt>
                <c:pt idx="7">
                  <c:v>4.0027397260273974</c:v>
                </c:pt>
                <c:pt idx="8">
                  <c:v>4.0027397260273974</c:v>
                </c:pt>
                <c:pt idx="9">
                  <c:v>5.0054794520547947</c:v>
                </c:pt>
                <c:pt idx="10">
                  <c:v>5.0054794520547947</c:v>
                </c:pt>
                <c:pt idx="11">
                  <c:v>6.0109589041095894</c:v>
                </c:pt>
                <c:pt idx="12">
                  <c:v>6.0109589041095894</c:v>
                </c:pt>
                <c:pt idx="13">
                  <c:v>7.0082191780821921</c:v>
                </c:pt>
                <c:pt idx="14">
                  <c:v>7.0082191780821921</c:v>
                </c:pt>
                <c:pt idx="15">
                  <c:v>8.0054794520547947</c:v>
                </c:pt>
                <c:pt idx="16">
                  <c:v>8.0054794520547947</c:v>
                </c:pt>
                <c:pt idx="17">
                  <c:v>9.0082191780821912</c:v>
                </c:pt>
                <c:pt idx="18">
                  <c:v>9.0082191780821912</c:v>
                </c:pt>
                <c:pt idx="19">
                  <c:v>10.008219178082191</c:v>
                </c:pt>
                <c:pt idx="20">
                  <c:v>12</c:v>
                </c:pt>
              </c:numCache>
            </c:numRef>
          </c:xVal>
          <c:yVal>
            <c:numRef>
              <c:f>Calibration!$DV$46:$DV$66</c:f>
              <c:numCache>
                <c:formatCode>0.00%</c:formatCode>
                <c:ptCount val="21"/>
                <c:pt idx="0">
                  <c:v>8.7937194993142152E-3</c:v>
                </c:pt>
                <c:pt idx="1">
                  <c:v>8.7937194993142152E-3</c:v>
                </c:pt>
                <c:pt idx="2">
                  <c:v>8.540146931297286E-3</c:v>
                </c:pt>
                <c:pt idx="3">
                  <c:v>8.540146931297286E-3</c:v>
                </c:pt>
                <c:pt idx="4">
                  <c:v>9.1550453820194635E-3</c:v>
                </c:pt>
                <c:pt idx="5">
                  <c:v>9.1550453820194635E-3</c:v>
                </c:pt>
                <c:pt idx="6">
                  <c:v>9.2907346470924666E-3</c:v>
                </c:pt>
                <c:pt idx="7">
                  <c:v>9.2907346470924666E-3</c:v>
                </c:pt>
                <c:pt idx="8">
                  <c:v>9.142623040439864E-3</c:v>
                </c:pt>
                <c:pt idx="9">
                  <c:v>9.142623040439864E-3</c:v>
                </c:pt>
                <c:pt idx="10">
                  <c:v>8.946600754218173E-3</c:v>
                </c:pt>
                <c:pt idx="11">
                  <c:v>8.946600754218173E-3</c:v>
                </c:pt>
                <c:pt idx="12">
                  <c:v>9.7391676948010014E-3</c:v>
                </c:pt>
                <c:pt idx="13">
                  <c:v>9.7391676948010014E-3</c:v>
                </c:pt>
                <c:pt idx="14">
                  <c:v>9.5162607063963966E-3</c:v>
                </c:pt>
                <c:pt idx="15">
                  <c:v>9.5162607063963966E-3</c:v>
                </c:pt>
                <c:pt idx="16">
                  <c:v>9.5374113021916181E-3</c:v>
                </c:pt>
                <c:pt idx="17">
                  <c:v>9.5374113021916181E-3</c:v>
                </c:pt>
                <c:pt idx="18">
                  <c:v>8.6311678039365774E-3</c:v>
                </c:pt>
                <c:pt idx="19">
                  <c:v>8.6311678039365774E-3</c:v>
                </c:pt>
                <c:pt idx="20">
                  <c:v>8.6311678039365774E-3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84224"/>
        <c:axId val="234102784"/>
      </c:scatterChart>
      <c:valAx>
        <c:axId val="234084224"/>
        <c:scaling>
          <c:orientation val="minMax"/>
          <c:max val="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in years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34102784"/>
        <c:crosses val="autoZero"/>
        <c:crossBetween val="midCat"/>
      </c:valAx>
      <c:valAx>
        <c:axId val="234102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short rate volatility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34084224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5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T_p = 10y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AnnuityMapping!$M$8:$M$28</c:f>
              <c:numCache>
                <c:formatCode>#,#00%</c:formatCode>
                <c:ptCount val="21"/>
                <c:pt idx="0">
                  <c:v>-0.50040211498615206</c:v>
                </c:pt>
                <c:pt idx="1">
                  <c:v>-0.42042978412285875</c:v>
                </c:pt>
                <c:pt idx="2">
                  <c:v>0</c:v>
                </c:pt>
                <c:pt idx="3">
                  <c:v>0</c:v>
                </c:pt>
                <c:pt idx="4">
                  <c:v>-0.23857335359706625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-8.4148318688819543E-2</c:v>
                </c:pt>
                <c:pt idx="9">
                  <c:v>0</c:v>
                </c:pt>
                <c:pt idx="10">
                  <c:v>6.2057473039722269E-3</c:v>
                </c:pt>
                <c:pt idx="11">
                  <c:v>0</c:v>
                </c:pt>
                <c:pt idx="12">
                  <c:v>5.5240279291594363E-2</c:v>
                </c:pt>
                <c:pt idx="13">
                  <c:v>0</c:v>
                </c:pt>
                <c:pt idx="14">
                  <c:v>0</c:v>
                </c:pt>
                <c:pt idx="15">
                  <c:v>0.21968319630069671</c:v>
                </c:pt>
                <c:pt idx="16">
                  <c:v>0</c:v>
                </c:pt>
                <c:pt idx="17">
                  <c:v>0.3452181457600097</c:v>
                </c:pt>
                <c:pt idx="18">
                  <c:v>0</c:v>
                </c:pt>
                <c:pt idx="19">
                  <c:v>0</c:v>
                </c:pt>
                <c:pt idx="20">
                  <c:v>0.5015806018338631</c:v>
                </c:pt>
              </c:numCache>
            </c:numRef>
          </c:xVal>
          <c:yVal>
            <c:numRef>
              <c:f>AnnuityMapping!$N$8:$N$28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T_p = 20y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AnnuityMapping!$M$8:$M$28</c:f>
              <c:numCache>
                <c:formatCode>#,#00%</c:formatCode>
                <c:ptCount val="21"/>
                <c:pt idx="0">
                  <c:v>-0.50040211498615206</c:v>
                </c:pt>
                <c:pt idx="1">
                  <c:v>-0.42042978412285875</c:v>
                </c:pt>
                <c:pt idx="2">
                  <c:v>0</c:v>
                </c:pt>
                <c:pt idx="3">
                  <c:v>0</c:v>
                </c:pt>
                <c:pt idx="4">
                  <c:v>-0.23857335359706625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-8.4148318688819543E-2</c:v>
                </c:pt>
                <c:pt idx="9">
                  <c:v>0</c:v>
                </c:pt>
                <c:pt idx="10">
                  <c:v>6.2057473039722269E-3</c:v>
                </c:pt>
                <c:pt idx="11">
                  <c:v>0</c:v>
                </c:pt>
                <c:pt idx="12">
                  <c:v>5.5240279291594363E-2</c:v>
                </c:pt>
                <c:pt idx="13">
                  <c:v>0</c:v>
                </c:pt>
                <c:pt idx="14">
                  <c:v>0</c:v>
                </c:pt>
                <c:pt idx="15">
                  <c:v>0.21968319630069671</c:v>
                </c:pt>
                <c:pt idx="16">
                  <c:v>0</c:v>
                </c:pt>
                <c:pt idx="17">
                  <c:v>0.3452181457600097</c:v>
                </c:pt>
                <c:pt idx="18">
                  <c:v>0</c:v>
                </c:pt>
                <c:pt idx="19">
                  <c:v>0</c:v>
                </c:pt>
                <c:pt idx="20">
                  <c:v>0.5015806018338631</c:v>
                </c:pt>
              </c:numCache>
            </c:numRef>
          </c:xVal>
          <c:yVal>
            <c:numRef>
              <c:f>AnnuityMapping!$AH$8:$AH$28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02720"/>
        <c:axId val="69904640"/>
      </c:scatterChart>
      <c:valAx>
        <c:axId val="69902720"/>
        <c:scaling>
          <c:orientation val="minMax"/>
          <c:max val="0.5"/>
          <c:min val="-0.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rate S(T)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9904640"/>
        <c:crosses val="autoZero"/>
        <c:crossBetween val="midCat"/>
      </c:valAx>
      <c:valAx>
        <c:axId val="6990464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alpha(S(T),T_p)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69902720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7.1139982884319108E-2"/>
          <c:y val="2.7819173909265683E-2"/>
          <c:w val="0.86607824292464464"/>
          <c:h val="8.3841952044417217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S(T)=-10%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AnnuityMapping!$N$7:$AH$7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AnnuityMapping!$N$29:$AH$29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S(T) = 10%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AnnuityMapping!$N$7:$AH$7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AnnuityMapping!$N$31:$AH$31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24736"/>
        <c:axId val="234360832"/>
      </c:scatterChart>
      <c:valAx>
        <c:axId val="69924736"/>
        <c:scaling>
          <c:orientation val="minMax"/>
          <c:max val="2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pay time T_p (years)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34360832"/>
        <c:crosses val="autoZero"/>
        <c:crossBetween val="midCat"/>
      </c:valAx>
      <c:valAx>
        <c:axId val="23436083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alpha(S(T),T_p)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69924736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7.1139982884319108E-2"/>
          <c:y val="2.7819173909265683E-2"/>
          <c:w val="0.86607824292464464"/>
          <c:h val="8.3841952044417217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T_p = 10y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AnnuityMapping!$M$8:$M$28</c:f>
              <c:numCache>
                <c:formatCode>#,#00%</c:formatCode>
                <c:ptCount val="21"/>
                <c:pt idx="0">
                  <c:v>-0.50040211498615206</c:v>
                </c:pt>
                <c:pt idx="1">
                  <c:v>-0.42042978412285875</c:v>
                </c:pt>
                <c:pt idx="2">
                  <c:v>0</c:v>
                </c:pt>
                <c:pt idx="3">
                  <c:v>0</c:v>
                </c:pt>
                <c:pt idx="4">
                  <c:v>-0.23857335359706625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-8.4148318688819543E-2</c:v>
                </c:pt>
                <c:pt idx="9">
                  <c:v>0</c:v>
                </c:pt>
                <c:pt idx="10">
                  <c:v>6.2057473039722269E-3</c:v>
                </c:pt>
                <c:pt idx="11">
                  <c:v>0</c:v>
                </c:pt>
                <c:pt idx="12">
                  <c:v>5.5240279291594363E-2</c:v>
                </c:pt>
                <c:pt idx="13">
                  <c:v>0</c:v>
                </c:pt>
                <c:pt idx="14">
                  <c:v>0</c:v>
                </c:pt>
                <c:pt idx="15">
                  <c:v>0.21968319630069671</c:v>
                </c:pt>
                <c:pt idx="16">
                  <c:v>0</c:v>
                </c:pt>
                <c:pt idx="17">
                  <c:v>0.3452181457600097</c:v>
                </c:pt>
                <c:pt idx="18">
                  <c:v>0</c:v>
                </c:pt>
                <c:pt idx="19">
                  <c:v>0</c:v>
                </c:pt>
                <c:pt idx="20">
                  <c:v>0.5015806018338631</c:v>
                </c:pt>
              </c:numCache>
            </c:numRef>
          </c:xVal>
          <c:yVal>
            <c:numRef>
              <c:f>AnnuityMapping!$N$8:$N$28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T_p = 20y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AnnuityMapping!$M$8:$M$28</c:f>
              <c:numCache>
                <c:formatCode>#,#00%</c:formatCode>
                <c:ptCount val="21"/>
                <c:pt idx="0">
                  <c:v>-0.50040211498615206</c:v>
                </c:pt>
                <c:pt idx="1">
                  <c:v>-0.42042978412285875</c:v>
                </c:pt>
                <c:pt idx="2">
                  <c:v>0</c:v>
                </c:pt>
                <c:pt idx="3">
                  <c:v>0</c:v>
                </c:pt>
                <c:pt idx="4">
                  <c:v>-0.23857335359706625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-8.4148318688819543E-2</c:v>
                </c:pt>
                <c:pt idx="9">
                  <c:v>0</c:v>
                </c:pt>
                <c:pt idx="10">
                  <c:v>6.2057473039722269E-3</c:v>
                </c:pt>
                <c:pt idx="11">
                  <c:v>0</c:v>
                </c:pt>
                <c:pt idx="12">
                  <c:v>5.5240279291594363E-2</c:v>
                </c:pt>
                <c:pt idx="13">
                  <c:v>0</c:v>
                </c:pt>
                <c:pt idx="14">
                  <c:v>0</c:v>
                </c:pt>
                <c:pt idx="15">
                  <c:v>0.21968319630069671</c:v>
                </c:pt>
                <c:pt idx="16">
                  <c:v>0</c:v>
                </c:pt>
                <c:pt idx="17">
                  <c:v>0.3452181457600097</c:v>
                </c:pt>
                <c:pt idx="18">
                  <c:v>0</c:v>
                </c:pt>
                <c:pt idx="19">
                  <c:v>0</c:v>
                </c:pt>
                <c:pt idx="20">
                  <c:v>0.5015806018338631</c:v>
                </c:pt>
              </c:numCache>
            </c:numRef>
          </c:xVal>
          <c:yVal>
            <c:numRef>
              <c:f>AnnuityMapping!$AH$8:$AH$28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T_p = 10y (lin)</c:v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AffineModel!$K$13:$K$33</c:f>
              <c:numCache>
                <c:formatCode>#,#00%</c:formatCode>
                <c:ptCount val="21"/>
                <c:pt idx="0">
                  <c:v>-0.50040211498615206</c:v>
                </c:pt>
                <c:pt idx="1">
                  <c:v>-0.42042978412285875</c:v>
                </c:pt>
                <c:pt idx="2">
                  <c:v>-0.42042978412285875</c:v>
                </c:pt>
                <c:pt idx="3">
                  <c:v>-0.30497105396608759</c:v>
                </c:pt>
                <c:pt idx="4">
                  <c:v>-0.23857335359706625</c:v>
                </c:pt>
                <c:pt idx="5">
                  <c:v>-0.2028663657348998</c:v>
                </c:pt>
                <c:pt idx="6">
                  <c:v>-0.16532266128187514</c:v>
                </c:pt>
                <c:pt idx="7">
                  <c:v>-0.12580113940161433</c:v>
                </c:pt>
                <c:pt idx="8">
                  <c:v>-8.4148318688819543E-2</c:v>
                </c:pt>
                <c:pt idx="9">
                  <c:v>-4.0201673366673768E-2</c:v>
                </c:pt>
                <c:pt idx="10">
                  <c:v>6.2057473039722269E-3</c:v>
                </c:pt>
                <c:pt idx="11">
                  <c:v>2.5495119918498618E-2</c:v>
                </c:pt>
                <c:pt idx="12">
                  <c:v>5.5240279291594363E-2</c:v>
                </c:pt>
                <c:pt idx="13">
                  <c:v>0.10706333677515142</c:v>
                </c:pt>
                <c:pt idx="14">
                  <c:v>0.16182888011972479</c:v>
                </c:pt>
                <c:pt idx="15">
                  <c:v>0.21968319630069671</c:v>
                </c:pt>
                <c:pt idx="16">
                  <c:v>0.2807668533753056</c:v>
                </c:pt>
                <c:pt idx="17">
                  <c:v>0.3452181457600097</c:v>
                </c:pt>
                <c:pt idx="18">
                  <c:v>0.41317712879134511</c:v>
                </c:pt>
                <c:pt idx="19">
                  <c:v>0.48478945099450538</c:v>
                </c:pt>
                <c:pt idx="20">
                  <c:v>0.5015806018338631</c:v>
                </c:pt>
              </c:numCache>
            </c:numRef>
          </c:xVal>
          <c:yVal>
            <c:numRef>
              <c:f>AffineModel!$L$13:$L$33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T_p = 20y (lin)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AffineModel!$K$13:$K$33</c:f>
              <c:numCache>
                <c:formatCode>#,#00%</c:formatCode>
                <c:ptCount val="21"/>
                <c:pt idx="0">
                  <c:v>-0.50040211498615206</c:v>
                </c:pt>
                <c:pt idx="1">
                  <c:v>-0.42042978412285875</c:v>
                </c:pt>
                <c:pt idx="2">
                  <c:v>-0.42042978412285875</c:v>
                </c:pt>
                <c:pt idx="3">
                  <c:v>-0.30497105396608759</c:v>
                </c:pt>
                <c:pt idx="4">
                  <c:v>-0.23857335359706625</c:v>
                </c:pt>
                <c:pt idx="5">
                  <c:v>-0.2028663657348998</c:v>
                </c:pt>
                <c:pt idx="6">
                  <c:v>-0.16532266128187514</c:v>
                </c:pt>
                <c:pt idx="7">
                  <c:v>-0.12580113940161433</c:v>
                </c:pt>
                <c:pt idx="8">
                  <c:v>-8.4148318688819543E-2</c:v>
                </c:pt>
                <c:pt idx="9">
                  <c:v>-4.0201673366673768E-2</c:v>
                </c:pt>
                <c:pt idx="10">
                  <c:v>6.2057473039722269E-3</c:v>
                </c:pt>
                <c:pt idx="11">
                  <c:v>2.5495119918498618E-2</c:v>
                </c:pt>
                <c:pt idx="12">
                  <c:v>5.5240279291594363E-2</c:v>
                </c:pt>
                <c:pt idx="13">
                  <c:v>0.10706333677515142</c:v>
                </c:pt>
                <c:pt idx="14">
                  <c:v>0.16182888011972479</c:v>
                </c:pt>
                <c:pt idx="15">
                  <c:v>0.21968319630069671</c:v>
                </c:pt>
                <c:pt idx="16">
                  <c:v>0.2807668533753056</c:v>
                </c:pt>
                <c:pt idx="17">
                  <c:v>0.3452181457600097</c:v>
                </c:pt>
                <c:pt idx="18">
                  <c:v>0.41317712879134511</c:v>
                </c:pt>
                <c:pt idx="19">
                  <c:v>0.48478945099450538</c:v>
                </c:pt>
                <c:pt idx="20">
                  <c:v>0.5015806018338631</c:v>
                </c:pt>
              </c:numCache>
            </c:numRef>
          </c:xVal>
          <c:yVal>
            <c:numRef>
              <c:f>AffineModel!$AF$13:$AF$33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50784"/>
        <c:axId val="69752704"/>
      </c:scatterChart>
      <c:valAx>
        <c:axId val="69750784"/>
        <c:scaling>
          <c:orientation val="minMax"/>
          <c:max val="0.5"/>
          <c:min val="-0.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rate S(T)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9752704"/>
        <c:crosses val="autoZero"/>
        <c:crossBetween val="midCat"/>
      </c:valAx>
      <c:valAx>
        <c:axId val="69752704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alpha(S(T),T_p)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697507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7.1139982884319108E-2"/>
          <c:y val="2.7819173909265683E-2"/>
          <c:w val="0.86806089587136148"/>
          <c:h val="0.16316420656531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S(T)=-10%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AnnuityMapping!$N$7:$AH$7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AnnuityMapping!$N$29:$AH$29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S(T) = 10%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AnnuityMapping!$N$7:$AH$7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AnnuityMapping!$N$31:$AH$31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S(T)=-10% (lin)</c:v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AffineModel!$L$9:$AF$9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AffineModel!$L$34:$AF$34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S(T)=10% (lin)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AffineModel!$L$9:$AF$9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AffineModel!$L$36:$AF$36</c:f>
              <c:numCache>
                <c:formatCode>00,000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92512"/>
        <c:axId val="69794432"/>
      </c:scatterChart>
      <c:valAx>
        <c:axId val="69792512"/>
        <c:scaling>
          <c:orientation val="minMax"/>
          <c:max val="2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pay time T_p (years)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9794432"/>
        <c:crosses val="autoZero"/>
        <c:crossBetween val="midCat"/>
      </c:valAx>
      <c:valAx>
        <c:axId val="6979443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alpha(S(T),T_p)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69792512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7.1139982884319108E-2"/>
          <c:y val="2.7819173909265683E-2"/>
          <c:w val="0.85071049382716046"/>
          <c:h val="0.16316420656531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CMSCalculation!$E$7:$E$10</c:f>
              <c:numCache>
                <c:formatCode>General</c:formatCode>
                <c:ptCount val="4"/>
                <c:pt idx="0">
                  <c:v>29.1</c:v>
                </c:pt>
                <c:pt idx="1">
                  <c:v>29.5</c:v>
                </c:pt>
                <c:pt idx="2">
                  <c:v>24.8</c:v>
                </c:pt>
                <c:pt idx="3">
                  <c:v>21.1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CMSCalculation!$F$7:$F$10</c:f>
              <c:numCache>
                <c:formatCode>General</c:formatCode>
                <c:ptCount val="4"/>
                <c:pt idx="0">
                  <c:v>35.1</c:v>
                </c:pt>
                <c:pt idx="1">
                  <c:v>35.6</c:v>
                </c:pt>
                <c:pt idx="2">
                  <c:v>30.8</c:v>
                </c:pt>
                <c:pt idx="3">
                  <c:v>27.2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CMSCalculation!$AT$5</c:f>
              <c:strCache>
                <c:ptCount val="1"/>
                <c:pt idx="0">
                  <c:v>lognormal,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CMSCalculation!$AT$7:$AT$10</c:f>
              <c:numCache>
                <c:formatCode>#,#00</c:formatCode>
                <c:ptCount val="4"/>
                <c:pt idx="0">
                  <c:v>36.387193829237326</c:v>
                </c:pt>
                <c:pt idx="1">
                  <c:v>40.844420592872545</c:v>
                </c:pt>
                <c:pt idx="2">
                  <c:v>46.455886550961253</c:v>
                </c:pt>
                <c:pt idx="3">
                  <c:v>88.539890326443199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574976"/>
        <c:axId val="234577280"/>
      </c:lineChart>
      <c:catAx>
        <c:axId val="234574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4577280"/>
        <c:crosses val="autoZero"/>
        <c:auto val="1"/>
        <c:lblAlgn val="ctr"/>
        <c:lblOffset val="100"/>
        <c:noMultiLvlLbl val="0"/>
      </c:catAx>
      <c:valAx>
        <c:axId val="23457728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45749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9271131525"/>
          <c:h val="8.530233887351298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5Y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CMSCalculation!$E$12:$E$15</c:f>
              <c:numCache>
                <c:formatCode>General</c:formatCode>
                <c:ptCount val="4"/>
                <c:pt idx="0">
                  <c:v>69.5</c:v>
                </c:pt>
                <c:pt idx="1">
                  <c:v>59.9</c:v>
                </c:pt>
                <c:pt idx="2">
                  <c:v>47.2</c:v>
                </c:pt>
                <c:pt idx="3">
                  <c:v>38.799999999999997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CMSCalculation!$F$12:$F$15</c:f>
              <c:numCache>
                <c:formatCode>General</c:formatCode>
                <c:ptCount val="4"/>
                <c:pt idx="0">
                  <c:v>78.599999999999994</c:v>
                </c:pt>
                <c:pt idx="1">
                  <c:v>69</c:v>
                </c:pt>
                <c:pt idx="2">
                  <c:v>56.3</c:v>
                </c:pt>
                <c:pt idx="3">
                  <c:v>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CMSCalculation!$AT$5</c:f>
              <c:strCache>
                <c:ptCount val="1"/>
                <c:pt idx="0">
                  <c:v>lognormal,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CMSCalculation!$AT$12:$AT$15</c:f>
              <c:numCache>
                <c:formatCode>#,#00</c:formatCode>
                <c:ptCount val="4"/>
                <c:pt idx="0">
                  <c:v>77.402857115062318</c:v>
                </c:pt>
                <c:pt idx="1">
                  <c:v>78.288467040989502</c:v>
                </c:pt>
                <c:pt idx="2">
                  <c:v>90.425248310335178</c:v>
                </c:pt>
                <c:pt idx="3">
                  <c:v>180.34754079076453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612224"/>
        <c:axId val="235343872"/>
      </c:lineChart>
      <c:catAx>
        <c:axId val="234612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343872"/>
        <c:crosses val="autoZero"/>
        <c:auto val="1"/>
        <c:lblAlgn val="ctr"/>
        <c:lblOffset val="100"/>
        <c:noMultiLvlLbl val="0"/>
      </c:catAx>
      <c:valAx>
        <c:axId val="23534387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46122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10Y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CMSCalculation!$E$17:$E$20</c:f>
              <c:numCache>
                <c:formatCode>General</c:formatCode>
                <c:ptCount val="4"/>
                <c:pt idx="0">
                  <c:v>122</c:v>
                </c:pt>
                <c:pt idx="1">
                  <c:v>95.1</c:v>
                </c:pt>
                <c:pt idx="2">
                  <c:v>72.2</c:v>
                </c:pt>
                <c:pt idx="3">
                  <c:v>54.4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CMSCalculation!$F$17:$F$20</c:f>
              <c:numCache>
                <c:formatCode>General</c:formatCode>
                <c:ptCount val="4"/>
                <c:pt idx="0">
                  <c:v>132.30000000000001</c:v>
                </c:pt>
                <c:pt idx="1">
                  <c:v>105.3</c:v>
                </c:pt>
                <c:pt idx="2">
                  <c:v>82.4</c:v>
                </c:pt>
                <c:pt idx="3">
                  <c:v>74.599999999999994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CMSCalculation!$AT$5</c:f>
              <c:strCache>
                <c:ptCount val="1"/>
                <c:pt idx="0">
                  <c:v>lognormal,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CMSCalculation!$AT$17:$AT$20</c:f>
              <c:numCache>
                <c:formatCode>#,#00</c:formatCode>
                <c:ptCount val="4"/>
                <c:pt idx="0">
                  <c:v>131.54741835606828</c:v>
                </c:pt>
                <c:pt idx="1">
                  <c:v>123.12666163726621</c:v>
                </c:pt>
                <c:pt idx="2">
                  <c:v>149.4682854943124</c:v>
                </c:pt>
                <c:pt idx="3">
                  <c:v>299.93984862825141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382272"/>
        <c:axId val="235388928"/>
      </c:lineChart>
      <c:catAx>
        <c:axId val="235382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388928"/>
        <c:crosses val="autoZero"/>
        <c:auto val="1"/>
        <c:lblAlgn val="ctr"/>
        <c:lblOffset val="100"/>
        <c:noMultiLvlLbl val="0"/>
      </c:catAx>
      <c:valAx>
        <c:axId val="23538892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3822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CMSCalculation!$E$22:$E$25</c:f>
              <c:numCache>
                <c:formatCode>General</c:formatCode>
                <c:ptCount val="4"/>
                <c:pt idx="0">
                  <c:v>146.5</c:v>
                </c:pt>
                <c:pt idx="1">
                  <c:v>105.5</c:v>
                </c:pt>
                <c:pt idx="2">
                  <c:v>79</c:v>
                </c:pt>
                <c:pt idx="3">
                  <c:v>66.8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CMSCalculation!$F$22:$F$25</c:f>
              <c:numCache>
                <c:formatCode>General</c:formatCode>
                <c:ptCount val="4"/>
                <c:pt idx="0">
                  <c:v>166.8</c:v>
                </c:pt>
                <c:pt idx="1">
                  <c:v>125.7</c:v>
                </c:pt>
                <c:pt idx="2">
                  <c:v>99.2</c:v>
                </c:pt>
                <c:pt idx="3">
                  <c:v>87.1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CMSCalculation!$AT$5</c:f>
              <c:strCache>
                <c:ptCount val="1"/>
                <c:pt idx="0">
                  <c:v>lognormal,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CMSCalculation!$AT$22:$AT$25</c:f>
              <c:numCache>
                <c:formatCode>#,#00</c:formatCode>
                <c:ptCount val="4"/>
                <c:pt idx="0">
                  <c:v>164.27661647647469</c:v>
                </c:pt>
                <c:pt idx="1">
                  <c:v>143.54059155426867</c:v>
                </c:pt>
                <c:pt idx="2">
                  <c:v>157.98390683382161</c:v>
                </c:pt>
                <c:pt idx="3">
                  <c:v>216.95157850404638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484672"/>
        <c:axId val="235495424"/>
      </c:lineChart>
      <c:catAx>
        <c:axId val="235484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495424"/>
        <c:crosses val="autoZero"/>
        <c:auto val="1"/>
        <c:lblAlgn val="ctr"/>
        <c:lblOffset val="100"/>
        <c:noMultiLvlLbl val="0"/>
      </c:catAx>
      <c:valAx>
        <c:axId val="235495424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4846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30Y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CMSCalculation!$E$27:$E$30</c:f>
              <c:numCache>
                <c:formatCode>General</c:formatCode>
                <c:ptCount val="4"/>
                <c:pt idx="0">
                  <c:v>147.30000000000001</c:v>
                </c:pt>
                <c:pt idx="1">
                  <c:v>105.2</c:v>
                </c:pt>
                <c:pt idx="2">
                  <c:v>79.5</c:v>
                </c:pt>
                <c:pt idx="3">
                  <c:v>65.900000000000006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CMSCalculation!$F$27:$F$30</c:f>
              <c:numCache>
                <c:formatCode>General</c:formatCode>
                <c:ptCount val="4"/>
                <c:pt idx="0">
                  <c:v>172.6</c:v>
                </c:pt>
                <c:pt idx="1">
                  <c:v>130.4</c:v>
                </c:pt>
                <c:pt idx="2">
                  <c:v>104.8</c:v>
                </c:pt>
                <c:pt idx="3">
                  <c:v>96.3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CMSCalculation!$AT$5</c:f>
              <c:strCache>
                <c:ptCount val="1"/>
                <c:pt idx="0">
                  <c:v>lognormal,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CMSCalculation!$AT$27:$AT$30</c:f>
              <c:numCache>
                <c:formatCode>#,#00</c:formatCode>
                <c:ptCount val="4"/>
                <c:pt idx="0">
                  <c:v>170.74058068327361</c:v>
                </c:pt>
                <c:pt idx="1">
                  <c:v>155.51924149928396</c:v>
                </c:pt>
                <c:pt idx="2">
                  <c:v>178.76524194322246</c:v>
                </c:pt>
                <c:pt idx="3">
                  <c:v>248.47860068856593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29728"/>
        <c:axId val="235409408"/>
      </c:lineChart>
      <c:catAx>
        <c:axId val="235529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409408"/>
        <c:crosses val="autoZero"/>
        <c:auto val="1"/>
        <c:lblAlgn val="ctr"/>
        <c:lblOffset val="100"/>
        <c:noMultiLvlLbl val="0"/>
      </c:catAx>
      <c:valAx>
        <c:axId val="23540940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297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CMSCalculation!$E$7:$E$10</c:f>
              <c:numCache>
                <c:formatCode>General</c:formatCode>
                <c:ptCount val="4"/>
                <c:pt idx="0">
                  <c:v>29.1</c:v>
                </c:pt>
                <c:pt idx="1">
                  <c:v>29.5</c:v>
                </c:pt>
                <c:pt idx="2">
                  <c:v>24.8</c:v>
                </c:pt>
                <c:pt idx="3">
                  <c:v>21.1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CMSCalculation!$F$7:$F$10</c:f>
              <c:numCache>
                <c:formatCode>General</c:formatCode>
                <c:ptCount val="4"/>
                <c:pt idx="0">
                  <c:v>35.1</c:v>
                </c:pt>
                <c:pt idx="1">
                  <c:v>35.6</c:v>
                </c:pt>
                <c:pt idx="2">
                  <c:v>30.8</c:v>
                </c:pt>
                <c:pt idx="3">
                  <c:v>27.2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CMSCalculation!$AU$5</c:f>
              <c:strCache>
                <c:ptCount val="1"/>
                <c:pt idx="0">
                  <c:v>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CMSCalculation!$AU$7:$AU$10</c:f>
              <c:numCache>
                <c:formatCode>#,#00</c:formatCode>
                <c:ptCount val="4"/>
                <c:pt idx="0">
                  <c:v>31.877549445418296</c:v>
                </c:pt>
                <c:pt idx="1">
                  <c:v>32.247095050882159</c:v>
                </c:pt>
                <c:pt idx="2">
                  <c:v>28.026417551244243</c:v>
                </c:pt>
                <c:pt idx="3">
                  <c:v>24.958538570730287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443712"/>
        <c:axId val="235450368"/>
      </c:lineChart>
      <c:catAx>
        <c:axId val="23544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450368"/>
        <c:crosses val="autoZero"/>
        <c:auto val="1"/>
        <c:lblAlgn val="ctr"/>
        <c:lblOffset val="100"/>
        <c:noMultiLvlLbl val="0"/>
      </c:catAx>
      <c:valAx>
        <c:axId val="23545036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4437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9"/>
          <c:h val="8.3622683621989033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5Y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CMSCalculation!$E$12:$E$15</c:f>
              <c:numCache>
                <c:formatCode>General</c:formatCode>
                <c:ptCount val="4"/>
                <c:pt idx="0">
                  <c:v>69.5</c:v>
                </c:pt>
                <c:pt idx="1">
                  <c:v>59.9</c:v>
                </c:pt>
                <c:pt idx="2">
                  <c:v>47.2</c:v>
                </c:pt>
                <c:pt idx="3">
                  <c:v>38.799999999999997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CMSCalculation!$F$12:$F$15</c:f>
              <c:numCache>
                <c:formatCode>General</c:formatCode>
                <c:ptCount val="4"/>
                <c:pt idx="0">
                  <c:v>78.599999999999994</c:v>
                </c:pt>
                <c:pt idx="1">
                  <c:v>69</c:v>
                </c:pt>
                <c:pt idx="2">
                  <c:v>56.3</c:v>
                </c:pt>
                <c:pt idx="3">
                  <c:v>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CMSCalculation!$AU$5</c:f>
              <c:strCache>
                <c:ptCount val="1"/>
                <c:pt idx="0">
                  <c:v>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CMSCalculation!$AU$12:$AU$15</c:f>
              <c:numCache>
                <c:formatCode>#,#00</c:formatCode>
                <c:ptCount val="4"/>
                <c:pt idx="0">
                  <c:v>73.923298484384404</c:v>
                </c:pt>
                <c:pt idx="1">
                  <c:v>65.349818320238114</c:v>
                </c:pt>
                <c:pt idx="2">
                  <c:v>53.521947998374657</c:v>
                </c:pt>
                <c:pt idx="3">
                  <c:v>45.618389480447732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152896"/>
        <c:axId val="235167744"/>
      </c:lineChart>
      <c:catAx>
        <c:axId val="23515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167744"/>
        <c:crosses val="autoZero"/>
        <c:auto val="1"/>
        <c:lblAlgn val="ctr"/>
        <c:lblOffset val="100"/>
        <c:noMultiLvlLbl val="0"/>
      </c:catAx>
      <c:valAx>
        <c:axId val="235167744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15289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10Y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CMSCalculation!$E$17:$E$20</c:f>
              <c:numCache>
                <c:formatCode>General</c:formatCode>
                <c:ptCount val="4"/>
                <c:pt idx="0">
                  <c:v>122</c:v>
                </c:pt>
                <c:pt idx="1">
                  <c:v>95.1</c:v>
                </c:pt>
                <c:pt idx="2">
                  <c:v>72.2</c:v>
                </c:pt>
                <c:pt idx="3">
                  <c:v>54.4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CMSCalculation!$F$17:$F$20</c:f>
              <c:numCache>
                <c:formatCode>General</c:formatCode>
                <c:ptCount val="4"/>
                <c:pt idx="0">
                  <c:v>132.30000000000001</c:v>
                </c:pt>
                <c:pt idx="1">
                  <c:v>105.3</c:v>
                </c:pt>
                <c:pt idx="2">
                  <c:v>82.4</c:v>
                </c:pt>
                <c:pt idx="3">
                  <c:v>74.599999999999994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CMSCalculation!$AU$5</c:f>
              <c:strCache>
                <c:ptCount val="1"/>
                <c:pt idx="0">
                  <c:v>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CMSCalculation!$AU$17:$AU$20</c:f>
              <c:numCache>
                <c:formatCode>#,#00</c:formatCode>
                <c:ptCount val="4"/>
                <c:pt idx="0">
                  <c:v>126.6963283479065</c:v>
                </c:pt>
                <c:pt idx="1">
                  <c:v>101.75148010496754</c:v>
                </c:pt>
                <c:pt idx="2">
                  <c:v>80.10932548220056</c:v>
                </c:pt>
                <c:pt idx="3">
                  <c:v>67.99746759541955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202048"/>
        <c:axId val="235212800"/>
      </c:lineChart>
      <c:catAx>
        <c:axId val="235202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212800"/>
        <c:crosses val="autoZero"/>
        <c:auto val="1"/>
        <c:lblAlgn val="ctr"/>
        <c:lblOffset val="100"/>
        <c:noMultiLvlLbl val="0"/>
      </c:catAx>
      <c:valAx>
        <c:axId val="23521280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2020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CMSCalculation!$E$22:$E$25</c:f>
              <c:numCache>
                <c:formatCode>General</c:formatCode>
                <c:ptCount val="4"/>
                <c:pt idx="0">
                  <c:v>146.5</c:v>
                </c:pt>
                <c:pt idx="1">
                  <c:v>105.5</c:v>
                </c:pt>
                <c:pt idx="2">
                  <c:v>79</c:v>
                </c:pt>
                <c:pt idx="3">
                  <c:v>66.8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CMSCalculation!$F$22:$F$25</c:f>
              <c:numCache>
                <c:formatCode>General</c:formatCode>
                <c:ptCount val="4"/>
                <c:pt idx="0">
                  <c:v>166.8</c:v>
                </c:pt>
                <c:pt idx="1">
                  <c:v>125.7</c:v>
                </c:pt>
                <c:pt idx="2">
                  <c:v>99.2</c:v>
                </c:pt>
                <c:pt idx="3">
                  <c:v>87.1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CMSCalculation!$AU$5</c:f>
              <c:strCache>
                <c:ptCount val="1"/>
                <c:pt idx="0">
                  <c:v>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CMSCalculation!$AU$22:$AU$25</c:f>
              <c:numCache>
                <c:formatCode>#,#00</c:formatCode>
                <c:ptCount val="4"/>
                <c:pt idx="0">
                  <c:v>157.83795947075751</c:v>
                </c:pt>
                <c:pt idx="1">
                  <c:v>117.22742434975072</c:v>
                </c:pt>
                <c:pt idx="2">
                  <c:v>90.40671885397235</c:v>
                </c:pt>
                <c:pt idx="3">
                  <c:v>78.90759587560953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247104"/>
        <c:axId val="235257856"/>
      </c:lineChart>
      <c:catAx>
        <c:axId val="23524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257856"/>
        <c:crosses val="autoZero"/>
        <c:auto val="1"/>
        <c:lblAlgn val="ctr"/>
        <c:lblOffset val="100"/>
        <c:noMultiLvlLbl val="0"/>
      </c:catAx>
      <c:valAx>
        <c:axId val="23525785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2471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30Y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CMSCalculation!$E$27:$E$30</c:f>
              <c:numCache>
                <c:formatCode>General</c:formatCode>
                <c:ptCount val="4"/>
                <c:pt idx="0">
                  <c:v>147.30000000000001</c:v>
                </c:pt>
                <c:pt idx="1">
                  <c:v>105.2</c:v>
                </c:pt>
                <c:pt idx="2">
                  <c:v>79.5</c:v>
                </c:pt>
                <c:pt idx="3">
                  <c:v>65.900000000000006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CMSCalculation!$F$27:$F$30</c:f>
              <c:numCache>
                <c:formatCode>General</c:formatCode>
                <c:ptCount val="4"/>
                <c:pt idx="0">
                  <c:v>172.6</c:v>
                </c:pt>
                <c:pt idx="1">
                  <c:v>130.4</c:v>
                </c:pt>
                <c:pt idx="2">
                  <c:v>104.8</c:v>
                </c:pt>
                <c:pt idx="3">
                  <c:v>96.3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CMSCalculation!$AU$5</c:f>
              <c:strCache>
                <c:ptCount val="1"/>
                <c:pt idx="0">
                  <c:v>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CMSCalculation!$AU$27:$AU$30</c:f>
              <c:numCache>
                <c:formatCode>#,#00</c:formatCode>
                <c:ptCount val="4"/>
                <c:pt idx="0">
                  <c:v>161.42439248625439</c:v>
                </c:pt>
                <c:pt idx="1">
                  <c:v>121.33192566950216</c:v>
                </c:pt>
                <c:pt idx="2">
                  <c:v>95.802014058907403</c:v>
                </c:pt>
                <c:pt idx="3">
                  <c:v>84.884304049789705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812352"/>
        <c:axId val="235827200"/>
      </c:lineChart>
      <c:catAx>
        <c:axId val="2358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827200"/>
        <c:crosses val="autoZero"/>
        <c:auto val="1"/>
        <c:lblAlgn val="ctr"/>
        <c:lblOffset val="100"/>
        <c:noMultiLvlLbl val="0"/>
      </c:catAx>
      <c:valAx>
        <c:axId val="23582720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812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CMSCalculation!$E$7:$E$10</c:f>
              <c:numCache>
                <c:formatCode>General</c:formatCode>
                <c:ptCount val="4"/>
                <c:pt idx="0">
                  <c:v>29.1</c:v>
                </c:pt>
                <c:pt idx="1">
                  <c:v>29.5</c:v>
                </c:pt>
                <c:pt idx="2">
                  <c:v>24.8</c:v>
                </c:pt>
                <c:pt idx="3">
                  <c:v>21.1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CMSCalculation!$F$7:$F$10</c:f>
              <c:numCache>
                <c:formatCode>General</c:formatCode>
                <c:ptCount val="4"/>
                <c:pt idx="0">
                  <c:v>35.1</c:v>
                </c:pt>
                <c:pt idx="1">
                  <c:v>35.6</c:v>
                </c:pt>
                <c:pt idx="2">
                  <c:v>30.8</c:v>
                </c:pt>
                <c:pt idx="3">
                  <c:v>27.2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CMSCalculation!$AV$5</c:f>
              <c:strCache>
                <c:ptCount val="1"/>
                <c:pt idx="0">
                  <c:v>normal, HW yc model (a=10%)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CMSCalculation!$AV$7:$AV$10</c:f>
              <c:numCache>
                <c:formatCode>#,#00</c:formatCode>
                <c:ptCount val="4"/>
                <c:pt idx="0">
                  <c:v>31.881707899357526</c:v>
                </c:pt>
                <c:pt idx="1">
                  <c:v>32.267321573045379</c:v>
                </c:pt>
                <c:pt idx="2">
                  <c:v>28.063381558762117</c:v>
                </c:pt>
                <c:pt idx="3">
                  <c:v>25.00640541672767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861504"/>
        <c:axId val="235868160"/>
      </c:lineChart>
      <c:catAx>
        <c:axId val="235861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868160"/>
        <c:crosses val="autoZero"/>
        <c:auto val="1"/>
        <c:lblAlgn val="ctr"/>
        <c:lblOffset val="100"/>
        <c:noMultiLvlLbl val="0"/>
      </c:catAx>
      <c:valAx>
        <c:axId val="23586816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8615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9"/>
          <c:h val="8.3622683621989033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5Y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CMSCalculation!$E$12:$E$15</c:f>
              <c:numCache>
                <c:formatCode>General</c:formatCode>
                <c:ptCount val="4"/>
                <c:pt idx="0">
                  <c:v>69.5</c:v>
                </c:pt>
                <c:pt idx="1">
                  <c:v>59.9</c:v>
                </c:pt>
                <c:pt idx="2">
                  <c:v>47.2</c:v>
                </c:pt>
                <c:pt idx="3">
                  <c:v>38.799999999999997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CMSCalculation!$F$12:$F$15</c:f>
              <c:numCache>
                <c:formatCode>General</c:formatCode>
                <c:ptCount val="4"/>
                <c:pt idx="0">
                  <c:v>78.599999999999994</c:v>
                </c:pt>
                <c:pt idx="1">
                  <c:v>69</c:v>
                </c:pt>
                <c:pt idx="2">
                  <c:v>56.3</c:v>
                </c:pt>
                <c:pt idx="3">
                  <c:v>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CMSCalculation!$AV$5</c:f>
              <c:strCache>
                <c:ptCount val="1"/>
                <c:pt idx="0">
                  <c:v>normal, HW yc model (a=10%)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CMSCalculation!$AV$12:$AV$15</c:f>
              <c:numCache>
                <c:formatCode>#,#00</c:formatCode>
                <c:ptCount val="4"/>
                <c:pt idx="0">
                  <c:v>74.07692750510968</c:v>
                </c:pt>
                <c:pt idx="1">
                  <c:v>65.769352639357066</c:v>
                </c:pt>
                <c:pt idx="2">
                  <c:v>54.173344175876167</c:v>
                </c:pt>
                <c:pt idx="3">
                  <c:v>46.430111458451968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06560"/>
        <c:axId val="235921408"/>
      </c:lineChart>
      <c:catAx>
        <c:axId val="235906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921408"/>
        <c:crosses val="autoZero"/>
        <c:auto val="1"/>
        <c:lblAlgn val="ctr"/>
        <c:lblOffset val="100"/>
        <c:noMultiLvlLbl val="0"/>
      </c:catAx>
      <c:valAx>
        <c:axId val="23592140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9065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10Y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CMSCalculation!$E$17:$E$20</c:f>
              <c:numCache>
                <c:formatCode>General</c:formatCode>
                <c:ptCount val="4"/>
                <c:pt idx="0">
                  <c:v>122</c:v>
                </c:pt>
                <c:pt idx="1">
                  <c:v>95.1</c:v>
                </c:pt>
                <c:pt idx="2">
                  <c:v>72.2</c:v>
                </c:pt>
                <c:pt idx="3">
                  <c:v>54.4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CMSCalculation!$F$17:$F$20</c:f>
              <c:numCache>
                <c:formatCode>General</c:formatCode>
                <c:ptCount val="4"/>
                <c:pt idx="0">
                  <c:v>132.30000000000001</c:v>
                </c:pt>
                <c:pt idx="1">
                  <c:v>105.3</c:v>
                </c:pt>
                <c:pt idx="2">
                  <c:v>82.4</c:v>
                </c:pt>
                <c:pt idx="3">
                  <c:v>74.599999999999994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CMSCalculation!$AV$5</c:f>
              <c:strCache>
                <c:ptCount val="1"/>
                <c:pt idx="0">
                  <c:v>normal, HW yc model (a=10%)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CMSCalculation!$AV$17:$AV$20</c:f>
              <c:numCache>
                <c:formatCode>#,#00</c:formatCode>
                <c:ptCount val="4"/>
                <c:pt idx="0">
                  <c:v>127.60532030971245</c:v>
                </c:pt>
                <c:pt idx="1">
                  <c:v>103.72839451450042</c:v>
                </c:pt>
                <c:pt idx="2">
                  <c:v>82.951768595914743</c:v>
                </c:pt>
                <c:pt idx="3">
                  <c:v>71.446615608358542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59808"/>
        <c:axId val="235962368"/>
      </c:lineChart>
      <c:catAx>
        <c:axId val="235959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962368"/>
        <c:crosses val="autoZero"/>
        <c:auto val="1"/>
        <c:lblAlgn val="ctr"/>
        <c:lblOffset val="100"/>
        <c:noMultiLvlLbl val="0"/>
      </c:catAx>
      <c:valAx>
        <c:axId val="23596236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9598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CMSCalculation!$E$22:$E$25</c:f>
              <c:numCache>
                <c:formatCode>General</c:formatCode>
                <c:ptCount val="4"/>
                <c:pt idx="0">
                  <c:v>146.5</c:v>
                </c:pt>
                <c:pt idx="1">
                  <c:v>105.5</c:v>
                </c:pt>
                <c:pt idx="2">
                  <c:v>79</c:v>
                </c:pt>
                <c:pt idx="3">
                  <c:v>66.8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CMSCalculation!$F$22:$F$25</c:f>
              <c:numCache>
                <c:formatCode>General</c:formatCode>
                <c:ptCount val="4"/>
                <c:pt idx="0">
                  <c:v>166.8</c:v>
                </c:pt>
                <c:pt idx="1">
                  <c:v>125.7</c:v>
                </c:pt>
                <c:pt idx="2">
                  <c:v>99.2</c:v>
                </c:pt>
                <c:pt idx="3">
                  <c:v>87.1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CMSCalculation!$AV$5</c:f>
              <c:strCache>
                <c:ptCount val="1"/>
                <c:pt idx="0">
                  <c:v>normal, HW yc model (a=10%)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CMSCalculation!$AV$22:$AV$25</c:f>
              <c:numCache>
                <c:formatCode>#,#00</c:formatCode>
                <c:ptCount val="4"/>
                <c:pt idx="0">
                  <c:v>161.00823963174412</c:v>
                </c:pt>
                <c:pt idx="1">
                  <c:v>123.0962784441753</c:v>
                </c:pt>
                <c:pt idx="2">
                  <c:v>98.415427074709001</c:v>
                </c:pt>
                <c:pt idx="3">
                  <c:v>88.456005849236561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93344"/>
        <c:axId val="236065536"/>
      </c:lineChart>
      <c:catAx>
        <c:axId val="23599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6065536"/>
        <c:crosses val="autoZero"/>
        <c:auto val="1"/>
        <c:lblAlgn val="ctr"/>
        <c:lblOffset val="100"/>
        <c:noMultiLvlLbl val="0"/>
      </c:catAx>
      <c:valAx>
        <c:axId val="23606553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9933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30Y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CMSCalculation!$E$27:$E$30</c:f>
              <c:numCache>
                <c:formatCode>General</c:formatCode>
                <c:ptCount val="4"/>
                <c:pt idx="0">
                  <c:v>147.30000000000001</c:v>
                </c:pt>
                <c:pt idx="1">
                  <c:v>105.2</c:v>
                </c:pt>
                <c:pt idx="2">
                  <c:v>79.5</c:v>
                </c:pt>
                <c:pt idx="3">
                  <c:v>65.900000000000006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CMSCalculation!$F$27:$F$30</c:f>
              <c:numCache>
                <c:formatCode>General</c:formatCode>
                <c:ptCount val="4"/>
                <c:pt idx="0">
                  <c:v>172.6</c:v>
                </c:pt>
                <c:pt idx="1">
                  <c:v>130.4</c:v>
                </c:pt>
                <c:pt idx="2">
                  <c:v>104.8</c:v>
                </c:pt>
                <c:pt idx="3">
                  <c:v>96.3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CMSCalculation!$AV$5</c:f>
              <c:strCache>
                <c:ptCount val="1"/>
                <c:pt idx="0">
                  <c:v>normal, HW yc model (a=10%)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CMSCalculation!$AV$27:$AV$30</c:f>
              <c:numCache>
                <c:formatCode>#,#00</c:formatCode>
                <c:ptCount val="4"/>
                <c:pt idx="0">
                  <c:v>167.23163651140635</c:v>
                </c:pt>
                <c:pt idx="1">
                  <c:v>131.54874952813225</c:v>
                </c:pt>
                <c:pt idx="2">
                  <c:v>109.43878902497329</c:v>
                </c:pt>
                <c:pt idx="3">
                  <c:v>100.96648770918463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099840"/>
        <c:axId val="236118784"/>
      </c:lineChart>
      <c:catAx>
        <c:axId val="236099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6118784"/>
        <c:crosses val="autoZero"/>
        <c:auto val="1"/>
        <c:lblAlgn val="ctr"/>
        <c:lblOffset val="100"/>
        <c:noMultiLvlLbl val="0"/>
      </c:catAx>
      <c:valAx>
        <c:axId val="236118784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60998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CMSCalculation!$E$7:$E$10</c:f>
              <c:numCache>
                <c:formatCode>General</c:formatCode>
                <c:ptCount val="4"/>
                <c:pt idx="0">
                  <c:v>29.1</c:v>
                </c:pt>
                <c:pt idx="1">
                  <c:v>29.5</c:v>
                </c:pt>
                <c:pt idx="2">
                  <c:v>24.8</c:v>
                </c:pt>
                <c:pt idx="3">
                  <c:v>21.1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CMSCalculation!$F$7:$F$10</c:f>
              <c:numCache>
                <c:formatCode>General</c:formatCode>
                <c:ptCount val="4"/>
                <c:pt idx="0">
                  <c:v>35.1</c:v>
                </c:pt>
                <c:pt idx="1">
                  <c:v>35.6</c:v>
                </c:pt>
                <c:pt idx="2">
                  <c:v>30.8</c:v>
                </c:pt>
                <c:pt idx="3">
                  <c:v>27.2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CMSCalculation!$AW$5</c:f>
              <c:strCache>
                <c:ptCount val="1"/>
                <c:pt idx="0">
                  <c:v>normal, affine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CMSCalculation!$AW$7:$AW$10</c:f>
              <c:numCache>
                <c:formatCode>#,#00</c:formatCode>
                <c:ptCount val="4"/>
                <c:pt idx="0">
                  <c:v>31.874545747873842</c:v>
                </c:pt>
                <c:pt idx="1">
                  <c:v>32.237982941719324</c:v>
                </c:pt>
                <c:pt idx="2">
                  <c:v>28.013340791064831</c:v>
                </c:pt>
                <c:pt idx="3">
                  <c:v>24.943733410720579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157184"/>
        <c:axId val="236172032"/>
      </c:lineChart>
      <c:catAx>
        <c:axId val="23615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6172032"/>
        <c:crosses val="autoZero"/>
        <c:auto val="1"/>
        <c:lblAlgn val="ctr"/>
        <c:lblOffset val="100"/>
        <c:noMultiLvlLbl val="0"/>
      </c:catAx>
      <c:valAx>
        <c:axId val="23617203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615718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9"/>
          <c:h val="8.3622683621989033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5Y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CMSCalculation!$E$12:$E$15</c:f>
              <c:numCache>
                <c:formatCode>General</c:formatCode>
                <c:ptCount val="4"/>
                <c:pt idx="0">
                  <c:v>69.5</c:v>
                </c:pt>
                <c:pt idx="1">
                  <c:v>59.9</c:v>
                </c:pt>
                <c:pt idx="2">
                  <c:v>47.2</c:v>
                </c:pt>
                <c:pt idx="3">
                  <c:v>38.799999999999997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CMSCalculation!$F$12:$F$15</c:f>
              <c:numCache>
                <c:formatCode>General</c:formatCode>
                <c:ptCount val="4"/>
                <c:pt idx="0">
                  <c:v>78.599999999999994</c:v>
                </c:pt>
                <c:pt idx="1">
                  <c:v>69</c:v>
                </c:pt>
                <c:pt idx="2">
                  <c:v>56.3</c:v>
                </c:pt>
                <c:pt idx="3">
                  <c:v>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CMSCalculation!$AW$5</c:f>
              <c:strCache>
                <c:ptCount val="1"/>
                <c:pt idx="0">
                  <c:v>normal, affine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CMSCalculation!$AW$12:$AW$15</c:f>
              <c:numCache>
                <c:formatCode>#,#00</c:formatCode>
                <c:ptCount val="4"/>
                <c:pt idx="0">
                  <c:v>73.87739068884818</c:v>
                </c:pt>
                <c:pt idx="1">
                  <c:v>65.184902167094975</c:v>
                </c:pt>
                <c:pt idx="2">
                  <c:v>53.256931146787672</c:v>
                </c:pt>
                <c:pt idx="3">
                  <c:v>45.2999027577603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337408"/>
        <c:axId val="236339968"/>
      </c:lineChart>
      <c:catAx>
        <c:axId val="236337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6339968"/>
        <c:crosses val="autoZero"/>
        <c:auto val="1"/>
        <c:lblAlgn val="ctr"/>
        <c:lblOffset val="100"/>
        <c:noMultiLvlLbl val="0"/>
      </c:catAx>
      <c:valAx>
        <c:axId val="23633996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63374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10Y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CMSCalculation!$E$17:$E$20</c:f>
              <c:numCache>
                <c:formatCode>General</c:formatCode>
                <c:ptCount val="4"/>
                <c:pt idx="0">
                  <c:v>122</c:v>
                </c:pt>
                <c:pt idx="1">
                  <c:v>95.1</c:v>
                </c:pt>
                <c:pt idx="2">
                  <c:v>72.2</c:v>
                </c:pt>
                <c:pt idx="3">
                  <c:v>54.4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CMSCalculation!$F$17:$F$20</c:f>
              <c:numCache>
                <c:formatCode>General</c:formatCode>
                <c:ptCount val="4"/>
                <c:pt idx="0">
                  <c:v>132.30000000000001</c:v>
                </c:pt>
                <c:pt idx="1">
                  <c:v>105.3</c:v>
                </c:pt>
                <c:pt idx="2">
                  <c:v>82.4</c:v>
                </c:pt>
                <c:pt idx="3">
                  <c:v>74.599999999999994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CMSCalculation!$AW$5</c:f>
              <c:strCache>
                <c:ptCount val="1"/>
                <c:pt idx="0">
                  <c:v>normal, affine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CMSCalculation!$AW$17:$AW$20</c:f>
              <c:numCache>
                <c:formatCode>#,#00</c:formatCode>
                <c:ptCount val="4"/>
                <c:pt idx="0">
                  <c:v>126.36819525716122</c:v>
                </c:pt>
                <c:pt idx="1">
                  <c:v>100.92039329892032</c:v>
                </c:pt>
                <c:pt idx="2">
                  <c:v>78.91569263662312</c:v>
                </c:pt>
                <c:pt idx="3">
                  <c:v>66.617390796378217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370176"/>
        <c:axId val="236385024"/>
      </c:lineChart>
      <c:catAx>
        <c:axId val="236370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6385024"/>
        <c:crosses val="autoZero"/>
        <c:auto val="1"/>
        <c:lblAlgn val="ctr"/>
        <c:lblOffset val="100"/>
        <c:noMultiLvlLbl val="0"/>
      </c:catAx>
      <c:valAx>
        <c:axId val="236385024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6370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CMSCalculation!$E$22:$E$25</c:f>
              <c:numCache>
                <c:formatCode>General</c:formatCode>
                <c:ptCount val="4"/>
                <c:pt idx="0">
                  <c:v>146.5</c:v>
                </c:pt>
                <c:pt idx="1">
                  <c:v>105.5</c:v>
                </c:pt>
                <c:pt idx="2">
                  <c:v>79</c:v>
                </c:pt>
                <c:pt idx="3">
                  <c:v>66.8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CMSCalculation!$F$22:$F$25</c:f>
              <c:numCache>
                <c:formatCode>General</c:formatCode>
                <c:ptCount val="4"/>
                <c:pt idx="0">
                  <c:v>166.8</c:v>
                </c:pt>
                <c:pt idx="1">
                  <c:v>125.7</c:v>
                </c:pt>
                <c:pt idx="2">
                  <c:v>99.2</c:v>
                </c:pt>
                <c:pt idx="3">
                  <c:v>87.1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CMSCalculation!$AW$5</c:f>
              <c:strCache>
                <c:ptCount val="1"/>
                <c:pt idx="0">
                  <c:v>normal, affine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CMSCalculation!$AW$22:$AW$25</c:f>
              <c:numCache>
                <c:formatCode>#,#00</c:formatCode>
                <c:ptCount val="4"/>
                <c:pt idx="0">
                  <c:v>156.48295179153996</c:v>
                </c:pt>
                <c:pt idx="1">
                  <c:v>114.60381498678251</c:v>
                </c:pt>
                <c:pt idx="2">
                  <c:v>86.913167554318704</c:v>
                </c:pt>
                <c:pt idx="3">
                  <c:v>74.895284514393538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67360"/>
        <c:axId val="235569920"/>
      </c:lineChart>
      <c:catAx>
        <c:axId val="235567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569920"/>
        <c:crosses val="autoZero"/>
        <c:auto val="1"/>
        <c:lblAlgn val="ctr"/>
        <c:lblOffset val="100"/>
        <c:noMultiLvlLbl val="0"/>
      </c:catAx>
      <c:valAx>
        <c:axId val="23556992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673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30Y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CMSCalculation!$E$27:$E$30</c:f>
              <c:numCache>
                <c:formatCode>General</c:formatCode>
                <c:ptCount val="4"/>
                <c:pt idx="0">
                  <c:v>147.30000000000001</c:v>
                </c:pt>
                <c:pt idx="1">
                  <c:v>105.2</c:v>
                </c:pt>
                <c:pt idx="2">
                  <c:v>79.5</c:v>
                </c:pt>
                <c:pt idx="3">
                  <c:v>65.900000000000006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CMSCalculation!$F$27:$F$30</c:f>
              <c:numCache>
                <c:formatCode>General</c:formatCode>
                <c:ptCount val="4"/>
                <c:pt idx="0">
                  <c:v>172.6</c:v>
                </c:pt>
                <c:pt idx="1">
                  <c:v>130.4</c:v>
                </c:pt>
                <c:pt idx="2">
                  <c:v>104.8</c:v>
                </c:pt>
                <c:pt idx="3">
                  <c:v>96.3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CMSCalculation!$AW$5</c:f>
              <c:strCache>
                <c:ptCount val="1"/>
                <c:pt idx="0">
                  <c:v>normal, affine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CMSCalculation!$AW$27:$AW$30</c:f>
              <c:numCache>
                <c:formatCode>#,#00</c:formatCode>
                <c:ptCount val="4"/>
                <c:pt idx="0">
                  <c:v>158.67505151420417</c:v>
                </c:pt>
                <c:pt idx="1">
                  <c:v>116.32985138487847</c:v>
                </c:pt>
                <c:pt idx="2">
                  <c:v>89.289227483968531</c:v>
                </c:pt>
                <c:pt idx="3">
                  <c:v>77.51454221882544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616896"/>
        <c:axId val="235623552"/>
      </c:lineChart>
      <c:catAx>
        <c:axId val="23561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5623552"/>
        <c:crosses val="autoZero"/>
        <c:auto val="1"/>
        <c:lblAlgn val="ctr"/>
        <c:lblOffset val="100"/>
        <c:noMultiLvlLbl val="0"/>
      </c:catAx>
      <c:valAx>
        <c:axId val="23562355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61689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20" Type="http://schemas.openxmlformats.org/officeDocument/2006/relationships/chart" Target="../charts/chart28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19" Type="http://schemas.openxmlformats.org/officeDocument/2006/relationships/chart" Target="../charts/chart27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110</xdr:col>
      <xdr:colOff>277091</xdr:colOff>
      <xdr:row>1</xdr:row>
      <xdr:rowOff>47625</xdr:rowOff>
    </xdr:from>
    <xdr:to>
      <xdr:col>121</xdr:col>
      <xdr:colOff>609600</xdr:colOff>
      <xdr:row>23</xdr:row>
      <xdr:rowOff>6061</xdr:rowOff>
    </xdr:to>
    <xdr:graphicFrame macro="">
      <xdr:nvGraphicFramePr>
        <xdr:cNvPr id="3757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109</xdr:col>
      <xdr:colOff>492948</xdr:colOff>
      <xdr:row>38</xdr:row>
      <xdr:rowOff>144357</xdr:rowOff>
    </xdr:from>
    <xdr:to>
      <xdr:col>121</xdr:col>
      <xdr:colOff>484909</xdr:colOff>
      <xdr:row>64</xdr:row>
      <xdr:rowOff>138545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127</xdr:col>
      <xdr:colOff>523875</xdr:colOff>
      <xdr:row>24</xdr:row>
      <xdr:rowOff>104775</xdr:rowOff>
    </xdr:from>
    <xdr:to>
      <xdr:col>135</xdr:col>
      <xdr:colOff>197303</xdr:colOff>
      <xdr:row>41</xdr:row>
      <xdr:rowOff>31296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127</xdr:col>
      <xdr:colOff>605518</xdr:colOff>
      <xdr:row>44</xdr:row>
      <xdr:rowOff>9524</xdr:rowOff>
    </xdr:from>
    <xdr:to>
      <xdr:col>135</xdr:col>
      <xdr:colOff>278946</xdr:colOff>
      <xdr:row>60</xdr:row>
      <xdr:rowOff>112938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30925</xdr:colOff>
      <xdr:row>34</xdr:row>
      <xdr:rowOff>37358</xdr:rowOff>
    </xdr:from>
    <xdr:to>
      <xdr:col>12</xdr:col>
      <xdr:colOff>699175</xdr:colOff>
      <xdr:row>47</xdr:row>
      <xdr:rowOff>67251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17318</xdr:colOff>
      <xdr:row>34</xdr:row>
      <xdr:rowOff>34635</xdr:rowOff>
    </xdr:from>
    <xdr:to>
      <xdr:col>18</xdr:col>
      <xdr:colOff>46032</xdr:colOff>
      <xdr:row>47</xdr:row>
      <xdr:rowOff>64528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38</xdr:row>
      <xdr:rowOff>2722</xdr:rowOff>
    </xdr:from>
    <xdr:to>
      <xdr:col>14</xdr:col>
      <xdr:colOff>253480</xdr:colOff>
      <xdr:row>53</xdr:row>
      <xdr:rowOff>25222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286987</xdr:colOff>
      <xdr:row>37</xdr:row>
      <xdr:rowOff>190499</xdr:rowOff>
    </xdr:from>
    <xdr:to>
      <xdr:col>18</xdr:col>
      <xdr:colOff>601451</xdr:colOff>
      <xdr:row>53</xdr:row>
      <xdr:rowOff>22499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604837</xdr:colOff>
      <xdr:row>2</xdr:row>
      <xdr:rowOff>161925</xdr:rowOff>
    </xdr:from>
    <xdr:to>
      <xdr:col>60</xdr:col>
      <xdr:colOff>48037</xdr:colOff>
      <xdr:row>18</xdr:row>
      <xdr:rowOff>62550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0</xdr:colOff>
      <xdr:row>20</xdr:row>
      <xdr:rowOff>0</xdr:rowOff>
    </xdr:from>
    <xdr:to>
      <xdr:col>60</xdr:col>
      <xdr:colOff>48318</xdr:colOff>
      <xdr:row>35</xdr:row>
      <xdr:rowOff>91125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53</xdr:col>
      <xdr:colOff>0</xdr:colOff>
      <xdr:row>37</xdr:row>
      <xdr:rowOff>0</xdr:rowOff>
    </xdr:from>
    <xdr:to>
      <xdr:col>60</xdr:col>
      <xdr:colOff>48318</xdr:colOff>
      <xdr:row>52</xdr:row>
      <xdr:rowOff>91125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0</xdr:colOff>
      <xdr:row>54</xdr:row>
      <xdr:rowOff>0</xdr:rowOff>
    </xdr:from>
    <xdr:to>
      <xdr:col>60</xdr:col>
      <xdr:colOff>48318</xdr:colOff>
      <xdr:row>69</xdr:row>
      <xdr:rowOff>91125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53</xdr:col>
      <xdr:colOff>0</xdr:colOff>
      <xdr:row>71</xdr:row>
      <xdr:rowOff>0</xdr:rowOff>
    </xdr:from>
    <xdr:to>
      <xdr:col>60</xdr:col>
      <xdr:colOff>48318</xdr:colOff>
      <xdr:row>86</xdr:row>
      <xdr:rowOff>91125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61</xdr:col>
      <xdr:colOff>0</xdr:colOff>
      <xdr:row>3</xdr:row>
      <xdr:rowOff>0</xdr:rowOff>
    </xdr:from>
    <xdr:to>
      <xdr:col>68</xdr:col>
      <xdr:colOff>62325</xdr:colOff>
      <xdr:row>18</xdr:row>
      <xdr:rowOff>91125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14288</xdr:colOff>
      <xdr:row>20</xdr:row>
      <xdr:rowOff>28575</xdr:rowOff>
    </xdr:from>
    <xdr:to>
      <xdr:col>68</xdr:col>
      <xdr:colOff>62606</xdr:colOff>
      <xdr:row>35</xdr:row>
      <xdr:rowOff>119700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61</xdr:col>
      <xdr:colOff>14288</xdr:colOff>
      <xdr:row>37</xdr:row>
      <xdr:rowOff>28575</xdr:rowOff>
    </xdr:from>
    <xdr:to>
      <xdr:col>68</xdr:col>
      <xdr:colOff>62606</xdr:colOff>
      <xdr:row>52</xdr:row>
      <xdr:rowOff>119700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61</xdr:col>
      <xdr:colOff>14288</xdr:colOff>
      <xdr:row>54</xdr:row>
      <xdr:rowOff>28575</xdr:rowOff>
    </xdr:from>
    <xdr:to>
      <xdr:col>68</xdr:col>
      <xdr:colOff>62606</xdr:colOff>
      <xdr:row>69</xdr:row>
      <xdr:rowOff>119700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14288</xdr:colOff>
      <xdr:row>71</xdr:row>
      <xdr:rowOff>28575</xdr:rowOff>
    </xdr:from>
    <xdr:to>
      <xdr:col>68</xdr:col>
      <xdr:colOff>62606</xdr:colOff>
      <xdr:row>86</xdr:row>
      <xdr:rowOff>119700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69</xdr:col>
      <xdr:colOff>0</xdr:colOff>
      <xdr:row>3</xdr:row>
      <xdr:rowOff>0</xdr:rowOff>
    </xdr:from>
    <xdr:to>
      <xdr:col>76</xdr:col>
      <xdr:colOff>62325</xdr:colOff>
      <xdr:row>18</xdr:row>
      <xdr:rowOff>91125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69</xdr:col>
      <xdr:colOff>14288</xdr:colOff>
      <xdr:row>20</xdr:row>
      <xdr:rowOff>28575</xdr:rowOff>
    </xdr:from>
    <xdr:to>
      <xdr:col>76</xdr:col>
      <xdr:colOff>62606</xdr:colOff>
      <xdr:row>35</xdr:row>
      <xdr:rowOff>119700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69</xdr:col>
      <xdr:colOff>14288</xdr:colOff>
      <xdr:row>37</xdr:row>
      <xdr:rowOff>28575</xdr:rowOff>
    </xdr:from>
    <xdr:to>
      <xdr:col>76</xdr:col>
      <xdr:colOff>62606</xdr:colOff>
      <xdr:row>52</xdr:row>
      <xdr:rowOff>119700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69</xdr:col>
      <xdr:colOff>14288</xdr:colOff>
      <xdr:row>54</xdr:row>
      <xdr:rowOff>28575</xdr:rowOff>
    </xdr:from>
    <xdr:to>
      <xdr:col>76</xdr:col>
      <xdr:colOff>62606</xdr:colOff>
      <xdr:row>69</xdr:row>
      <xdr:rowOff>119700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69</xdr:col>
      <xdr:colOff>14288</xdr:colOff>
      <xdr:row>71</xdr:row>
      <xdr:rowOff>28575</xdr:rowOff>
    </xdr:from>
    <xdr:to>
      <xdr:col>76</xdr:col>
      <xdr:colOff>62606</xdr:colOff>
      <xdr:row>86</xdr:row>
      <xdr:rowOff>119700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77</xdr:col>
      <xdr:colOff>0</xdr:colOff>
      <xdr:row>3</xdr:row>
      <xdr:rowOff>0</xdr:rowOff>
    </xdr:from>
    <xdr:to>
      <xdr:col>84</xdr:col>
      <xdr:colOff>62325</xdr:colOff>
      <xdr:row>18</xdr:row>
      <xdr:rowOff>91125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77</xdr:col>
      <xdr:colOff>14288</xdr:colOff>
      <xdr:row>20</xdr:row>
      <xdr:rowOff>28575</xdr:rowOff>
    </xdr:from>
    <xdr:to>
      <xdr:col>84</xdr:col>
      <xdr:colOff>62606</xdr:colOff>
      <xdr:row>35</xdr:row>
      <xdr:rowOff>119700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77</xdr:col>
      <xdr:colOff>14288</xdr:colOff>
      <xdr:row>37</xdr:row>
      <xdr:rowOff>28575</xdr:rowOff>
    </xdr:from>
    <xdr:to>
      <xdr:col>84</xdr:col>
      <xdr:colOff>62606</xdr:colOff>
      <xdr:row>52</xdr:row>
      <xdr:rowOff>119700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77</xdr:col>
      <xdr:colOff>14288</xdr:colOff>
      <xdr:row>54</xdr:row>
      <xdr:rowOff>28575</xdr:rowOff>
    </xdr:from>
    <xdr:to>
      <xdr:col>84</xdr:col>
      <xdr:colOff>62606</xdr:colOff>
      <xdr:row>69</xdr:row>
      <xdr:rowOff>119700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77</xdr:col>
      <xdr:colOff>14288</xdr:colOff>
      <xdr:row>71</xdr:row>
      <xdr:rowOff>28575</xdr:rowOff>
    </xdr:from>
    <xdr:to>
      <xdr:col>84</xdr:col>
      <xdr:colOff>62606</xdr:colOff>
      <xdr:row>86</xdr:row>
      <xdr:rowOff>119700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1"/>
    <outlinePr summaryBelow="0" summaryRight="0"/>
  </sheetPr>
  <dimension ref="B2:X198"/>
  <sheetViews>
    <sheetView showGridLines="0" topLeftCell="K1" zoomScale="70" zoomScaleNormal="70" workbookViewId="0">
      <pane ySplit="2" topLeftCell="A123" activePane="bottomLeft" state="frozen"/>
      <selection activeCell="R65" sqref="R65"/>
      <selection pane="bottomLeft" activeCell="W152" sqref="W152"/>
    </sheetView>
  </sheetViews>
  <sheetFormatPr defaultColWidth="11.42578125" defaultRowHeight="12.75" outlineLevelRow="2"/>
  <cols>
    <col min="1" max="1" width="6.5703125" style="295" customWidth="1"/>
    <col min="2" max="3" width="11.42578125" style="334"/>
    <col min="4" max="4" width="14.28515625" style="295" customWidth="1"/>
    <col min="5" max="5" width="24.140625" style="295" customWidth="1"/>
    <col min="6" max="6" width="14" style="295" bestFit="1" customWidth="1"/>
    <col min="7" max="7" width="15" style="334" bestFit="1" customWidth="1"/>
    <col min="8" max="8" width="25.5703125" style="295" bestFit="1" customWidth="1"/>
    <col min="9" max="9" width="11.42578125" style="295"/>
    <col min="10" max="10" width="19.85546875" style="295" customWidth="1"/>
    <col min="11" max="11" width="11.85546875" style="334" bestFit="1" customWidth="1"/>
    <col min="12" max="12" width="12.140625" style="334" bestFit="1" customWidth="1"/>
    <col min="13" max="13" width="10.85546875" style="334" customWidth="1"/>
    <col min="14" max="14" width="15.85546875" style="295" customWidth="1"/>
    <col min="15" max="15" width="12.5703125" style="295" bestFit="1" customWidth="1"/>
    <col min="16" max="16" width="30" style="295" customWidth="1"/>
    <col min="17" max="17" width="12.5703125" style="295" customWidth="1"/>
    <col min="18" max="18" width="17.5703125" style="295" customWidth="1"/>
    <col min="19" max="19" width="11.85546875" style="295" customWidth="1"/>
    <col min="20" max="20" width="11.42578125" style="293" customWidth="1"/>
    <col min="21" max="21" width="33.5703125" style="295" bestFit="1" customWidth="1"/>
    <col min="22" max="22" width="18.85546875" style="295" bestFit="1" customWidth="1"/>
    <col min="23" max="23" width="22.42578125" style="295" bestFit="1" customWidth="1"/>
    <col min="24" max="24" width="18.85546875" style="295" bestFit="1" customWidth="1"/>
    <col min="25" max="16384" width="11.42578125" style="295"/>
  </cols>
  <sheetData>
    <row r="2" spans="2:24">
      <c r="B2" s="290" t="s">
        <v>357</v>
      </c>
      <c r="C2" s="291" t="s">
        <v>358</v>
      </c>
      <c r="D2" s="291" t="s">
        <v>359</v>
      </c>
      <c r="E2" s="291" t="s">
        <v>360</v>
      </c>
      <c r="F2" s="291" t="s">
        <v>361</v>
      </c>
      <c r="G2" s="291" t="s">
        <v>362</v>
      </c>
      <c r="H2" s="291" t="s">
        <v>291</v>
      </c>
      <c r="I2" s="291" t="s">
        <v>363</v>
      </c>
      <c r="J2" s="291" t="s">
        <v>364</v>
      </c>
      <c r="K2" s="291" t="s">
        <v>365</v>
      </c>
      <c r="L2" s="291" t="s">
        <v>366</v>
      </c>
      <c r="M2" s="291" t="s">
        <v>367</v>
      </c>
      <c r="N2" s="291" t="s">
        <v>368</v>
      </c>
      <c r="O2" s="291" t="s">
        <v>369</v>
      </c>
      <c r="P2" s="292" t="s">
        <v>370</v>
      </c>
      <c r="Q2" s="292" t="s">
        <v>371</v>
      </c>
      <c r="R2" s="292" t="s">
        <v>372</v>
      </c>
      <c r="S2" s="292" t="s">
        <v>373</v>
      </c>
      <c r="U2" s="294" t="s">
        <v>370</v>
      </c>
      <c r="V2" s="294" t="s">
        <v>371</v>
      </c>
      <c r="W2" s="294" t="s">
        <v>372</v>
      </c>
      <c r="X2" s="294" t="s">
        <v>373</v>
      </c>
    </row>
    <row r="3" spans="2:24">
      <c r="B3" s="291" t="s">
        <v>374</v>
      </c>
      <c r="C3" s="296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8"/>
      <c r="U3" s="297"/>
      <c r="V3" s="297"/>
      <c r="W3" s="297"/>
      <c r="X3" s="298"/>
    </row>
    <row r="4" spans="2:24" outlineLevel="1">
      <c r="B4" s="299" t="s">
        <v>374</v>
      </c>
      <c r="C4" s="300" t="s">
        <v>375</v>
      </c>
      <c r="D4" s="301"/>
      <c r="E4" s="302"/>
      <c r="F4" s="302"/>
      <c r="G4" s="303"/>
      <c r="H4" s="302"/>
      <c r="I4" s="302"/>
      <c r="J4" s="302"/>
      <c r="K4" s="303"/>
      <c r="L4" s="303"/>
      <c r="M4" s="303"/>
      <c r="N4" s="304"/>
      <c r="O4" s="304"/>
      <c r="P4" s="304"/>
      <c r="Q4" s="304"/>
      <c r="R4" s="304"/>
      <c r="S4" s="305"/>
      <c r="U4" s="304"/>
      <c r="V4" s="304"/>
      <c r="W4" s="304"/>
      <c r="X4" s="305"/>
    </row>
    <row r="5" spans="2:24" outlineLevel="1">
      <c r="B5" s="299" t="s">
        <v>374</v>
      </c>
      <c r="C5" s="299" t="s">
        <v>375</v>
      </c>
      <c r="D5" s="306" t="s">
        <v>376</v>
      </c>
      <c r="E5" s="307" t="s">
        <v>377</v>
      </c>
      <c r="F5" s="307" t="s">
        <v>378</v>
      </c>
      <c r="G5" s="308"/>
      <c r="H5" s="302"/>
      <c r="I5" s="302"/>
      <c r="J5" s="302"/>
      <c r="K5" s="303"/>
      <c r="L5" s="303"/>
      <c r="M5" s="303"/>
      <c r="N5" s="309" t="s">
        <v>379</v>
      </c>
      <c r="O5" s="304"/>
      <c r="P5" s="304"/>
      <c r="Q5" s="304"/>
      <c r="R5" s="304"/>
      <c r="S5" s="305"/>
      <c r="U5" s="304"/>
      <c r="V5" s="304"/>
      <c r="W5" s="304"/>
      <c r="X5" s="305"/>
    </row>
    <row r="6" spans="2:24" ht="12.75" customHeight="1" outlineLevel="2">
      <c r="B6" s="299" t="s">
        <v>374</v>
      </c>
      <c r="C6" s="299" t="s">
        <v>375</v>
      </c>
      <c r="D6" s="307" t="s">
        <v>376</v>
      </c>
      <c r="E6" s="307" t="s">
        <v>377</v>
      </c>
      <c r="F6" s="307" t="s">
        <v>378</v>
      </c>
      <c r="G6" s="299" t="s">
        <v>380</v>
      </c>
      <c r="H6" s="307" t="s">
        <v>381</v>
      </c>
      <c r="I6" s="307" t="s">
        <v>382</v>
      </c>
      <c r="J6" s="307" t="s">
        <v>376</v>
      </c>
      <c r="K6" s="299"/>
      <c r="L6" s="299" t="s">
        <v>383</v>
      </c>
      <c r="M6" s="299" t="s">
        <v>371</v>
      </c>
      <c r="N6" s="310"/>
      <c r="O6" s="310"/>
      <c r="P6" s="310" t="e">
        <f ca="1">_xll.BDP(J6&amp;" "&amp;K6&amp;" "&amp;L6,P$2)</f>
        <v>#NAME?</v>
      </c>
      <c r="Q6" s="310" t="e">
        <f ca="1">_xll.BDP(J6&amp;" "&amp;K6&amp;" "&amp;L6,Q$2)</f>
        <v>#NAME?</v>
      </c>
      <c r="R6" s="310" t="e">
        <f ca="1">_xll.BDP(J6&amp;" "&amp;K6&amp;" "&amp;L6,R$2)</f>
        <v>#NAME?</v>
      </c>
      <c r="S6" s="310" t="e">
        <f ca="1">_xll.BDP(J6&amp;" "&amp;K6&amp;" "&amp;L6,S$2)</f>
        <v>#NAME?</v>
      </c>
      <c r="U6" s="310" t="s">
        <v>185</v>
      </c>
      <c r="V6" s="311">
        <v>-0.13300000000000001</v>
      </c>
      <c r="W6" s="310" t="s">
        <v>384</v>
      </c>
      <c r="X6" s="310" t="s">
        <v>384</v>
      </c>
    </row>
    <row r="7" spans="2:24" ht="12.75" customHeight="1" outlineLevel="2">
      <c r="B7" s="299" t="s">
        <v>374</v>
      </c>
      <c r="C7" s="299" t="s">
        <v>375</v>
      </c>
      <c r="D7" s="307" t="s">
        <v>376</v>
      </c>
      <c r="E7" s="307" t="s">
        <v>377</v>
      </c>
      <c r="F7" s="307" t="s">
        <v>378</v>
      </c>
      <c r="G7" s="312" t="s">
        <v>385</v>
      </c>
      <c r="H7" s="313" t="s">
        <v>386</v>
      </c>
      <c r="I7" s="313" t="s">
        <v>382</v>
      </c>
      <c r="J7" s="313" t="s">
        <v>387</v>
      </c>
      <c r="K7" s="312" t="s">
        <v>388</v>
      </c>
      <c r="L7" s="312" t="s">
        <v>389</v>
      </c>
      <c r="M7" s="312" t="s">
        <v>371</v>
      </c>
      <c r="N7" s="313"/>
      <c r="O7" s="313"/>
      <c r="P7" s="313" t="e">
        <f ca="1">_xll.BDP(J7&amp;" "&amp;K7&amp;" "&amp;L7,P$2)</f>
        <v>#NAME?</v>
      </c>
      <c r="Q7" s="313" t="e">
        <f ca="1">_xll.BDP(J7&amp;" "&amp;K7&amp;" "&amp;L7,Q$2)</f>
        <v>#NAME?</v>
      </c>
      <c r="R7" s="313" t="e">
        <f ca="1">_xll.BDP(J7&amp;" "&amp;K7&amp;" "&amp;L7,R$2)</f>
        <v>#NAME?</v>
      </c>
      <c r="S7" s="313" t="e">
        <f ca="1">_xll.BDP(J7&amp;" "&amp;K7&amp;" "&amp;L7,S$2)</f>
        <v>#NAME?</v>
      </c>
      <c r="U7" s="313" t="s">
        <v>186</v>
      </c>
      <c r="V7" s="313">
        <v>-0.128</v>
      </c>
      <c r="W7" s="313" t="s">
        <v>390</v>
      </c>
      <c r="X7" s="313" t="s">
        <v>391</v>
      </c>
    </row>
    <row r="8" spans="2:24" ht="12.75" customHeight="1" outlineLevel="2">
      <c r="B8" s="299" t="s">
        <v>374</v>
      </c>
      <c r="C8" s="299" t="s">
        <v>375</v>
      </c>
      <c r="D8" s="307" t="s">
        <v>376</v>
      </c>
      <c r="E8" s="307" t="s">
        <v>377</v>
      </c>
      <c r="F8" s="307" t="s">
        <v>378</v>
      </c>
      <c r="G8" s="312" t="s">
        <v>392</v>
      </c>
      <c r="H8" s="313" t="s">
        <v>386</v>
      </c>
      <c r="I8" s="313" t="s">
        <v>382</v>
      </c>
      <c r="J8" s="313" t="s">
        <v>393</v>
      </c>
      <c r="K8" s="312" t="s">
        <v>388</v>
      </c>
      <c r="L8" s="312" t="s">
        <v>389</v>
      </c>
      <c r="M8" s="312" t="s">
        <v>371</v>
      </c>
      <c r="N8" s="313"/>
      <c r="O8" s="313"/>
      <c r="P8" s="313" t="e">
        <f ca="1">_xll.BDP(J8&amp;" "&amp;K8&amp;" "&amp;L8,P$2)</f>
        <v>#NAME?</v>
      </c>
      <c r="Q8" s="313" t="e">
        <f ca="1">_xll.BDP(J8&amp;" "&amp;K8&amp;" "&amp;L8,Q$2)</f>
        <v>#NAME?</v>
      </c>
      <c r="R8" s="313" t="e">
        <f ca="1">_xll.BDP(J8&amp;" "&amp;K8&amp;" "&amp;L8,R$2)</f>
        <v>#NAME?</v>
      </c>
      <c r="S8" s="313" t="e">
        <f ca="1">_xll.BDP(J8&amp;" "&amp;K8&amp;" "&amp;L8,S$2)</f>
        <v>#NAME?</v>
      </c>
      <c r="U8" s="313" t="s">
        <v>187</v>
      </c>
      <c r="V8" s="313">
        <v>-0.129</v>
      </c>
      <c r="W8" s="313" t="s">
        <v>390</v>
      </c>
      <c r="X8" s="313" t="s">
        <v>391</v>
      </c>
    </row>
    <row r="9" spans="2:24" ht="12.75" customHeight="1" outlineLevel="2">
      <c r="B9" s="299" t="s">
        <v>374</v>
      </c>
      <c r="C9" s="299" t="s">
        <v>375</v>
      </c>
      <c r="D9" s="307" t="s">
        <v>376</v>
      </c>
      <c r="E9" s="307" t="s">
        <v>377</v>
      </c>
      <c r="F9" s="307" t="s">
        <v>378</v>
      </c>
      <c r="G9" s="312" t="s">
        <v>394</v>
      </c>
      <c r="H9" s="313" t="s">
        <v>386</v>
      </c>
      <c r="I9" s="313" t="s">
        <v>382</v>
      </c>
      <c r="J9" s="313" t="s">
        <v>395</v>
      </c>
      <c r="K9" s="312" t="s">
        <v>388</v>
      </c>
      <c r="L9" s="312" t="s">
        <v>389</v>
      </c>
      <c r="M9" s="312" t="s">
        <v>371</v>
      </c>
      <c r="N9" s="313"/>
      <c r="O9" s="313"/>
      <c r="P9" s="313" t="e">
        <f ca="1">_xll.BDP(J9&amp;" "&amp;K9&amp;" "&amp;L9,P$2)</f>
        <v>#NAME?</v>
      </c>
      <c r="Q9" s="313" t="e">
        <f ca="1">_xll.BDP(J9&amp;" "&amp;K9&amp;" "&amp;L9,Q$2)</f>
        <v>#NAME?</v>
      </c>
      <c r="R9" s="313" t="e">
        <f ca="1">_xll.BDP(J9&amp;" "&amp;K9&amp;" "&amp;L9,R$2)</f>
        <v>#NAME?</v>
      </c>
      <c r="S9" s="313" t="e">
        <f ca="1">_xll.BDP(J9&amp;" "&amp;K9&amp;" "&amp;L9,S$2)</f>
        <v>#NAME?</v>
      </c>
      <c r="U9" s="313" t="s">
        <v>188</v>
      </c>
      <c r="V9" s="313">
        <v>-0.13100000000000001</v>
      </c>
      <c r="W9" s="313" t="s">
        <v>390</v>
      </c>
      <c r="X9" s="313" t="s">
        <v>396</v>
      </c>
    </row>
    <row r="10" spans="2:24" ht="12.75" customHeight="1" outlineLevel="2">
      <c r="B10" s="299" t="s">
        <v>374</v>
      </c>
      <c r="C10" s="299" t="s">
        <v>375</v>
      </c>
      <c r="D10" s="307" t="s">
        <v>376</v>
      </c>
      <c r="E10" s="307" t="s">
        <v>377</v>
      </c>
      <c r="F10" s="307" t="s">
        <v>378</v>
      </c>
      <c r="G10" s="312" t="s">
        <v>26</v>
      </c>
      <c r="H10" s="313" t="s">
        <v>386</v>
      </c>
      <c r="I10" s="313" t="s">
        <v>382</v>
      </c>
      <c r="J10" s="313" t="s">
        <v>397</v>
      </c>
      <c r="K10" s="312" t="s">
        <v>388</v>
      </c>
      <c r="L10" s="312" t="s">
        <v>389</v>
      </c>
      <c r="M10" s="312" t="s">
        <v>371</v>
      </c>
      <c r="N10" s="313"/>
      <c r="O10" s="313"/>
      <c r="P10" s="313" t="e">
        <f ca="1">_xll.BDP(J10&amp;" "&amp;K10&amp;" "&amp;L10,P$2)</f>
        <v>#NAME?</v>
      </c>
      <c r="Q10" s="313" t="e">
        <f ca="1">_xll.BDP(J10&amp;" "&amp;K10&amp;" "&amp;L10,Q$2)</f>
        <v>#NAME?</v>
      </c>
      <c r="R10" s="313" t="e">
        <f ca="1">_xll.BDP(J10&amp;" "&amp;K10&amp;" "&amp;L10,R$2)</f>
        <v>#NAME?</v>
      </c>
      <c r="S10" s="313" t="e">
        <f ca="1">_xll.BDP(J10&amp;" "&amp;K10&amp;" "&amp;L10,S$2)</f>
        <v>#NAME?</v>
      </c>
      <c r="U10" s="313" t="s">
        <v>189</v>
      </c>
      <c r="V10" s="313">
        <v>-0.13</v>
      </c>
      <c r="W10" s="313" t="s">
        <v>390</v>
      </c>
      <c r="X10" s="313" t="s">
        <v>391</v>
      </c>
    </row>
    <row r="11" spans="2:24" ht="12.75" customHeight="1" outlineLevel="2">
      <c r="B11" s="299" t="s">
        <v>374</v>
      </c>
      <c r="C11" s="299" t="s">
        <v>375</v>
      </c>
      <c r="D11" s="307" t="s">
        <v>376</v>
      </c>
      <c r="E11" s="307" t="s">
        <v>377</v>
      </c>
      <c r="F11" s="307" t="s">
        <v>378</v>
      </c>
      <c r="G11" s="312" t="s">
        <v>398</v>
      </c>
      <c r="H11" s="313" t="s">
        <v>386</v>
      </c>
      <c r="I11" s="313" t="s">
        <v>382</v>
      </c>
      <c r="J11" s="313" t="s">
        <v>399</v>
      </c>
      <c r="K11" s="312" t="s">
        <v>388</v>
      </c>
      <c r="L11" s="312" t="s">
        <v>389</v>
      </c>
      <c r="M11" s="312" t="s">
        <v>371</v>
      </c>
      <c r="N11" s="313"/>
      <c r="O11" s="313"/>
      <c r="P11" s="313" t="e">
        <f ca="1">_xll.BDP(J11&amp;" "&amp;K11&amp;" "&amp;L11,P$2)</f>
        <v>#NAME?</v>
      </c>
      <c r="Q11" s="313" t="e">
        <f ca="1">_xll.BDP(J11&amp;" "&amp;K11&amp;" "&amp;L11,Q$2)</f>
        <v>#NAME?</v>
      </c>
      <c r="R11" s="313" t="e">
        <f ca="1">_xll.BDP(J11&amp;" "&amp;K11&amp;" "&amp;L11,R$2)</f>
        <v>#NAME?</v>
      </c>
      <c r="S11" s="313" t="e">
        <f ca="1">_xll.BDP(J11&amp;" "&amp;K11&amp;" "&amp;L11,S$2)</f>
        <v>#NAME?</v>
      </c>
      <c r="U11" s="313" t="s">
        <v>190</v>
      </c>
      <c r="V11" s="313">
        <v>-0.13200000000000001</v>
      </c>
      <c r="W11" s="313" t="s">
        <v>390</v>
      </c>
      <c r="X11" s="313" t="s">
        <v>396</v>
      </c>
    </row>
    <row r="12" spans="2:24" ht="12.75" customHeight="1" outlineLevel="2">
      <c r="B12" s="299" t="s">
        <v>374</v>
      </c>
      <c r="C12" s="299" t="s">
        <v>375</v>
      </c>
      <c r="D12" s="307" t="s">
        <v>376</v>
      </c>
      <c r="E12" s="307" t="s">
        <v>377</v>
      </c>
      <c r="F12" s="307" t="s">
        <v>378</v>
      </c>
      <c r="G12" s="312" t="s">
        <v>26</v>
      </c>
      <c r="H12" s="313" t="s">
        <v>386</v>
      </c>
      <c r="I12" s="313" t="s">
        <v>382</v>
      </c>
      <c r="J12" s="313" t="s">
        <v>400</v>
      </c>
      <c r="K12" s="312" t="s">
        <v>388</v>
      </c>
      <c r="L12" s="312" t="s">
        <v>389</v>
      </c>
      <c r="M12" s="312" t="s">
        <v>371</v>
      </c>
      <c r="N12" s="313"/>
      <c r="O12" s="313"/>
      <c r="P12" s="313" t="e">
        <f ca="1">_xll.BDP(J12&amp;" "&amp;K12&amp;" "&amp;L12,P$2)</f>
        <v>#NAME?</v>
      </c>
      <c r="Q12" s="313" t="e">
        <f ca="1">_xll.BDP(J12&amp;" "&amp;K12&amp;" "&amp;L12,Q$2)</f>
        <v>#NAME?</v>
      </c>
      <c r="R12" s="313" t="e">
        <f ca="1">_xll.BDP(J12&amp;" "&amp;K12&amp;" "&amp;L12,R$2)</f>
        <v>#NAME?</v>
      </c>
      <c r="S12" s="313" t="e">
        <f ca="1">_xll.BDP(J12&amp;" "&amp;K12&amp;" "&amp;L12,S$2)</f>
        <v>#NAME?</v>
      </c>
      <c r="U12" s="313" t="s">
        <v>191</v>
      </c>
      <c r="V12" s="313">
        <v>-0.13400000000000001</v>
      </c>
      <c r="W12" s="313" t="s">
        <v>390</v>
      </c>
      <c r="X12" s="313" t="s">
        <v>391</v>
      </c>
    </row>
    <row r="13" spans="2:24" ht="12.75" customHeight="1" outlineLevel="2">
      <c r="B13" s="299" t="s">
        <v>374</v>
      </c>
      <c r="C13" s="299" t="s">
        <v>375</v>
      </c>
      <c r="D13" s="307" t="s">
        <v>376</v>
      </c>
      <c r="E13" s="307" t="s">
        <v>377</v>
      </c>
      <c r="F13" s="307" t="s">
        <v>378</v>
      </c>
      <c r="G13" s="312" t="s">
        <v>401</v>
      </c>
      <c r="H13" s="313" t="s">
        <v>386</v>
      </c>
      <c r="I13" s="313" t="s">
        <v>382</v>
      </c>
      <c r="J13" s="313" t="s">
        <v>402</v>
      </c>
      <c r="K13" s="312" t="s">
        <v>388</v>
      </c>
      <c r="L13" s="312" t="s">
        <v>389</v>
      </c>
      <c r="M13" s="312" t="s">
        <v>371</v>
      </c>
      <c r="N13" s="313"/>
      <c r="O13" s="313"/>
      <c r="P13" s="313" t="e">
        <f ca="1">_xll.BDP(J13&amp;" "&amp;K13&amp;" "&amp;L13,P$2)</f>
        <v>#NAME?</v>
      </c>
      <c r="Q13" s="313" t="e">
        <f ca="1">_xll.BDP(J13&amp;" "&amp;K13&amp;" "&amp;L13,Q$2)</f>
        <v>#NAME?</v>
      </c>
      <c r="R13" s="313" t="e">
        <f ca="1">_xll.BDP(J13&amp;" "&amp;K13&amp;" "&amp;L13,R$2)</f>
        <v>#NAME?</v>
      </c>
      <c r="S13" s="313" t="e">
        <f ca="1">_xll.BDP(J13&amp;" "&amp;K13&amp;" "&amp;L13,S$2)</f>
        <v>#NAME?</v>
      </c>
      <c r="U13" s="313" t="s">
        <v>192</v>
      </c>
      <c r="V13" s="313">
        <v>-0.13400000000000001</v>
      </c>
      <c r="W13" s="313" t="s">
        <v>390</v>
      </c>
      <c r="X13" s="313" t="s">
        <v>403</v>
      </c>
    </row>
    <row r="14" spans="2:24" ht="12.75" customHeight="1" outlineLevel="2">
      <c r="B14" s="299" t="s">
        <v>374</v>
      </c>
      <c r="C14" s="299" t="s">
        <v>375</v>
      </c>
      <c r="D14" s="307" t="s">
        <v>376</v>
      </c>
      <c r="E14" s="307" t="s">
        <v>377</v>
      </c>
      <c r="F14" s="307" t="s">
        <v>378</v>
      </c>
      <c r="G14" s="312" t="s">
        <v>404</v>
      </c>
      <c r="H14" s="313" t="s">
        <v>386</v>
      </c>
      <c r="I14" s="313" t="s">
        <v>382</v>
      </c>
      <c r="J14" s="313" t="s">
        <v>405</v>
      </c>
      <c r="K14" s="312" t="s">
        <v>388</v>
      </c>
      <c r="L14" s="312" t="s">
        <v>389</v>
      </c>
      <c r="M14" s="312" t="s">
        <v>371</v>
      </c>
      <c r="N14" s="313"/>
      <c r="O14" s="313"/>
      <c r="P14" s="313" t="e">
        <f ca="1">_xll.BDP(J14&amp;" "&amp;K14&amp;" "&amp;L14,P$2)</f>
        <v>#NAME?</v>
      </c>
      <c r="Q14" s="313" t="e">
        <f ca="1">_xll.BDP(J14&amp;" "&amp;K14&amp;" "&amp;L14,Q$2)</f>
        <v>#NAME?</v>
      </c>
      <c r="R14" s="313" t="e">
        <f ca="1">_xll.BDP(J14&amp;" "&amp;K14&amp;" "&amp;L14,R$2)</f>
        <v>#NAME?</v>
      </c>
      <c r="S14" s="313" t="e">
        <f ca="1">_xll.BDP(J14&amp;" "&amp;K14&amp;" "&amp;L14,S$2)</f>
        <v>#NAME?</v>
      </c>
      <c r="U14" s="313" t="s">
        <v>193</v>
      </c>
      <c r="V14" s="313">
        <v>-0.13800000000000001</v>
      </c>
      <c r="W14" s="313" t="s">
        <v>390</v>
      </c>
      <c r="X14" s="313" t="s">
        <v>391</v>
      </c>
    </row>
    <row r="15" spans="2:24" ht="12.75" customHeight="1" outlineLevel="2">
      <c r="B15" s="299" t="s">
        <v>374</v>
      </c>
      <c r="C15" s="299" t="s">
        <v>375</v>
      </c>
      <c r="D15" s="307" t="s">
        <v>376</v>
      </c>
      <c r="E15" s="307" t="s">
        <v>377</v>
      </c>
      <c r="F15" s="307" t="s">
        <v>378</v>
      </c>
      <c r="G15" s="312" t="s">
        <v>19</v>
      </c>
      <c r="H15" s="313" t="s">
        <v>386</v>
      </c>
      <c r="I15" s="313" t="s">
        <v>382</v>
      </c>
      <c r="J15" s="313" t="s">
        <v>406</v>
      </c>
      <c r="K15" s="312" t="s">
        <v>388</v>
      </c>
      <c r="L15" s="312" t="s">
        <v>389</v>
      </c>
      <c r="M15" s="312" t="s">
        <v>371</v>
      </c>
      <c r="N15" s="313"/>
      <c r="O15" s="313"/>
      <c r="P15" s="313" t="e">
        <f ca="1">_xll.BDP(J15&amp;" "&amp;K15&amp;" "&amp;L15,P$2)</f>
        <v>#NAME?</v>
      </c>
      <c r="Q15" s="313" t="e">
        <f ca="1">_xll.BDP(J15&amp;" "&amp;K15&amp;" "&amp;L15,Q$2)</f>
        <v>#NAME?</v>
      </c>
      <c r="R15" s="313" t="e">
        <f ca="1">_xll.BDP(J15&amp;" "&amp;K15&amp;" "&amp;L15,R$2)</f>
        <v>#NAME?</v>
      </c>
      <c r="S15" s="313" t="e">
        <f ca="1">_xll.BDP(J15&amp;" "&amp;K15&amp;" "&amp;L15,S$2)</f>
        <v>#NAME?</v>
      </c>
      <c r="U15" s="313" t="s">
        <v>194</v>
      </c>
      <c r="V15" s="313">
        <v>-0.14000000000000001</v>
      </c>
      <c r="W15" s="313" t="s">
        <v>390</v>
      </c>
      <c r="X15" s="313" t="s">
        <v>391</v>
      </c>
    </row>
    <row r="16" spans="2:24" ht="12.75" customHeight="1" outlineLevel="2">
      <c r="B16" s="299" t="s">
        <v>374</v>
      </c>
      <c r="C16" s="299" t="s">
        <v>375</v>
      </c>
      <c r="D16" s="307" t="s">
        <v>376</v>
      </c>
      <c r="E16" s="307" t="s">
        <v>377</v>
      </c>
      <c r="F16" s="307" t="s">
        <v>378</v>
      </c>
      <c r="G16" s="312" t="s">
        <v>407</v>
      </c>
      <c r="H16" s="313" t="s">
        <v>386</v>
      </c>
      <c r="I16" s="313" t="s">
        <v>382</v>
      </c>
      <c r="J16" s="313" t="s">
        <v>408</v>
      </c>
      <c r="K16" s="312" t="s">
        <v>388</v>
      </c>
      <c r="L16" s="312" t="s">
        <v>389</v>
      </c>
      <c r="M16" s="312" t="s">
        <v>371</v>
      </c>
      <c r="N16" s="313"/>
      <c r="O16" s="313"/>
      <c r="P16" s="313" t="e">
        <f ca="1">_xll.BDP(J16&amp;" "&amp;K16&amp;" "&amp;L16,P$2)</f>
        <v>#NAME?</v>
      </c>
      <c r="Q16" s="313" t="e">
        <f ca="1">_xll.BDP(J16&amp;" "&amp;K16&amp;" "&amp;L16,Q$2)</f>
        <v>#NAME?</v>
      </c>
      <c r="R16" s="313" t="e">
        <f ca="1">_xll.BDP(J16&amp;" "&amp;K16&amp;" "&amp;L16,R$2)</f>
        <v>#NAME?</v>
      </c>
      <c r="S16" s="313" t="e">
        <f ca="1">_xll.BDP(J16&amp;" "&amp;K16&amp;" "&amp;L16,S$2)</f>
        <v>#NAME?</v>
      </c>
      <c r="U16" s="313" t="s">
        <v>195</v>
      </c>
      <c r="V16" s="313">
        <v>-0.14199999999999999</v>
      </c>
      <c r="W16" s="313" t="s">
        <v>390</v>
      </c>
      <c r="X16" s="313" t="s">
        <v>391</v>
      </c>
    </row>
    <row r="17" spans="2:24" ht="12.75" customHeight="1" outlineLevel="2">
      <c r="B17" s="299" t="s">
        <v>374</v>
      </c>
      <c r="C17" s="299" t="s">
        <v>375</v>
      </c>
      <c r="D17" s="307" t="s">
        <v>376</v>
      </c>
      <c r="E17" s="307" t="s">
        <v>377</v>
      </c>
      <c r="F17" s="307" t="s">
        <v>378</v>
      </c>
      <c r="G17" s="312" t="s">
        <v>409</v>
      </c>
      <c r="H17" s="313" t="s">
        <v>386</v>
      </c>
      <c r="I17" s="313" t="s">
        <v>382</v>
      </c>
      <c r="J17" s="313" t="s">
        <v>410</v>
      </c>
      <c r="K17" s="312" t="s">
        <v>388</v>
      </c>
      <c r="L17" s="312" t="s">
        <v>389</v>
      </c>
      <c r="M17" s="312" t="s">
        <v>371</v>
      </c>
      <c r="N17" s="313"/>
      <c r="O17" s="313"/>
      <c r="P17" s="313" t="e">
        <f ca="1">_xll.BDP(J17&amp;" "&amp;K17&amp;" "&amp;L17,P$2)</f>
        <v>#NAME?</v>
      </c>
      <c r="Q17" s="313" t="e">
        <f ca="1">_xll.BDP(J17&amp;" "&amp;K17&amp;" "&amp;L17,Q$2)</f>
        <v>#NAME?</v>
      </c>
      <c r="R17" s="313" t="e">
        <f ca="1">_xll.BDP(J17&amp;" "&amp;K17&amp;" "&amp;L17,R$2)</f>
        <v>#NAME?</v>
      </c>
      <c r="S17" s="313" t="e">
        <f ca="1">_xll.BDP(J17&amp;" "&amp;K17&amp;" "&amp;L17,S$2)</f>
        <v>#NAME?</v>
      </c>
      <c r="U17" s="313" t="s">
        <v>196</v>
      </c>
      <c r="V17" s="313">
        <v>-0.14199999999999999</v>
      </c>
      <c r="W17" s="313" t="s">
        <v>390</v>
      </c>
      <c r="X17" s="313" t="s">
        <v>411</v>
      </c>
    </row>
    <row r="18" spans="2:24" ht="12.75" customHeight="1" outlineLevel="2">
      <c r="B18" s="299" t="s">
        <v>374</v>
      </c>
      <c r="C18" s="299" t="s">
        <v>375</v>
      </c>
      <c r="D18" s="307" t="s">
        <v>376</v>
      </c>
      <c r="E18" s="307" t="s">
        <v>377</v>
      </c>
      <c r="F18" s="307" t="s">
        <v>378</v>
      </c>
      <c r="G18" s="312" t="s">
        <v>412</v>
      </c>
      <c r="H18" s="313" t="s">
        <v>386</v>
      </c>
      <c r="I18" s="313" t="s">
        <v>382</v>
      </c>
      <c r="J18" s="313" t="s">
        <v>413</v>
      </c>
      <c r="K18" s="312" t="s">
        <v>388</v>
      </c>
      <c r="L18" s="312" t="s">
        <v>389</v>
      </c>
      <c r="M18" s="312" t="s">
        <v>371</v>
      </c>
      <c r="N18" s="313"/>
      <c r="O18" s="313"/>
      <c r="P18" s="313" t="e">
        <f ca="1">_xll.BDP(J18&amp;" "&amp;K18&amp;" "&amp;L18,P$2)</f>
        <v>#NAME?</v>
      </c>
      <c r="Q18" s="313" t="e">
        <f ca="1">_xll.BDP(J18&amp;" "&amp;K18&amp;" "&amp;L18,Q$2)</f>
        <v>#NAME?</v>
      </c>
      <c r="R18" s="313" t="e">
        <f ca="1">_xll.BDP(J18&amp;" "&amp;K18&amp;" "&amp;L18,R$2)</f>
        <v>#NAME?</v>
      </c>
      <c r="S18" s="313" t="e">
        <f ca="1">_xll.BDP(J18&amp;" "&amp;K18&amp;" "&amp;L18,S$2)</f>
        <v>#NAME?</v>
      </c>
      <c r="U18" s="313" t="s">
        <v>197</v>
      </c>
      <c r="V18" s="313">
        <v>-0.14499999999999999</v>
      </c>
      <c r="W18" s="313" t="s">
        <v>390</v>
      </c>
      <c r="X18" s="313" t="s">
        <v>414</v>
      </c>
    </row>
    <row r="19" spans="2:24" ht="12.75" customHeight="1" outlineLevel="2">
      <c r="B19" s="299" t="s">
        <v>374</v>
      </c>
      <c r="C19" s="299" t="s">
        <v>375</v>
      </c>
      <c r="D19" s="307" t="s">
        <v>376</v>
      </c>
      <c r="E19" s="307" t="s">
        <v>377</v>
      </c>
      <c r="F19" s="307" t="s">
        <v>378</v>
      </c>
      <c r="G19" s="312" t="s">
        <v>150</v>
      </c>
      <c r="H19" s="313" t="s">
        <v>386</v>
      </c>
      <c r="I19" s="313" t="s">
        <v>382</v>
      </c>
      <c r="J19" s="313" t="s">
        <v>415</v>
      </c>
      <c r="K19" s="312" t="s">
        <v>388</v>
      </c>
      <c r="L19" s="312" t="s">
        <v>389</v>
      </c>
      <c r="M19" s="312" t="s">
        <v>371</v>
      </c>
      <c r="N19" s="313"/>
      <c r="O19" s="313"/>
      <c r="P19" s="313" t="e">
        <f ca="1">_xll.BDP(J19&amp;" "&amp;K19&amp;" "&amp;L19,P$2)</f>
        <v>#NAME?</v>
      </c>
      <c r="Q19" s="313" t="e">
        <f ca="1">_xll.BDP(J19&amp;" "&amp;K19&amp;" "&amp;L19,Q$2)</f>
        <v>#NAME?</v>
      </c>
      <c r="R19" s="313" t="e">
        <f ca="1">_xll.BDP(J19&amp;" "&amp;K19&amp;" "&amp;L19,R$2)</f>
        <v>#NAME?</v>
      </c>
      <c r="S19" s="313" t="e">
        <f ca="1">_xll.BDP(J19&amp;" "&amp;K19&amp;" "&amp;L19,S$2)</f>
        <v>#NAME?</v>
      </c>
      <c r="U19" s="313" t="s">
        <v>198</v>
      </c>
      <c r="V19" s="313">
        <v>-0.14599999999999999</v>
      </c>
      <c r="W19" s="313" t="s">
        <v>390</v>
      </c>
      <c r="X19" s="313" t="s">
        <v>411</v>
      </c>
    </row>
    <row r="20" spans="2:24" ht="12.75" customHeight="1" outlineLevel="2">
      <c r="B20" s="299" t="s">
        <v>374</v>
      </c>
      <c r="C20" s="299" t="s">
        <v>375</v>
      </c>
      <c r="D20" s="307" t="s">
        <v>376</v>
      </c>
      <c r="E20" s="307" t="s">
        <v>377</v>
      </c>
      <c r="F20" s="307" t="s">
        <v>378</v>
      </c>
      <c r="G20" s="312" t="s">
        <v>416</v>
      </c>
      <c r="H20" s="313" t="s">
        <v>386</v>
      </c>
      <c r="I20" s="313" t="s">
        <v>382</v>
      </c>
      <c r="J20" s="313" t="s">
        <v>417</v>
      </c>
      <c r="K20" s="312" t="s">
        <v>388</v>
      </c>
      <c r="L20" s="312" t="s">
        <v>389</v>
      </c>
      <c r="M20" s="312" t="s">
        <v>371</v>
      </c>
      <c r="N20" s="313"/>
      <c r="O20" s="313"/>
      <c r="P20" s="313" t="e">
        <f ca="1">_xll.BDP(J20&amp;" "&amp;K20&amp;" "&amp;L20,P$2)</f>
        <v>#NAME?</v>
      </c>
      <c r="Q20" s="313" t="e">
        <f ca="1">_xll.BDP(J20&amp;" "&amp;K20&amp;" "&amp;L20,Q$2)</f>
        <v>#NAME?</v>
      </c>
      <c r="R20" s="313" t="e">
        <f ca="1">_xll.BDP(J20&amp;" "&amp;K20&amp;" "&amp;L20,R$2)</f>
        <v>#NAME?</v>
      </c>
      <c r="S20" s="313" t="e">
        <f ca="1">_xll.BDP(J20&amp;" "&amp;K20&amp;" "&amp;L20,S$2)</f>
        <v>#NAME?</v>
      </c>
      <c r="U20" s="313" t="s">
        <v>199</v>
      </c>
      <c r="V20" s="313">
        <v>-0.14699999999999999</v>
      </c>
      <c r="W20" s="313" t="s">
        <v>390</v>
      </c>
      <c r="X20" s="313" t="s">
        <v>418</v>
      </c>
    </row>
    <row r="21" spans="2:24" ht="12.75" customHeight="1" outlineLevel="2">
      <c r="B21" s="299" t="s">
        <v>374</v>
      </c>
      <c r="C21" s="299" t="s">
        <v>375</v>
      </c>
      <c r="D21" s="307" t="s">
        <v>376</v>
      </c>
      <c r="E21" s="307" t="s">
        <v>377</v>
      </c>
      <c r="F21" s="307" t="s">
        <v>378</v>
      </c>
      <c r="G21" s="312" t="s">
        <v>7</v>
      </c>
      <c r="H21" s="313" t="s">
        <v>386</v>
      </c>
      <c r="I21" s="313" t="s">
        <v>382</v>
      </c>
      <c r="J21" s="313" t="s">
        <v>419</v>
      </c>
      <c r="K21" s="312" t="s">
        <v>388</v>
      </c>
      <c r="L21" s="312" t="s">
        <v>389</v>
      </c>
      <c r="M21" s="312" t="s">
        <v>371</v>
      </c>
      <c r="N21" s="313"/>
      <c r="O21" s="313"/>
      <c r="P21" s="313" t="e">
        <f ca="1">_xll.BDP(J21&amp;" "&amp;K21&amp;" "&amp;L21,P$2)</f>
        <v>#NAME?</v>
      </c>
      <c r="Q21" s="313" t="e">
        <f ca="1">_xll.BDP(J21&amp;" "&amp;K21&amp;" "&amp;L21,Q$2)</f>
        <v>#NAME?</v>
      </c>
      <c r="R21" s="313" t="e">
        <f ca="1">_xll.BDP(J21&amp;" "&amp;K21&amp;" "&amp;L21,R$2)</f>
        <v>#NAME?</v>
      </c>
      <c r="S21" s="313" t="e">
        <f ca="1">_xll.BDP(J21&amp;" "&amp;K21&amp;" "&amp;L21,S$2)</f>
        <v>#NAME?</v>
      </c>
      <c r="U21" s="313" t="s">
        <v>200</v>
      </c>
      <c r="V21" s="313">
        <v>-0.14799999999999999</v>
      </c>
      <c r="W21" s="313" t="s">
        <v>390</v>
      </c>
      <c r="X21" s="313" t="s">
        <v>420</v>
      </c>
    </row>
    <row r="22" spans="2:24" ht="12.75" customHeight="1" outlineLevel="2">
      <c r="B22" s="299" t="s">
        <v>374</v>
      </c>
      <c r="C22" s="299" t="s">
        <v>375</v>
      </c>
      <c r="D22" s="307" t="s">
        <v>376</v>
      </c>
      <c r="E22" s="307" t="s">
        <v>377</v>
      </c>
      <c r="F22" s="307" t="s">
        <v>378</v>
      </c>
      <c r="G22" s="312" t="s">
        <v>416</v>
      </c>
      <c r="H22" s="313" t="s">
        <v>386</v>
      </c>
      <c r="I22" s="313" t="s">
        <v>382</v>
      </c>
      <c r="J22" s="313" t="s">
        <v>421</v>
      </c>
      <c r="K22" s="312" t="s">
        <v>388</v>
      </c>
      <c r="L22" s="312" t="s">
        <v>389</v>
      </c>
      <c r="M22" s="312" t="s">
        <v>371</v>
      </c>
      <c r="N22" s="313"/>
      <c r="O22" s="313"/>
      <c r="P22" s="313" t="e">
        <f ca="1">_xll.BDP(J22&amp;" "&amp;K22&amp;" "&amp;L22,P$2)</f>
        <v>#NAME?</v>
      </c>
      <c r="Q22" s="313" t="e">
        <f ca="1">_xll.BDP(J22&amp;" "&amp;K22&amp;" "&amp;L22,Q$2)</f>
        <v>#NAME?</v>
      </c>
      <c r="R22" s="313" t="e">
        <f ca="1">_xll.BDP(J22&amp;" "&amp;K22&amp;" "&amp;L22,R$2)</f>
        <v>#NAME?</v>
      </c>
      <c r="S22" s="313" t="e">
        <f ca="1">_xll.BDP(J22&amp;" "&amp;K22&amp;" "&amp;L22,S$2)</f>
        <v>#NAME?</v>
      </c>
      <c r="U22" s="313" t="s">
        <v>422</v>
      </c>
      <c r="V22" s="313" t="s">
        <v>423</v>
      </c>
      <c r="W22" s="313" t="s">
        <v>423</v>
      </c>
      <c r="X22" s="313" t="s">
        <v>423</v>
      </c>
    </row>
    <row r="23" spans="2:24" ht="12.75" customHeight="1" outlineLevel="2">
      <c r="B23" s="299" t="s">
        <v>374</v>
      </c>
      <c r="C23" s="299" t="s">
        <v>375</v>
      </c>
      <c r="D23" s="307" t="s">
        <v>376</v>
      </c>
      <c r="E23" s="307" t="s">
        <v>377</v>
      </c>
      <c r="F23" s="307" t="s">
        <v>378</v>
      </c>
      <c r="G23" s="312" t="s">
        <v>424</v>
      </c>
      <c r="H23" s="313" t="s">
        <v>386</v>
      </c>
      <c r="I23" s="313" t="s">
        <v>382</v>
      </c>
      <c r="J23" s="313" t="s">
        <v>425</v>
      </c>
      <c r="K23" s="312" t="s">
        <v>388</v>
      </c>
      <c r="L23" s="312" t="s">
        <v>389</v>
      </c>
      <c r="M23" s="312" t="s">
        <v>371</v>
      </c>
      <c r="N23" s="313"/>
      <c r="O23" s="313"/>
      <c r="P23" s="313" t="e">
        <f ca="1">_xll.BDP(J23&amp;" "&amp;K23&amp;" "&amp;L23,P$2)</f>
        <v>#NAME?</v>
      </c>
      <c r="Q23" s="313" t="e">
        <f ca="1">_xll.BDP(J23&amp;" "&amp;K23&amp;" "&amp;L23,Q$2)</f>
        <v>#NAME?</v>
      </c>
      <c r="R23" s="313" t="e">
        <f ca="1">_xll.BDP(J23&amp;" "&amp;K23&amp;" "&amp;L23,R$2)</f>
        <v>#NAME?</v>
      </c>
      <c r="S23" s="313" t="e">
        <f ca="1">_xll.BDP(J23&amp;" "&amp;K23&amp;" "&amp;L23,S$2)</f>
        <v>#NAME?</v>
      </c>
      <c r="U23" s="313" t="s">
        <v>426</v>
      </c>
      <c r="V23" s="313" t="s">
        <v>423</v>
      </c>
      <c r="W23" s="313" t="s">
        <v>423</v>
      </c>
      <c r="X23" s="313" t="s">
        <v>423</v>
      </c>
    </row>
    <row r="24" spans="2:24" ht="12.75" customHeight="1" outlineLevel="2">
      <c r="B24" s="299" t="s">
        <v>374</v>
      </c>
      <c r="C24" s="299" t="s">
        <v>375</v>
      </c>
      <c r="D24" s="307" t="s">
        <v>376</v>
      </c>
      <c r="E24" s="307" t="s">
        <v>377</v>
      </c>
      <c r="F24" s="307" t="s">
        <v>378</v>
      </c>
      <c r="G24" s="312" t="s">
        <v>153</v>
      </c>
      <c r="H24" s="313" t="s">
        <v>386</v>
      </c>
      <c r="I24" s="313" t="s">
        <v>382</v>
      </c>
      <c r="J24" s="313" t="s">
        <v>427</v>
      </c>
      <c r="K24" s="312" t="s">
        <v>388</v>
      </c>
      <c r="L24" s="312" t="s">
        <v>389</v>
      </c>
      <c r="M24" s="312" t="s">
        <v>371</v>
      </c>
      <c r="N24" s="313"/>
      <c r="O24" s="313"/>
      <c r="P24" s="313" t="e">
        <f ca="1">_xll.BDP(J24&amp;" "&amp;K24&amp;" "&amp;L24,P$2)</f>
        <v>#NAME?</v>
      </c>
      <c r="Q24" s="313" t="e">
        <f ca="1">_xll.BDP(J24&amp;" "&amp;K24&amp;" "&amp;L24,Q$2)</f>
        <v>#NAME?</v>
      </c>
      <c r="R24" s="313" t="e">
        <f ca="1">_xll.BDP(J24&amp;" "&amp;K24&amp;" "&amp;L24,R$2)</f>
        <v>#NAME?</v>
      </c>
      <c r="S24" s="313" t="e">
        <f ca="1">_xll.BDP(J24&amp;" "&amp;K24&amp;" "&amp;L24,S$2)</f>
        <v>#NAME?</v>
      </c>
      <c r="U24" s="313" t="s">
        <v>201</v>
      </c>
      <c r="V24" s="313">
        <v>-0.14899999999999999</v>
      </c>
      <c r="W24" s="313" t="s">
        <v>390</v>
      </c>
      <c r="X24" s="313" t="s">
        <v>428</v>
      </c>
    </row>
    <row r="25" spans="2:24" ht="12.75" customHeight="1" outlineLevel="2">
      <c r="B25" s="299" t="s">
        <v>374</v>
      </c>
      <c r="C25" s="299" t="s">
        <v>375</v>
      </c>
      <c r="D25" s="307" t="s">
        <v>376</v>
      </c>
      <c r="E25" s="307" t="s">
        <v>377</v>
      </c>
      <c r="F25" s="307" t="s">
        <v>378</v>
      </c>
      <c r="G25" s="312" t="s">
        <v>429</v>
      </c>
      <c r="H25" s="313" t="s">
        <v>386</v>
      </c>
      <c r="I25" s="313" t="s">
        <v>382</v>
      </c>
      <c r="J25" s="313" t="s">
        <v>430</v>
      </c>
      <c r="K25" s="312" t="s">
        <v>388</v>
      </c>
      <c r="L25" s="312" t="s">
        <v>389</v>
      </c>
      <c r="M25" s="312" t="s">
        <v>371</v>
      </c>
      <c r="N25" s="313"/>
      <c r="O25" s="313"/>
      <c r="P25" s="313" t="e">
        <f ca="1">_xll.BDP(J25&amp;" "&amp;K25&amp;" "&amp;L25,P$2)</f>
        <v>#NAME?</v>
      </c>
      <c r="Q25" s="313" t="e">
        <f ca="1">_xll.BDP(J25&amp;" "&amp;K25&amp;" "&amp;L25,Q$2)</f>
        <v>#NAME?</v>
      </c>
      <c r="R25" s="313" t="e">
        <f ca="1">_xll.BDP(J25&amp;" "&amp;K25&amp;" "&amp;L25,R$2)</f>
        <v>#NAME?</v>
      </c>
      <c r="S25" s="313" t="e">
        <f ca="1">_xll.BDP(J25&amp;" "&amp;K25&amp;" "&amp;L25,S$2)</f>
        <v>#NAME?</v>
      </c>
      <c r="U25" s="313" t="s">
        <v>431</v>
      </c>
      <c r="V25" s="313" t="s">
        <v>423</v>
      </c>
      <c r="W25" s="313" t="s">
        <v>423</v>
      </c>
      <c r="X25" s="313" t="s">
        <v>423</v>
      </c>
    </row>
    <row r="26" spans="2:24" ht="12.75" customHeight="1" outlineLevel="2">
      <c r="B26" s="299" t="s">
        <v>374</v>
      </c>
      <c r="C26" s="299" t="s">
        <v>375</v>
      </c>
      <c r="D26" s="307" t="s">
        <v>376</v>
      </c>
      <c r="E26" s="307" t="s">
        <v>377</v>
      </c>
      <c r="F26" s="307" t="s">
        <v>378</v>
      </c>
      <c r="G26" s="312" t="s">
        <v>432</v>
      </c>
      <c r="H26" s="313" t="s">
        <v>386</v>
      </c>
      <c r="I26" s="313" t="s">
        <v>382</v>
      </c>
      <c r="J26" s="313" t="s">
        <v>433</v>
      </c>
      <c r="K26" s="312" t="s">
        <v>388</v>
      </c>
      <c r="L26" s="312" t="s">
        <v>389</v>
      </c>
      <c r="M26" s="312" t="s">
        <v>371</v>
      </c>
      <c r="N26" s="313"/>
      <c r="O26" s="313"/>
      <c r="P26" s="313" t="e">
        <f ca="1">_xll.BDP(J26&amp;" "&amp;K26&amp;" "&amp;L26,P$2)</f>
        <v>#NAME?</v>
      </c>
      <c r="Q26" s="313" t="e">
        <f ca="1">_xll.BDP(J26&amp;" "&amp;K26&amp;" "&amp;L26,Q$2)</f>
        <v>#NAME?</v>
      </c>
      <c r="R26" s="313" t="e">
        <f ca="1">_xll.BDP(J26&amp;" "&amp;K26&amp;" "&amp;L26,R$2)</f>
        <v>#NAME?</v>
      </c>
      <c r="S26" s="313" t="e">
        <f ca="1">_xll.BDP(J26&amp;" "&amp;K26&amp;" "&amp;L26,S$2)</f>
        <v>#NAME?</v>
      </c>
      <c r="U26" s="313" t="s">
        <v>434</v>
      </c>
      <c r="V26" s="313" t="s">
        <v>423</v>
      </c>
      <c r="W26" s="313" t="s">
        <v>423</v>
      </c>
      <c r="X26" s="313" t="s">
        <v>423</v>
      </c>
    </row>
    <row r="27" spans="2:24" ht="12.75" customHeight="1" outlineLevel="2">
      <c r="B27" s="299" t="s">
        <v>374</v>
      </c>
      <c r="C27" s="299" t="s">
        <v>375</v>
      </c>
      <c r="D27" s="307" t="s">
        <v>376</v>
      </c>
      <c r="E27" s="307" t="s">
        <v>377</v>
      </c>
      <c r="F27" s="307" t="s">
        <v>378</v>
      </c>
      <c r="G27" s="312" t="s">
        <v>154</v>
      </c>
      <c r="H27" s="313" t="s">
        <v>386</v>
      </c>
      <c r="I27" s="313" t="s">
        <v>382</v>
      </c>
      <c r="J27" s="313" t="s">
        <v>435</v>
      </c>
      <c r="K27" s="312" t="s">
        <v>388</v>
      </c>
      <c r="L27" s="312" t="s">
        <v>389</v>
      </c>
      <c r="M27" s="312" t="s">
        <v>371</v>
      </c>
      <c r="N27" s="313"/>
      <c r="O27" s="313"/>
      <c r="P27" s="313" t="e">
        <f ca="1">_xll.BDP(J27&amp;" "&amp;K27&amp;" "&amp;L27,P$2)</f>
        <v>#NAME?</v>
      </c>
      <c r="Q27" s="313" t="e">
        <f ca="1">_xll.BDP(J27&amp;" "&amp;K27&amp;" "&amp;L27,Q$2)</f>
        <v>#NAME?</v>
      </c>
      <c r="R27" s="313" t="e">
        <f ca="1">_xll.BDP(J27&amp;" "&amp;K27&amp;" "&amp;L27,R$2)</f>
        <v>#NAME?</v>
      </c>
      <c r="S27" s="313" t="e">
        <f ca="1">_xll.BDP(J27&amp;" "&amp;K27&amp;" "&amp;L27,S$2)</f>
        <v>#NAME?</v>
      </c>
      <c r="U27" s="313" t="s">
        <v>202</v>
      </c>
      <c r="V27" s="313">
        <v>-0.14699999999999999</v>
      </c>
      <c r="W27" s="313" t="s">
        <v>390</v>
      </c>
      <c r="X27" s="313" t="s">
        <v>436</v>
      </c>
    </row>
    <row r="28" spans="2:24" ht="12.75" customHeight="1" outlineLevel="2">
      <c r="B28" s="299" t="s">
        <v>374</v>
      </c>
      <c r="C28" s="299" t="s">
        <v>375</v>
      </c>
      <c r="D28" s="307" t="s">
        <v>376</v>
      </c>
      <c r="E28" s="307" t="s">
        <v>377</v>
      </c>
      <c r="F28" s="307" t="s">
        <v>378</v>
      </c>
      <c r="G28" s="312" t="s">
        <v>437</v>
      </c>
      <c r="H28" s="313" t="s">
        <v>386</v>
      </c>
      <c r="I28" s="313" t="s">
        <v>382</v>
      </c>
      <c r="J28" s="313" t="s">
        <v>438</v>
      </c>
      <c r="K28" s="312" t="s">
        <v>388</v>
      </c>
      <c r="L28" s="312" t="s">
        <v>389</v>
      </c>
      <c r="M28" s="312" t="s">
        <v>371</v>
      </c>
      <c r="N28" s="313"/>
      <c r="O28" s="313"/>
      <c r="P28" s="313" t="e">
        <f ca="1">_xll.BDP(J28&amp;" "&amp;K28&amp;" "&amp;L28,P$2)</f>
        <v>#NAME?</v>
      </c>
      <c r="Q28" s="313" t="e">
        <f ca="1">_xll.BDP(J28&amp;" "&amp;K28&amp;" "&amp;L28,Q$2)</f>
        <v>#NAME?</v>
      </c>
      <c r="R28" s="313" t="e">
        <f ca="1">_xll.BDP(J28&amp;" "&amp;K28&amp;" "&amp;L28,R$2)</f>
        <v>#NAME?</v>
      </c>
      <c r="S28" s="313" t="e">
        <f ca="1">_xll.BDP(J28&amp;" "&amp;K28&amp;" "&amp;L28,S$2)</f>
        <v>#NAME?</v>
      </c>
      <c r="U28" s="313" t="s">
        <v>439</v>
      </c>
      <c r="V28" s="313" t="s">
        <v>423</v>
      </c>
      <c r="W28" s="313" t="s">
        <v>423</v>
      </c>
      <c r="X28" s="313" t="s">
        <v>423</v>
      </c>
    </row>
    <row r="29" spans="2:24" ht="12.75" customHeight="1" outlineLevel="2">
      <c r="B29" s="299" t="s">
        <v>374</v>
      </c>
      <c r="C29" s="299" t="s">
        <v>375</v>
      </c>
      <c r="D29" s="307" t="s">
        <v>376</v>
      </c>
      <c r="E29" s="307" t="s">
        <v>377</v>
      </c>
      <c r="F29" s="307" t="s">
        <v>378</v>
      </c>
      <c r="G29" s="312" t="s">
        <v>440</v>
      </c>
      <c r="H29" s="313" t="s">
        <v>386</v>
      </c>
      <c r="I29" s="313" t="s">
        <v>382</v>
      </c>
      <c r="J29" s="313" t="s">
        <v>441</v>
      </c>
      <c r="K29" s="312" t="s">
        <v>388</v>
      </c>
      <c r="L29" s="312" t="s">
        <v>389</v>
      </c>
      <c r="M29" s="312" t="s">
        <v>371</v>
      </c>
      <c r="N29" s="313"/>
      <c r="O29" s="313"/>
      <c r="P29" s="313" t="e">
        <f ca="1">_xll.BDP(J29&amp;" "&amp;K29&amp;" "&amp;L29,P$2)</f>
        <v>#NAME?</v>
      </c>
      <c r="Q29" s="313" t="e">
        <f ca="1">_xll.BDP(J29&amp;" "&amp;K29&amp;" "&amp;L29,Q$2)</f>
        <v>#NAME?</v>
      </c>
      <c r="R29" s="313" t="e">
        <f ca="1">_xll.BDP(J29&amp;" "&amp;K29&amp;" "&amp;L29,R$2)</f>
        <v>#NAME?</v>
      </c>
      <c r="S29" s="313" t="e">
        <f ca="1">_xll.BDP(J29&amp;" "&amp;K29&amp;" "&amp;L29,S$2)</f>
        <v>#NAME?</v>
      </c>
      <c r="U29" s="313" t="s">
        <v>442</v>
      </c>
      <c r="V29" s="313" t="s">
        <v>423</v>
      </c>
      <c r="W29" s="313" t="s">
        <v>423</v>
      </c>
      <c r="X29" s="313" t="s">
        <v>423</v>
      </c>
    </row>
    <row r="30" spans="2:24" ht="12.75" customHeight="1" outlineLevel="2">
      <c r="B30" s="299" t="s">
        <v>374</v>
      </c>
      <c r="C30" s="299" t="s">
        <v>375</v>
      </c>
      <c r="D30" s="307" t="s">
        <v>376</v>
      </c>
      <c r="E30" s="307" t="s">
        <v>377</v>
      </c>
      <c r="F30" s="307" t="s">
        <v>378</v>
      </c>
      <c r="G30" s="312" t="s">
        <v>443</v>
      </c>
      <c r="H30" s="313" t="s">
        <v>386</v>
      </c>
      <c r="I30" s="313" t="s">
        <v>382</v>
      </c>
      <c r="J30" s="313" t="s">
        <v>444</v>
      </c>
      <c r="K30" s="312" t="s">
        <v>388</v>
      </c>
      <c r="L30" s="312" t="s">
        <v>389</v>
      </c>
      <c r="M30" s="312" t="s">
        <v>371</v>
      </c>
      <c r="N30" s="313"/>
      <c r="O30" s="313"/>
      <c r="P30" s="313" t="e">
        <f ca="1">_xll.BDP(J30&amp;" "&amp;K30&amp;" "&amp;L30,P$2)</f>
        <v>#NAME?</v>
      </c>
      <c r="Q30" s="313" t="e">
        <f ca="1">_xll.BDP(J30&amp;" "&amp;K30&amp;" "&amp;L30,Q$2)</f>
        <v>#NAME?</v>
      </c>
      <c r="R30" s="313" t="e">
        <f ca="1">_xll.BDP(J30&amp;" "&amp;K30&amp;" "&amp;L30,R$2)</f>
        <v>#NAME?</v>
      </c>
      <c r="S30" s="313" t="e">
        <f ca="1">_xll.BDP(J30&amp;" "&amp;K30&amp;" "&amp;L30,S$2)</f>
        <v>#NAME?</v>
      </c>
      <c r="U30" s="313" t="s">
        <v>203</v>
      </c>
      <c r="V30" s="313">
        <v>-0.14299999999999999</v>
      </c>
      <c r="W30" s="313" t="s">
        <v>390</v>
      </c>
      <c r="X30" s="313" t="s">
        <v>428</v>
      </c>
    </row>
    <row r="31" spans="2:24" ht="12.75" customHeight="1" outlineLevel="2">
      <c r="B31" s="299" t="s">
        <v>374</v>
      </c>
      <c r="C31" s="299" t="s">
        <v>375</v>
      </c>
      <c r="D31" s="307" t="s">
        <v>376</v>
      </c>
      <c r="E31" s="307" t="s">
        <v>377</v>
      </c>
      <c r="F31" s="307" t="s">
        <v>378</v>
      </c>
      <c r="G31" s="312" t="s">
        <v>445</v>
      </c>
      <c r="H31" s="313" t="s">
        <v>386</v>
      </c>
      <c r="I31" s="313" t="s">
        <v>382</v>
      </c>
      <c r="J31" s="313" t="s">
        <v>446</v>
      </c>
      <c r="K31" s="312" t="s">
        <v>388</v>
      </c>
      <c r="L31" s="312" t="s">
        <v>389</v>
      </c>
      <c r="M31" s="312" t="s">
        <v>371</v>
      </c>
      <c r="N31" s="313"/>
      <c r="O31" s="313"/>
      <c r="P31" s="313" t="e">
        <f ca="1">_xll.BDP(J31&amp;" "&amp;K31&amp;" "&amp;L31,P$2)</f>
        <v>#NAME?</v>
      </c>
      <c r="Q31" s="313" t="e">
        <f ca="1">_xll.BDP(J31&amp;" "&amp;K31&amp;" "&amp;L31,Q$2)</f>
        <v>#NAME?</v>
      </c>
      <c r="R31" s="313" t="e">
        <f ca="1">_xll.BDP(J31&amp;" "&amp;K31&amp;" "&amp;L31,R$2)</f>
        <v>#NAME?</v>
      </c>
      <c r="S31" s="313" t="e">
        <f ca="1">_xll.BDP(J31&amp;" "&amp;K31&amp;" "&amp;L31,S$2)</f>
        <v>#NAME?</v>
      </c>
      <c r="U31" s="313" t="s">
        <v>447</v>
      </c>
      <c r="V31" s="313" t="s">
        <v>423</v>
      </c>
      <c r="W31" s="313" t="s">
        <v>423</v>
      </c>
      <c r="X31" s="313" t="s">
        <v>423</v>
      </c>
    </row>
    <row r="32" spans="2:24" ht="12.75" customHeight="1" outlineLevel="2">
      <c r="B32" s="299" t="s">
        <v>374</v>
      </c>
      <c r="C32" s="299" t="s">
        <v>375</v>
      </c>
      <c r="D32" s="307" t="s">
        <v>376</v>
      </c>
      <c r="E32" s="307" t="s">
        <v>377</v>
      </c>
      <c r="F32" s="307" t="s">
        <v>378</v>
      </c>
      <c r="G32" s="312" t="s">
        <v>443</v>
      </c>
      <c r="H32" s="313" t="s">
        <v>386</v>
      </c>
      <c r="I32" s="313" t="s">
        <v>382</v>
      </c>
      <c r="J32" s="313" t="s">
        <v>448</v>
      </c>
      <c r="K32" s="312" t="s">
        <v>388</v>
      </c>
      <c r="L32" s="312" t="s">
        <v>389</v>
      </c>
      <c r="M32" s="312" t="s">
        <v>371</v>
      </c>
      <c r="N32" s="313"/>
      <c r="O32" s="313"/>
      <c r="P32" s="313" t="e">
        <f ca="1">_xll.BDP(J32&amp;" "&amp;K32&amp;" "&amp;L32,P$2)</f>
        <v>#NAME?</v>
      </c>
      <c r="Q32" s="313" t="e">
        <f ca="1">_xll.BDP(J32&amp;" "&amp;K32&amp;" "&amp;L32,Q$2)</f>
        <v>#NAME?</v>
      </c>
      <c r="R32" s="313" t="e">
        <f ca="1">_xll.BDP(J32&amp;" "&amp;K32&amp;" "&amp;L32,R$2)</f>
        <v>#NAME?</v>
      </c>
      <c r="S32" s="313" t="e">
        <f ca="1">_xll.BDP(J32&amp;" "&amp;K32&amp;" "&amp;L32,S$2)</f>
        <v>#NAME?</v>
      </c>
      <c r="U32" s="313" t="s">
        <v>449</v>
      </c>
      <c r="V32" s="313" t="s">
        <v>423</v>
      </c>
      <c r="W32" s="313" t="s">
        <v>423</v>
      </c>
      <c r="X32" s="313" t="s">
        <v>423</v>
      </c>
    </row>
    <row r="33" spans="2:24" ht="12.75" customHeight="1" outlineLevel="2">
      <c r="B33" s="299" t="s">
        <v>374</v>
      </c>
      <c r="C33" s="299" t="s">
        <v>375</v>
      </c>
      <c r="D33" s="307" t="s">
        <v>376</v>
      </c>
      <c r="E33" s="307" t="s">
        <v>377</v>
      </c>
      <c r="F33" s="307" t="s">
        <v>378</v>
      </c>
      <c r="G33" s="299" t="s">
        <v>8</v>
      </c>
      <c r="H33" s="307" t="s">
        <v>386</v>
      </c>
      <c r="I33" s="307" t="s">
        <v>382</v>
      </c>
      <c r="J33" s="307" t="s">
        <v>450</v>
      </c>
      <c r="K33" s="299" t="s">
        <v>388</v>
      </c>
      <c r="L33" s="299" t="s">
        <v>389</v>
      </c>
      <c r="M33" s="299" t="s">
        <v>371</v>
      </c>
      <c r="N33" s="307"/>
      <c r="O33" s="307"/>
      <c r="P33" s="307" t="e">
        <f ca="1">_xll.BDP(J33&amp;" "&amp;K33&amp;" "&amp;L33,P$2)</f>
        <v>#NAME?</v>
      </c>
      <c r="Q33" s="307" t="e">
        <f ca="1">_xll.BDP(J33&amp;" "&amp;K33&amp;" "&amp;L33,Q$2)</f>
        <v>#NAME?</v>
      </c>
      <c r="R33" s="307" t="e">
        <f ca="1">_xll.BDP(J33&amp;" "&amp;K33&amp;" "&amp;L33,R$2)</f>
        <v>#NAME?</v>
      </c>
      <c r="S33" s="307" t="e">
        <f ca="1">_xll.BDP(J33&amp;" "&amp;K33&amp;" "&amp;L33,S$2)</f>
        <v>#NAME?</v>
      </c>
      <c r="U33" s="307" t="s">
        <v>204</v>
      </c>
      <c r="V33" s="307">
        <v>-0.13600000000000001</v>
      </c>
      <c r="W33" s="307" t="s">
        <v>390</v>
      </c>
      <c r="X33" s="307" t="s">
        <v>451</v>
      </c>
    </row>
    <row r="34" spans="2:24" ht="12.75" customHeight="1" outlineLevel="2">
      <c r="B34" s="299" t="s">
        <v>374</v>
      </c>
      <c r="C34" s="299" t="s">
        <v>375</v>
      </c>
      <c r="D34" s="307" t="s">
        <v>376</v>
      </c>
      <c r="E34" s="307" t="s">
        <v>377</v>
      </c>
      <c r="F34" s="307" t="s">
        <v>378</v>
      </c>
      <c r="G34" s="299" t="s">
        <v>9</v>
      </c>
      <c r="H34" s="307" t="s">
        <v>386</v>
      </c>
      <c r="I34" s="307" t="s">
        <v>382</v>
      </c>
      <c r="J34" s="307" t="s">
        <v>452</v>
      </c>
      <c r="K34" s="299" t="s">
        <v>388</v>
      </c>
      <c r="L34" s="299" t="s">
        <v>389</v>
      </c>
      <c r="M34" s="299" t="s">
        <v>371</v>
      </c>
      <c r="N34" s="307"/>
      <c r="O34" s="307"/>
      <c r="P34" s="307" t="e">
        <f ca="1">_xll.BDP(J34&amp;" "&amp;K34&amp;" "&amp;L34,P$2)</f>
        <v>#NAME?</v>
      </c>
      <c r="Q34" s="307" t="e">
        <f ca="1">_xll.BDP(J34&amp;" "&amp;K34&amp;" "&amp;L34,Q$2)</f>
        <v>#NAME?</v>
      </c>
      <c r="R34" s="307" t="e">
        <f ca="1">_xll.BDP(J34&amp;" "&amp;K34&amp;" "&amp;L34,R$2)</f>
        <v>#NAME?</v>
      </c>
      <c r="S34" s="307" t="e">
        <f ca="1">_xll.BDP(J34&amp;" "&amp;K34&amp;" "&amp;L34,S$2)</f>
        <v>#NAME?</v>
      </c>
      <c r="U34" s="307" t="s">
        <v>205</v>
      </c>
      <c r="V34" s="307">
        <v>-8.4000000000000005E-2</v>
      </c>
      <c r="W34" s="307" t="s">
        <v>390</v>
      </c>
      <c r="X34" s="307" t="s">
        <v>453</v>
      </c>
    </row>
    <row r="35" spans="2:24" ht="12.75" customHeight="1" outlineLevel="2">
      <c r="B35" s="299" t="s">
        <v>374</v>
      </c>
      <c r="C35" s="299" t="s">
        <v>375</v>
      </c>
      <c r="D35" s="307" t="s">
        <v>376</v>
      </c>
      <c r="E35" s="307" t="s">
        <v>377</v>
      </c>
      <c r="F35" s="307" t="s">
        <v>378</v>
      </c>
      <c r="G35" s="299" t="s">
        <v>10</v>
      </c>
      <c r="H35" s="307" t="s">
        <v>386</v>
      </c>
      <c r="I35" s="307" t="s">
        <v>382</v>
      </c>
      <c r="J35" s="307" t="s">
        <v>454</v>
      </c>
      <c r="K35" s="299" t="s">
        <v>388</v>
      </c>
      <c r="L35" s="299" t="s">
        <v>389</v>
      </c>
      <c r="M35" s="299" t="s">
        <v>371</v>
      </c>
      <c r="N35" s="307"/>
      <c r="O35" s="307"/>
      <c r="P35" s="307" t="e">
        <f ca="1">_xll.BDP(J35&amp;" "&amp;K35&amp;" "&amp;L35,P$2)</f>
        <v>#NAME?</v>
      </c>
      <c r="Q35" s="307" t="e">
        <f ca="1">_xll.BDP(J35&amp;" "&amp;K35&amp;" "&amp;L35,Q$2)</f>
        <v>#NAME?</v>
      </c>
      <c r="R35" s="307" t="e">
        <f ca="1">_xll.BDP(J35&amp;" "&amp;K35&amp;" "&amp;L35,R$2)</f>
        <v>#NAME?</v>
      </c>
      <c r="S35" s="307" t="e">
        <f ca="1">_xll.BDP(J35&amp;" "&amp;K35&amp;" "&amp;L35,S$2)</f>
        <v>#NAME?</v>
      </c>
      <c r="U35" s="307" t="s">
        <v>206</v>
      </c>
      <c r="V35" s="307">
        <v>2E-3</v>
      </c>
      <c r="W35" s="307" t="s">
        <v>390</v>
      </c>
      <c r="X35" s="307" t="s">
        <v>455</v>
      </c>
    </row>
    <row r="36" spans="2:24" ht="12.75" customHeight="1" outlineLevel="2">
      <c r="B36" s="299" t="s">
        <v>374</v>
      </c>
      <c r="C36" s="299" t="s">
        <v>375</v>
      </c>
      <c r="D36" s="307" t="s">
        <v>376</v>
      </c>
      <c r="E36" s="307" t="s">
        <v>377</v>
      </c>
      <c r="F36" s="307" t="s">
        <v>378</v>
      </c>
      <c r="G36" s="299" t="s">
        <v>11</v>
      </c>
      <c r="H36" s="307" t="s">
        <v>386</v>
      </c>
      <c r="I36" s="307" t="s">
        <v>382</v>
      </c>
      <c r="J36" s="307" t="s">
        <v>456</v>
      </c>
      <c r="K36" s="299" t="s">
        <v>388</v>
      </c>
      <c r="L36" s="299" t="s">
        <v>389</v>
      </c>
      <c r="M36" s="299" t="s">
        <v>371</v>
      </c>
      <c r="N36" s="307"/>
      <c r="O36" s="307"/>
      <c r="P36" s="307" t="e">
        <f ca="1">_xll.BDP(J36&amp;" "&amp;K36&amp;" "&amp;L36,P$2)</f>
        <v>#NAME?</v>
      </c>
      <c r="Q36" s="307" t="e">
        <f ca="1">_xll.BDP(J36&amp;" "&amp;K36&amp;" "&amp;L36,Q$2)</f>
        <v>#NAME?</v>
      </c>
      <c r="R36" s="307" t="e">
        <f ca="1">_xll.BDP(J36&amp;" "&amp;K36&amp;" "&amp;L36,R$2)</f>
        <v>#NAME?</v>
      </c>
      <c r="S36" s="307" t="e">
        <f ca="1">_xll.BDP(J36&amp;" "&amp;K36&amp;" "&amp;L36,S$2)</f>
        <v>#NAME?</v>
      </c>
      <c r="U36" s="307" t="s">
        <v>207</v>
      </c>
      <c r="V36" s="307">
        <v>0.109</v>
      </c>
      <c r="W36" s="307" t="s">
        <v>390</v>
      </c>
      <c r="X36" s="307" t="s">
        <v>457</v>
      </c>
    </row>
    <row r="37" spans="2:24" ht="12.75" customHeight="1" outlineLevel="2">
      <c r="B37" s="299" t="s">
        <v>374</v>
      </c>
      <c r="C37" s="299" t="s">
        <v>375</v>
      </c>
      <c r="D37" s="307" t="s">
        <v>376</v>
      </c>
      <c r="E37" s="307" t="s">
        <v>377</v>
      </c>
      <c r="F37" s="307" t="s">
        <v>378</v>
      </c>
      <c r="G37" s="299" t="s">
        <v>12</v>
      </c>
      <c r="H37" s="307" t="s">
        <v>386</v>
      </c>
      <c r="I37" s="307" t="s">
        <v>382</v>
      </c>
      <c r="J37" s="307" t="s">
        <v>458</v>
      </c>
      <c r="K37" s="299" t="s">
        <v>388</v>
      </c>
      <c r="L37" s="299" t="s">
        <v>389</v>
      </c>
      <c r="M37" s="299" t="s">
        <v>371</v>
      </c>
      <c r="N37" s="307"/>
      <c r="O37" s="307"/>
      <c r="P37" s="307" t="e">
        <f ca="1">_xll.BDP(J37&amp;" "&amp;K37&amp;" "&amp;L37,P$2)</f>
        <v>#NAME?</v>
      </c>
      <c r="Q37" s="307" t="e">
        <f ca="1">_xll.BDP(J37&amp;" "&amp;K37&amp;" "&amp;L37,Q$2)</f>
        <v>#NAME?</v>
      </c>
      <c r="R37" s="307" t="e">
        <f ca="1">_xll.BDP(J37&amp;" "&amp;K37&amp;" "&amp;L37,R$2)</f>
        <v>#NAME?</v>
      </c>
      <c r="S37" s="307" t="e">
        <f ca="1">_xll.BDP(J37&amp;" "&amp;K37&amp;" "&amp;L37,S$2)</f>
        <v>#NAME?</v>
      </c>
      <c r="U37" s="307" t="s">
        <v>208</v>
      </c>
      <c r="V37" s="307">
        <v>0.23799999999999999</v>
      </c>
      <c r="W37" s="307" t="s">
        <v>390</v>
      </c>
      <c r="X37" s="307" t="s">
        <v>457</v>
      </c>
    </row>
    <row r="38" spans="2:24" ht="12.75" customHeight="1" outlineLevel="2">
      <c r="B38" s="299" t="s">
        <v>374</v>
      </c>
      <c r="C38" s="299" t="s">
        <v>375</v>
      </c>
      <c r="D38" s="307" t="s">
        <v>376</v>
      </c>
      <c r="E38" s="307" t="s">
        <v>377</v>
      </c>
      <c r="F38" s="307" t="s">
        <v>378</v>
      </c>
      <c r="G38" s="299" t="s">
        <v>13</v>
      </c>
      <c r="H38" s="307" t="s">
        <v>386</v>
      </c>
      <c r="I38" s="307" t="s">
        <v>382</v>
      </c>
      <c r="J38" s="307" t="s">
        <v>459</v>
      </c>
      <c r="K38" s="299" t="s">
        <v>388</v>
      </c>
      <c r="L38" s="299" t="s">
        <v>389</v>
      </c>
      <c r="M38" s="299" t="s">
        <v>371</v>
      </c>
      <c r="N38" s="307"/>
      <c r="O38" s="307"/>
      <c r="P38" s="307" t="e">
        <f ca="1">_xll.BDP(J38&amp;" "&amp;K38&amp;" "&amp;L38,P$2)</f>
        <v>#NAME?</v>
      </c>
      <c r="Q38" s="307" t="e">
        <f ca="1">_xll.BDP(J38&amp;" "&amp;K38&amp;" "&amp;L38,Q$2)</f>
        <v>#NAME?</v>
      </c>
      <c r="R38" s="307" t="e">
        <f ca="1">_xll.BDP(J38&amp;" "&amp;K38&amp;" "&amp;L38,R$2)</f>
        <v>#NAME?</v>
      </c>
      <c r="S38" s="307" t="e">
        <f ca="1">_xll.BDP(J38&amp;" "&amp;K38&amp;" "&amp;L38,S$2)</f>
        <v>#NAME?</v>
      </c>
      <c r="U38" s="307" t="s">
        <v>209</v>
      </c>
      <c r="V38" s="307">
        <v>0.374</v>
      </c>
      <c r="W38" s="307" t="s">
        <v>390</v>
      </c>
      <c r="X38" s="307" t="s">
        <v>460</v>
      </c>
    </row>
    <row r="39" spans="2:24" ht="12.75" customHeight="1" outlineLevel="2">
      <c r="B39" s="299" t="s">
        <v>374</v>
      </c>
      <c r="C39" s="299" t="s">
        <v>375</v>
      </c>
      <c r="D39" s="307" t="s">
        <v>376</v>
      </c>
      <c r="E39" s="307" t="s">
        <v>377</v>
      </c>
      <c r="F39" s="307" t="s">
        <v>378</v>
      </c>
      <c r="G39" s="299" t="s">
        <v>14</v>
      </c>
      <c r="H39" s="307" t="s">
        <v>386</v>
      </c>
      <c r="I39" s="307" t="s">
        <v>382</v>
      </c>
      <c r="J39" s="307" t="s">
        <v>461</v>
      </c>
      <c r="K39" s="299" t="s">
        <v>388</v>
      </c>
      <c r="L39" s="299" t="s">
        <v>389</v>
      </c>
      <c r="M39" s="299" t="s">
        <v>371</v>
      </c>
      <c r="N39" s="307"/>
      <c r="O39" s="307"/>
      <c r="P39" s="307" t="e">
        <f ca="1">_xll.BDP(J39&amp;" "&amp;K39&amp;" "&amp;L39,P$2)</f>
        <v>#NAME?</v>
      </c>
      <c r="Q39" s="307" t="e">
        <f ca="1">_xll.BDP(J39&amp;" "&amp;K39&amp;" "&amp;L39,Q$2)</f>
        <v>#NAME?</v>
      </c>
      <c r="R39" s="307" t="e">
        <f ca="1">_xll.BDP(J39&amp;" "&amp;K39&amp;" "&amp;L39,R$2)</f>
        <v>#NAME?</v>
      </c>
      <c r="S39" s="307" t="e">
        <f ca="1">_xll.BDP(J39&amp;" "&amp;K39&amp;" "&amp;L39,S$2)</f>
        <v>#NAME?</v>
      </c>
      <c r="U39" s="307" t="s">
        <v>210</v>
      </c>
      <c r="V39" s="307">
        <v>0.50600000000000001</v>
      </c>
      <c r="W39" s="307" t="s">
        <v>390</v>
      </c>
      <c r="X39" s="307" t="s">
        <v>462</v>
      </c>
    </row>
    <row r="40" spans="2:24" ht="12.75" customHeight="1" outlineLevel="2">
      <c r="B40" s="299" t="s">
        <v>374</v>
      </c>
      <c r="C40" s="299" t="s">
        <v>375</v>
      </c>
      <c r="D40" s="307" t="s">
        <v>376</v>
      </c>
      <c r="E40" s="307" t="s">
        <v>377</v>
      </c>
      <c r="F40" s="307" t="s">
        <v>378</v>
      </c>
      <c r="G40" s="299" t="s">
        <v>15</v>
      </c>
      <c r="H40" s="307" t="s">
        <v>386</v>
      </c>
      <c r="I40" s="307" t="s">
        <v>382</v>
      </c>
      <c r="J40" s="307" t="s">
        <v>463</v>
      </c>
      <c r="K40" s="299" t="s">
        <v>388</v>
      </c>
      <c r="L40" s="299" t="s">
        <v>389</v>
      </c>
      <c r="M40" s="299" t="s">
        <v>371</v>
      </c>
      <c r="N40" s="307"/>
      <c r="O40" s="307"/>
      <c r="P40" s="307" t="e">
        <f ca="1">_xll.BDP(J40&amp;" "&amp;K40&amp;" "&amp;L40,P$2)</f>
        <v>#NAME?</v>
      </c>
      <c r="Q40" s="307" t="e">
        <f ca="1">_xll.BDP(J40&amp;" "&amp;K40&amp;" "&amp;L40,Q$2)</f>
        <v>#NAME?</v>
      </c>
      <c r="R40" s="307" t="e">
        <f ca="1">_xll.BDP(J40&amp;" "&amp;K40&amp;" "&amp;L40,R$2)</f>
        <v>#NAME?</v>
      </c>
      <c r="S40" s="307" t="e">
        <f ca="1">_xll.BDP(J40&amp;" "&amp;K40&amp;" "&amp;L40,S$2)</f>
        <v>#NAME?</v>
      </c>
      <c r="U40" s="307" t="s">
        <v>211</v>
      </c>
      <c r="V40" s="307">
        <v>0.629</v>
      </c>
      <c r="W40" s="307" t="s">
        <v>390</v>
      </c>
      <c r="X40" s="307" t="s">
        <v>462</v>
      </c>
    </row>
    <row r="41" spans="2:24" ht="12.75" customHeight="1" outlineLevel="2">
      <c r="B41" s="299" t="s">
        <v>374</v>
      </c>
      <c r="C41" s="299" t="s">
        <v>375</v>
      </c>
      <c r="D41" s="307" t="s">
        <v>376</v>
      </c>
      <c r="E41" s="307" t="s">
        <v>377</v>
      </c>
      <c r="F41" s="307" t="s">
        <v>378</v>
      </c>
      <c r="G41" s="299" t="s">
        <v>16</v>
      </c>
      <c r="H41" s="307" t="s">
        <v>386</v>
      </c>
      <c r="I41" s="307" t="s">
        <v>382</v>
      </c>
      <c r="J41" s="307" t="s">
        <v>464</v>
      </c>
      <c r="K41" s="299" t="s">
        <v>388</v>
      </c>
      <c r="L41" s="299" t="s">
        <v>389</v>
      </c>
      <c r="M41" s="299" t="s">
        <v>371</v>
      </c>
      <c r="N41" s="307"/>
      <c r="O41" s="307"/>
      <c r="P41" s="307" t="e">
        <f ca="1">_xll.BDP(J41&amp;" "&amp;K41&amp;" "&amp;L41,P$2)</f>
        <v>#NAME?</v>
      </c>
      <c r="Q41" s="307" t="e">
        <f ca="1">_xll.BDP(J41&amp;" "&amp;K41&amp;" "&amp;L41,Q$2)</f>
        <v>#NAME?</v>
      </c>
      <c r="R41" s="307" t="e">
        <f ca="1">_xll.BDP(J41&amp;" "&amp;K41&amp;" "&amp;L41,R$2)</f>
        <v>#NAME?</v>
      </c>
      <c r="S41" s="307" t="e">
        <f ca="1">_xll.BDP(J41&amp;" "&amp;K41&amp;" "&amp;L41,S$2)</f>
        <v>#NAME?</v>
      </c>
      <c r="U41" s="307" t="s">
        <v>212</v>
      </c>
      <c r="V41" s="307">
        <v>0.73899999999999999</v>
      </c>
      <c r="W41" s="307" t="s">
        <v>390</v>
      </c>
      <c r="X41" s="307" t="s">
        <v>462</v>
      </c>
    </row>
    <row r="42" spans="2:24" ht="12.75" customHeight="1" outlineLevel="2">
      <c r="B42" s="299" t="s">
        <v>374</v>
      </c>
      <c r="C42" s="299" t="s">
        <v>375</v>
      </c>
      <c r="D42" s="307" t="s">
        <v>376</v>
      </c>
      <c r="E42" s="307" t="s">
        <v>377</v>
      </c>
      <c r="F42" s="307" t="s">
        <v>378</v>
      </c>
      <c r="G42" s="299" t="s">
        <v>27</v>
      </c>
      <c r="H42" s="307" t="s">
        <v>386</v>
      </c>
      <c r="I42" s="307" t="s">
        <v>382</v>
      </c>
      <c r="J42" s="307" t="s">
        <v>465</v>
      </c>
      <c r="K42" s="299" t="s">
        <v>388</v>
      </c>
      <c r="L42" s="299" t="s">
        <v>389</v>
      </c>
      <c r="M42" s="299" t="s">
        <v>371</v>
      </c>
      <c r="N42" s="307"/>
      <c r="O42" s="307"/>
      <c r="P42" s="307" t="e">
        <f ca="1">_xll.BDP(J42&amp;" "&amp;K42&amp;" "&amp;L42,P$2)</f>
        <v>#NAME?</v>
      </c>
      <c r="Q42" s="307" t="e">
        <f ca="1">_xll.BDP(J42&amp;" "&amp;K42&amp;" "&amp;L42,Q$2)</f>
        <v>#NAME?</v>
      </c>
      <c r="R42" s="307" t="e">
        <f ca="1">_xll.BDP(J42&amp;" "&amp;K42&amp;" "&amp;L42,R$2)</f>
        <v>#NAME?</v>
      </c>
      <c r="S42" s="307" t="e">
        <f ca="1">_xll.BDP(J42&amp;" "&amp;K42&amp;" "&amp;L42,S$2)</f>
        <v>#NAME?</v>
      </c>
      <c r="U42" s="307" t="s">
        <v>213</v>
      </c>
      <c r="V42" s="307">
        <v>0.92600000000000005</v>
      </c>
      <c r="W42" s="307" t="s">
        <v>390</v>
      </c>
      <c r="X42" s="307" t="s">
        <v>462</v>
      </c>
    </row>
    <row r="43" spans="2:24" ht="12.75" customHeight="1" outlineLevel="2">
      <c r="B43" s="299" t="s">
        <v>374</v>
      </c>
      <c r="C43" s="299" t="s">
        <v>375</v>
      </c>
      <c r="D43" s="307" t="s">
        <v>376</v>
      </c>
      <c r="E43" s="307" t="s">
        <v>377</v>
      </c>
      <c r="F43" s="307" t="s">
        <v>378</v>
      </c>
      <c r="G43" s="299" t="s">
        <v>17</v>
      </c>
      <c r="H43" s="307" t="s">
        <v>386</v>
      </c>
      <c r="I43" s="307" t="s">
        <v>382</v>
      </c>
      <c r="J43" s="307" t="s">
        <v>466</v>
      </c>
      <c r="K43" s="299" t="s">
        <v>388</v>
      </c>
      <c r="L43" s="299" t="s">
        <v>389</v>
      </c>
      <c r="M43" s="299" t="s">
        <v>371</v>
      </c>
      <c r="N43" s="307"/>
      <c r="O43" s="307"/>
      <c r="P43" s="307" t="e">
        <f ca="1">_xll.BDP(J43&amp;" "&amp;K43&amp;" "&amp;L43,P$2)</f>
        <v>#NAME?</v>
      </c>
      <c r="Q43" s="307" t="e">
        <f ca="1">_xll.BDP(J43&amp;" "&amp;K43&amp;" "&amp;L43,Q$2)</f>
        <v>#NAME?</v>
      </c>
      <c r="R43" s="307" t="e">
        <f ca="1">_xll.BDP(J43&amp;" "&amp;K43&amp;" "&amp;L43,R$2)</f>
        <v>#NAME?</v>
      </c>
      <c r="S43" s="307" t="e">
        <f ca="1">_xll.BDP(J43&amp;" "&amp;K43&amp;" "&amp;L43,S$2)</f>
        <v>#NAME?</v>
      </c>
      <c r="U43" s="307" t="s">
        <v>214</v>
      </c>
      <c r="V43" s="307">
        <v>1.1240000000000001</v>
      </c>
      <c r="W43" s="307" t="s">
        <v>390</v>
      </c>
      <c r="X43" s="307" t="s">
        <v>462</v>
      </c>
    </row>
    <row r="44" spans="2:24" ht="12.75" customHeight="1" outlineLevel="2">
      <c r="B44" s="299" t="s">
        <v>374</v>
      </c>
      <c r="C44" s="299" t="s">
        <v>375</v>
      </c>
      <c r="D44" s="307" t="s">
        <v>376</v>
      </c>
      <c r="E44" s="307" t="s">
        <v>377</v>
      </c>
      <c r="F44" s="307" t="s">
        <v>378</v>
      </c>
      <c r="G44" s="299" t="s">
        <v>104</v>
      </c>
      <c r="H44" s="307" t="s">
        <v>386</v>
      </c>
      <c r="I44" s="307" t="s">
        <v>382</v>
      </c>
      <c r="J44" s="307" t="s">
        <v>467</v>
      </c>
      <c r="K44" s="299" t="s">
        <v>388</v>
      </c>
      <c r="L44" s="299" t="s">
        <v>389</v>
      </c>
      <c r="M44" s="299" t="s">
        <v>371</v>
      </c>
      <c r="N44" s="307"/>
      <c r="O44" s="307"/>
      <c r="P44" s="307" t="e">
        <f ca="1">_xll.BDP(J44&amp;" "&amp;K44&amp;" "&amp;L44,P$2)</f>
        <v>#NAME?</v>
      </c>
      <c r="Q44" s="307" t="e">
        <f ca="1">_xll.BDP(J44&amp;" "&amp;K44&amp;" "&amp;L44,Q$2)</f>
        <v>#NAME?</v>
      </c>
      <c r="R44" s="307" t="e">
        <f ca="1">_xll.BDP(J44&amp;" "&amp;K44&amp;" "&amp;L44,R$2)</f>
        <v>#NAME?</v>
      </c>
      <c r="S44" s="307" t="e">
        <f ca="1">_xll.BDP(J44&amp;" "&amp;K44&amp;" "&amp;L44,S$2)</f>
        <v>#NAME?</v>
      </c>
      <c r="U44" s="307" t="s">
        <v>215</v>
      </c>
      <c r="V44" s="307">
        <v>1.294</v>
      </c>
      <c r="W44" s="307" t="s">
        <v>390</v>
      </c>
      <c r="X44" s="307" t="s">
        <v>462</v>
      </c>
    </row>
    <row r="45" spans="2:24" ht="12.75" customHeight="1" outlineLevel="2">
      <c r="B45" s="299" t="s">
        <v>374</v>
      </c>
      <c r="C45" s="299" t="s">
        <v>375</v>
      </c>
      <c r="D45" s="307" t="s">
        <v>376</v>
      </c>
      <c r="E45" s="307" t="s">
        <v>377</v>
      </c>
      <c r="F45" s="307" t="s">
        <v>378</v>
      </c>
      <c r="G45" s="299" t="s">
        <v>105</v>
      </c>
      <c r="H45" s="307" t="s">
        <v>386</v>
      </c>
      <c r="I45" s="307" t="s">
        <v>382</v>
      </c>
      <c r="J45" s="307" t="s">
        <v>468</v>
      </c>
      <c r="K45" s="299" t="s">
        <v>388</v>
      </c>
      <c r="L45" s="299" t="s">
        <v>389</v>
      </c>
      <c r="M45" s="299" t="s">
        <v>371</v>
      </c>
      <c r="N45" s="307"/>
      <c r="O45" s="307"/>
      <c r="P45" s="307" t="e">
        <f ca="1">_xll.BDP(J45&amp;" "&amp;K45&amp;" "&amp;L45,P$2)</f>
        <v>#NAME?</v>
      </c>
      <c r="Q45" s="307" t="e">
        <f ca="1">_xll.BDP(J45&amp;" "&amp;K45&amp;" "&amp;L45,Q$2)</f>
        <v>#NAME?</v>
      </c>
      <c r="R45" s="307" t="e">
        <f ca="1">_xll.BDP(J45&amp;" "&amp;K45&amp;" "&amp;L45,R$2)</f>
        <v>#NAME?</v>
      </c>
      <c r="S45" s="307" t="e">
        <f ca="1">_xll.BDP(J45&amp;" "&amp;K45&amp;" "&amp;L45,S$2)</f>
        <v>#NAME?</v>
      </c>
      <c r="U45" s="307" t="s">
        <v>216</v>
      </c>
      <c r="V45" s="307">
        <v>1.3480000000000001</v>
      </c>
      <c r="W45" s="307" t="s">
        <v>390</v>
      </c>
      <c r="X45" s="307" t="s">
        <v>462</v>
      </c>
    </row>
    <row r="46" spans="2:24" ht="12.75" customHeight="1" outlineLevel="2">
      <c r="B46" s="299" t="s">
        <v>374</v>
      </c>
      <c r="C46" s="299" t="s">
        <v>375</v>
      </c>
      <c r="D46" s="307" t="s">
        <v>376</v>
      </c>
      <c r="E46" s="307" t="s">
        <v>377</v>
      </c>
      <c r="F46" s="307" t="s">
        <v>378</v>
      </c>
      <c r="G46" s="299" t="s">
        <v>106</v>
      </c>
      <c r="H46" s="307" t="s">
        <v>386</v>
      </c>
      <c r="I46" s="307" t="s">
        <v>382</v>
      </c>
      <c r="J46" s="307" t="s">
        <v>469</v>
      </c>
      <c r="K46" s="299" t="s">
        <v>388</v>
      </c>
      <c r="L46" s="299" t="s">
        <v>389</v>
      </c>
      <c r="M46" s="299" t="s">
        <v>371</v>
      </c>
      <c r="N46" s="307"/>
      <c r="O46" s="307"/>
      <c r="P46" s="307" t="e">
        <f ca="1">_xll.BDP(J46&amp;" "&amp;K46&amp;" "&amp;L46,P$2)</f>
        <v>#NAME?</v>
      </c>
      <c r="Q46" s="307" t="e">
        <f ca="1">_xll.BDP(J46&amp;" "&amp;K46&amp;" "&amp;L46,Q$2)</f>
        <v>#NAME?</v>
      </c>
      <c r="R46" s="307" t="e">
        <f ca="1">_xll.BDP(J46&amp;" "&amp;K46&amp;" "&amp;L46,R$2)</f>
        <v>#NAME?</v>
      </c>
      <c r="S46" s="307" t="e">
        <f ca="1">_xll.BDP(J46&amp;" "&amp;K46&amp;" "&amp;L46,S$2)</f>
        <v>#NAME?</v>
      </c>
      <c r="U46" s="307" t="s">
        <v>217</v>
      </c>
      <c r="V46" s="307">
        <v>1.3720000000000001</v>
      </c>
      <c r="W46" s="307" t="s">
        <v>390</v>
      </c>
      <c r="X46" s="307" t="s">
        <v>462</v>
      </c>
    </row>
    <row r="47" spans="2:24" ht="12.75" customHeight="1" outlineLevel="2">
      <c r="B47" s="299" t="s">
        <v>374</v>
      </c>
      <c r="C47" s="299" t="s">
        <v>375</v>
      </c>
      <c r="D47" s="307" t="s">
        <v>376</v>
      </c>
      <c r="E47" s="307" t="s">
        <v>377</v>
      </c>
      <c r="F47" s="307" t="s">
        <v>378</v>
      </c>
      <c r="G47" s="312" t="s">
        <v>159</v>
      </c>
      <c r="H47" s="313" t="s">
        <v>386</v>
      </c>
      <c r="I47" s="313" t="s">
        <v>382</v>
      </c>
      <c r="J47" s="313" t="s">
        <v>470</v>
      </c>
      <c r="K47" s="312" t="s">
        <v>388</v>
      </c>
      <c r="L47" s="312" t="s">
        <v>389</v>
      </c>
      <c r="M47" s="312" t="s">
        <v>371</v>
      </c>
      <c r="N47" s="313"/>
      <c r="O47" s="313"/>
      <c r="P47" s="313" t="e">
        <f ca="1">_xll.BDP(J47&amp;" "&amp;K47&amp;" "&amp;L47,P$2)</f>
        <v>#NAME?</v>
      </c>
      <c r="Q47" s="313" t="e">
        <f ca="1">_xll.BDP(J47&amp;" "&amp;K47&amp;" "&amp;L47,Q$2)</f>
        <v>#NAME?</v>
      </c>
      <c r="R47" s="313" t="e">
        <f ca="1">_xll.BDP(J47&amp;" "&amp;K47&amp;" "&amp;L47,R$2)</f>
        <v>#NAME?</v>
      </c>
      <c r="S47" s="313" t="e">
        <f ca="1">_xll.BDP(J47&amp;" "&amp;K47&amp;" "&amp;L47,S$2)</f>
        <v>#NAME?</v>
      </c>
      <c r="T47" s="314"/>
      <c r="U47" s="313" t="s">
        <v>218</v>
      </c>
      <c r="V47" s="313">
        <v>1.411</v>
      </c>
      <c r="W47" s="313" t="s">
        <v>390</v>
      </c>
      <c r="X47" s="313" t="s">
        <v>462</v>
      </c>
    </row>
    <row r="48" spans="2:24" ht="12.75" customHeight="1" outlineLevel="2">
      <c r="B48" s="299" t="s">
        <v>374</v>
      </c>
      <c r="C48" s="299" t="s">
        <v>375</v>
      </c>
      <c r="D48" s="307" t="s">
        <v>376</v>
      </c>
      <c r="E48" s="307" t="s">
        <v>377</v>
      </c>
      <c r="F48" s="307" t="s">
        <v>378</v>
      </c>
      <c r="G48" s="315" t="s">
        <v>160</v>
      </c>
      <c r="H48" s="316" t="s">
        <v>386</v>
      </c>
      <c r="I48" s="316" t="s">
        <v>382</v>
      </c>
      <c r="J48" s="316" t="s">
        <v>471</v>
      </c>
      <c r="K48" s="312" t="s">
        <v>388</v>
      </c>
      <c r="L48" s="312" t="s">
        <v>389</v>
      </c>
      <c r="M48" s="315" t="s">
        <v>371</v>
      </c>
      <c r="N48" s="316"/>
      <c r="O48" s="316"/>
      <c r="P48" s="316" t="e">
        <f ca="1">_xll.BDP(J48&amp;" "&amp;K48&amp;" "&amp;L48,P$2)</f>
        <v>#NAME?</v>
      </c>
      <c r="Q48" s="316" t="e">
        <f ca="1">_xll.BDP(J48&amp;" "&amp;K48&amp;" "&amp;L48,Q$2)</f>
        <v>#NAME?</v>
      </c>
      <c r="R48" s="316" t="e">
        <f ca="1">_xll.BDP(J48&amp;" "&amp;K48&amp;" "&amp;L48,R$2)</f>
        <v>#NAME?</v>
      </c>
      <c r="S48" s="316" t="e">
        <f ca="1">_xll.BDP(J48&amp;" "&amp;K48&amp;" "&amp;L48,S$2)</f>
        <v>#NAME?</v>
      </c>
      <c r="T48" s="314"/>
      <c r="U48" s="316" t="s">
        <v>219</v>
      </c>
      <c r="V48" s="316">
        <v>1.389</v>
      </c>
      <c r="W48" s="316" t="s">
        <v>390</v>
      </c>
      <c r="X48" s="316" t="s">
        <v>462</v>
      </c>
    </row>
    <row r="49" spans="2:24" s="293" customFormat="1" outlineLevel="1">
      <c r="B49" s="299" t="s">
        <v>374</v>
      </c>
      <c r="C49" s="299" t="s">
        <v>375</v>
      </c>
      <c r="D49" s="317" t="s">
        <v>472</v>
      </c>
      <c r="E49" s="318" t="s">
        <v>473</v>
      </c>
      <c r="F49" s="318" t="s">
        <v>376</v>
      </c>
      <c r="G49" s="308"/>
      <c r="H49" s="302"/>
      <c r="I49" s="302"/>
      <c r="J49" s="302"/>
      <c r="K49" s="303"/>
      <c r="L49" s="303"/>
      <c r="M49" s="319"/>
      <c r="N49" s="320" t="s">
        <v>474</v>
      </c>
      <c r="O49" s="321"/>
      <c r="P49" s="302"/>
      <c r="Q49" s="302"/>
      <c r="R49" s="302"/>
      <c r="S49" s="322"/>
      <c r="U49" s="302"/>
      <c r="V49" s="302"/>
      <c r="W49" s="302"/>
      <c r="X49" s="322"/>
    </row>
    <row r="50" spans="2:24" outlineLevel="2">
      <c r="B50" s="299" t="s">
        <v>374</v>
      </c>
      <c r="C50" s="299" t="s">
        <v>375</v>
      </c>
      <c r="D50" s="307" t="s">
        <v>472</v>
      </c>
      <c r="E50" s="307" t="s">
        <v>473</v>
      </c>
      <c r="F50" s="307" t="s">
        <v>376</v>
      </c>
      <c r="G50" s="299" t="s">
        <v>23</v>
      </c>
      <c r="H50" s="307" t="s">
        <v>475</v>
      </c>
      <c r="I50" s="307" t="s">
        <v>382</v>
      </c>
      <c r="J50" s="307" t="s">
        <v>476</v>
      </c>
      <c r="K50" s="299"/>
      <c r="L50" s="299" t="s">
        <v>383</v>
      </c>
      <c r="M50" s="299"/>
      <c r="N50" s="307"/>
      <c r="O50" s="307"/>
      <c r="P50" s="307" t="e">
        <f ca="1">_xll.BDP(J50&amp;" "&amp;K50&amp;" "&amp;L50,P$2)</f>
        <v>#NAME?</v>
      </c>
      <c r="Q50" s="307" t="e">
        <f ca="1">_xll.BDP(J50&amp;" "&amp;K50&amp;" "&amp;L50,Q$2)</f>
        <v>#NAME?</v>
      </c>
      <c r="R50" s="307" t="e">
        <f ca="1">_xll.BDP(J50&amp;" "&amp;K50&amp;" "&amp;L50,R$2)</f>
        <v>#NAME?</v>
      </c>
      <c r="S50" s="307" t="e">
        <f ca="1">_xll.BDP(J50&amp;" "&amp;K50&amp;" "&amp;L50,S$2)</f>
        <v>#NAME?</v>
      </c>
      <c r="U50" s="307" t="s">
        <v>477</v>
      </c>
      <c r="V50" s="307">
        <v>-0.104</v>
      </c>
      <c r="W50" s="307" t="s">
        <v>384</v>
      </c>
      <c r="X50" s="307" t="s">
        <v>384</v>
      </c>
    </row>
    <row r="51" spans="2:24" outlineLevel="2">
      <c r="B51" s="299" t="s">
        <v>374</v>
      </c>
      <c r="C51" s="299" t="s">
        <v>375</v>
      </c>
      <c r="D51" s="307" t="s">
        <v>472</v>
      </c>
      <c r="E51" s="307" t="s">
        <v>473</v>
      </c>
      <c r="F51" s="307" t="s">
        <v>376</v>
      </c>
      <c r="G51" s="299" t="s">
        <v>398</v>
      </c>
      <c r="H51" s="307" t="s">
        <v>478</v>
      </c>
      <c r="I51" s="307" t="s">
        <v>382</v>
      </c>
      <c r="J51" s="307" t="s">
        <v>479</v>
      </c>
      <c r="K51" s="299" t="s">
        <v>388</v>
      </c>
      <c r="L51" s="299" t="s">
        <v>389</v>
      </c>
      <c r="M51" s="299"/>
      <c r="N51" s="307"/>
      <c r="O51" s="307"/>
      <c r="P51" s="307" t="e">
        <f ca="1">_xll.BDP(J51&amp;" "&amp;K51&amp;" "&amp;L51,P$2)</f>
        <v>#NAME?</v>
      </c>
      <c r="Q51" s="307" t="e">
        <f ca="1">_xll.BDP(J51&amp;" "&amp;K51&amp;" "&amp;L51,Q$2)</f>
        <v>#NAME?</v>
      </c>
      <c r="R51" s="307" t="e">
        <f ca="1">_xll.BDP(J51&amp;" "&amp;K51&amp;" "&amp;L51,R$2)</f>
        <v>#NAME?</v>
      </c>
      <c r="S51" s="307" t="e">
        <f ca="1">_xll.BDP(J51&amp;" "&amp;K51&amp;" "&amp;L51,S$2)</f>
        <v>#NAME?</v>
      </c>
      <c r="U51" s="307" t="s">
        <v>480</v>
      </c>
      <c r="V51" s="307">
        <v>-0.106</v>
      </c>
      <c r="W51" s="307" t="s">
        <v>390</v>
      </c>
      <c r="X51" s="307" t="s">
        <v>481</v>
      </c>
    </row>
    <row r="52" spans="2:24" outlineLevel="2">
      <c r="B52" s="299" t="s">
        <v>374</v>
      </c>
      <c r="C52" s="299" t="s">
        <v>375</v>
      </c>
      <c r="D52" s="307" t="s">
        <v>472</v>
      </c>
      <c r="E52" s="307" t="s">
        <v>473</v>
      </c>
      <c r="F52" s="307" t="s">
        <v>376</v>
      </c>
      <c r="G52" s="299" t="s">
        <v>26</v>
      </c>
      <c r="H52" s="307" t="s">
        <v>478</v>
      </c>
      <c r="I52" s="307" t="s">
        <v>382</v>
      </c>
      <c r="J52" s="307" t="s">
        <v>482</v>
      </c>
      <c r="K52" s="299" t="s">
        <v>388</v>
      </c>
      <c r="L52" s="299" t="s">
        <v>389</v>
      </c>
      <c r="M52" s="299"/>
      <c r="N52" s="307"/>
      <c r="O52" s="307"/>
      <c r="P52" s="307" t="e">
        <f ca="1">_xll.BDP(J52&amp;" "&amp;K52&amp;" "&amp;L52,P$2)</f>
        <v>#NAME?</v>
      </c>
      <c r="Q52" s="307" t="e">
        <f ca="1">_xll.BDP(J52&amp;" "&amp;K52&amp;" "&amp;L52,Q$2)</f>
        <v>#NAME?</v>
      </c>
      <c r="R52" s="307" t="e">
        <f ca="1">_xll.BDP(J52&amp;" "&amp;K52&amp;" "&amp;L52,R$2)</f>
        <v>#NAME?</v>
      </c>
      <c r="S52" s="307" t="e">
        <f ca="1">_xll.BDP(J52&amp;" "&amp;K52&amp;" "&amp;L52,S$2)</f>
        <v>#NAME?</v>
      </c>
      <c r="U52" s="307" t="s">
        <v>483</v>
      </c>
      <c r="V52" s="307">
        <v>-0.107</v>
      </c>
      <c r="W52" s="307" t="s">
        <v>390</v>
      </c>
      <c r="X52" s="307" t="s">
        <v>391</v>
      </c>
    </row>
    <row r="53" spans="2:24" outlineLevel="2">
      <c r="B53" s="299" t="s">
        <v>374</v>
      </c>
      <c r="C53" s="299" t="s">
        <v>375</v>
      </c>
      <c r="D53" s="307" t="s">
        <v>472</v>
      </c>
      <c r="E53" s="307" t="s">
        <v>473</v>
      </c>
      <c r="F53" s="307" t="s">
        <v>376</v>
      </c>
      <c r="G53" s="299" t="s">
        <v>401</v>
      </c>
      <c r="H53" s="307" t="s">
        <v>478</v>
      </c>
      <c r="I53" s="307" t="s">
        <v>382</v>
      </c>
      <c r="J53" s="307" t="s">
        <v>484</v>
      </c>
      <c r="K53" s="299" t="s">
        <v>388</v>
      </c>
      <c r="L53" s="299" t="s">
        <v>389</v>
      </c>
      <c r="M53" s="299"/>
      <c r="N53" s="307"/>
      <c r="O53" s="307"/>
      <c r="P53" s="307" t="e">
        <f ca="1">_xll.BDP(J53&amp;" "&amp;K53&amp;" "&amp;L53,P$2)</f>
        <v>#NAME?</v>
      </c>
      <c r="Q53" s="307" t="e">
        <f ca="1">_xll.BDP(J53&amp;" "&amp;K53&amp;" "&amp;L53,Q$2)</f>
        <v>#NAME?</v>
      </c>
      <c r="R53" s="307" t="e">
        <f ca="1">_xll.BDP(J53&amp;" "&amp;K53&amp;" "&amp;L53,R$2)</f>
        <v>#NAME?</v>
      </c>
      <c r="S53" s="307" t="e">
        <f ca="1">_xll.BDP(J53&amp;" "&amp;K53&amp;" "&amp;L53,S$2)</f>
        <v>#NAME?</v>
      </c>
      <c r="U53" s="307" t="s">
        <v>485</v>
      </c>
      <c r="V53" s="307">
        <v>-0.105</v>
      </c>
      <c r="W53" s="307" t="s">
        <v>390</v>
      </c>
      <c r="X53" s="307" t="s">
        <v>411</v>
      </c>
    </row>
    <row r="54" spans="2:24" outlineLevel="2">
      <c r="B54" s="299" t="s">
        <v>374</v>
      </c>
      <c r="C54" s="299" t="s">
        <v>375</v>
      </c>
      <c r="D54" s="307" t="s">
        <v>472</v>
      </c>
      <c r="E54" s="307" t="s">
        <v>473</v>
      </c>
      <c r="F54" s="307" t="s">
        <v>376</v>
      </c>
      <c r="G54" s="299" t="s">
        <v>404</v>
      </c>
      <c r="H54" s="307" t="s">
        <v>478</v>
      </c>
      <c r="I54" s="307" t="s">
        <v>382</v>
      </c>
      <c r="J54" s="307" t="s">
        <v>486</v>
      </c>
      <c r="K54" s="299" t="s">
        <v>388</v>
      </c>
      <c r="L54" s="299" t="s">
        <v>389</v>
      </c>
      <c r="M54" s="299"/>
      <c r="N54" s="307"/>
      <c r="O54" s="307"/>
      <c r="P54" s="307" t="e">
        <f ca="1">_xll.BDP(J54&amp;" "&amp;K54&amp;" "&amp;L54,P$2)</f>
        <v>#NAME?</v>
      </c>
      <c r="Q54" s="307" t="e">
        <f ca="1">_xll.BDP(J54&amp;" "&amp;K54&amp;" "&amp;L54,Q$2)</f>
        <v>#NAME?</v>
      </c>
      <c r="R54" s="307" t="e">
        <f ca="1">_xll.BDP(J54&amp;" "&amp;K54&amp;" "&amp;L54,R$2)</f>
        <v>#NAME?</v>
      </c>
      <c r="S54" s="307" t="e">
        <f ca="1">_xll.BDP(J54&amp;" "&amp;K54&amp;" "&amp;L54,S$2)</f>
        <v>#NAME?</v>
      </c>
      <c r="U54" s="307" t="s">
        <v>487</v>
      </c>
      <c r="V54" s="307">
        <v>-0.108</v>
      </c>
      <c r="W54" s="307" t="s">
        <v>390</v>
      </c>
      <c r="X54" s="307" t="s">
        <v>391</v>
      </c>
    </row>
    <row r="55" spans="2:24" outlineLevel="2">
      <c r="B55" s="299" t="s">
        <v>374</v>
      </c>
      <c r="C55" s="299" t="s">
        <v>375</v>
      </c>
      <c r="D55" s="307" t="s">
        <v>472</v>
      </c>
      <c r="E55" s="307" t="s">
        <v>473</v>
      </c>
      <c r="F55" s="307" t="s">
        <v>376</v>
      </c>
      <c r="G55" s="299" t="s">
        <v>19</v>
      </c>
      <c r="H55" s="307" t="s">
        <v>478</v>
      </c>
      <c r="I55" s="307" t="s">
        <v>382</v>
      </c>
      <c r="J55" s="307" t="s">
        <v>488</v>
      </c>
      <c r="K55" s="299" t="s">
        <v>388</v>
      </c>
      <c r="L55" s="299" t="s">
        <v>389</v>
      </c>
      <c r="M55" s="299"/>
      <c r="N55" s="307"/>
      <c r="O55" s="307"/>
      <c r="P55" s="307" t="e">
        <f ca="1">_xll.BDP(J55&amp;" "&amp;K55&amp;" "&amp;L55,P$2)</f>
        <v>#NAME?</v>
      </c>
      <c r="Q55" s="307" t="e">
        <f ca="1">_xll.BDP(J55&amp;" "&amp;K55&amp;" "&amp;L55,Q$2)</f>
        <v>#NAME?</v>
      </c>
      <c r="R55" s="307" t="e">
        <f ca="1">_xll.BDP(J55&amp;" "&amp;K55&amp;" "&amp;L55,R$2)</f>
        <v>#NAME?</v>
      </c>
      <c r="S55" s="307" t="e">
        <f ca="1">_xll.BDP(J55&amp;" "&amp;K55&amp;" "&amp;L55,S$2)</f>
        <v>#NAME?</v>
      </c>
      <c r="U55" s="307" t="s">
        <v>489</v>
      </c>
      <c r="V55" s="307">
        <v>-0.108</v>
      </c>
      <c r="W55" s="307" t="s">
        <v>390</v>
      </c>
      <c r="X55" s="307" t="s">
        <v>411</v>
      </c>
    </row>
    <row r="56" spans="2:24" outlineLevel="2">
      <c r="B56" s="299" t="s">
        <v>374</v>
      </c>
      <c r="C56" s="299" t="s">
        <v>375</v>
      </c>
      <c r="D56" s="307" t="s">
        <v>472</v>
      </c>
      <c r="E56" s="307" t="s">
        <v>473</v>
      </c>
      <c r="F56" s="307" t="s">
        <v>376</v>
      </c>
      <c r="G56" s="299" t="s">
        <v>407</v>
      </c>
      <c r="H56" s="307" t="s">
        <v>478</v>
      </c>
      <c r="I56" s="307" t="s">
        <v>382</v>
      </c>
      <c r="J56" s="307" t="s">
        <v>490</v>
      </c>
      <c r="K56" s="299" t="s">
        <v>388</v>
      </c>
      <c r="L56" s="299" t="s">
        <v>389</v>
      </c>
      <c r="M56" s="299"/>
      <c r="N56" s="307"/>
      <c r="O56" s="307"/>
      <c r="P56" s="307" t="e">
        <f ca="1">_xll.BDP(J56&amp;" "&amp;K56&amp;" "&amp;L56,P$2)</f>
        <v>#NAME?</v>
      </c>
      <c r="Q56" s="307" t="e">
        <f ca="1">_xll.BDP(J56&amp;" "&amp;K56&amp;" "&amp;L56,Q$2)</f>
        <v>#NAME?</v>
      </c>
      <c r="R56" s="307" t="e">
        <f ca="1">_xll.BDP(J56&amp;" "&amp;K56&amp;" "&amp;L56,R$2)</f>
        <v>#NAME?</v>
      </c>
      <c r="S56" s="307" t="e">
        <f ca="1">_xll.BDP(J56&amp;" "&amp;K56&amp;" "&amp;L56,S$2)</f>
        <v>#NAME?</v>
      </c>
      <c r="U56" s="307" t="s">
        <v>491</v>
      </c>
      <c r="V56" s="307">
        <v>-0.108</v>
      </c>
      <c r="W56" s="307" t="s">
        <v>390</v>
      </c>
      <c r="X56" s="307" t="s">
        <v>411</v>
      </c>
    </row>
    <row r="57" spans="2:24" outlineLevel="2">
      <c r="B57" s="299" t="s">
        <v>374</v>
      </c>
      <c r="C57" s="299" t="s">
        <v>375</v>
      </c>
      <c r="D57" s="307" t="s">
        <v>472</v>
      </c>
      <c r="E57" s="307" t="s">
        <v>473</v>
      </c>
      <c r="F57" s="307" t="s">
        <v>376</v>
      </c>
      <c r="G57" s="299" t="s">
        <v>409</v>
      </c>
      <c r="H57" s="307" t="s">
        <v>478</v>
      </c>
      <c r="I57" s="307" t="s">
        <v>382</v>
      </c>
      <c r="J57" s="307" t="s">
        <v>492</v>
      </c>
      <c r="K57" s="299" t="s">
        <v>388</v>
      </c>
      <c r="L57" s="299" t="s">
        <v>389</v>
      </c>
      <c r="M57" s="299"/>
      <c r="N57" s="307"/>
      <c r="O57" s="307"/>
      <c r="P57" s="307" t="e">
        <f ca="1">_xll.BDP(J57&amp;" "&amp;K57&amp;" "&amp;L57,P$2)</f>
        <v>#NAME?</v>
      </c>
      <c r="Q57" s="307" t="e">
        <f ca="1">_xll.BDP(J57&amp;" "&amp;K57&amp;" "&amp;L57,Q$2)</f>
        <v>#NAME?</v>
      </c>
      <c r="R57" s="307" t="e">
        <f ca="1">_xll.BDP(J57&amp;" "&amp;K57&amp;" "&amp;L57,R$2)</f>
        <v>#NAME?</v>
      </c>
      <c r="S57" s="307" t="e">
        <f ca="1">_xll.BDP(J57&amp;" "&amp;K57&amp;" "&amp;L57,S$2)</f>
        <v>#NAME?</v>
      </c>
      <c r="U57" s="307" t="s">
        <v>493</v>
      </c>
      <c r="V57" s="307">
        <v>-0.108</v>
      </c>
      <c r="W57" s="307" t="s">
        <v>390</v>
      </c>
      <c r="X57" s="307" t="s">
        <v>411</v>
      </c>
    </row>
    <row r="58" spans="2:24" outlineLevel="2">
      <c r="B58" s="299" t="s">
        <v>374</v>
      </c>
      <c r="C58" s="299" t="s">
        <v>375</v>
      </c>
      <c r="D58" s="307" t="s">
        <v>472</v>
      </c>
      <c r="E58" s="307" t="s">
        <v>473</v>
      </c>
      <c r="F58" s="307" t="s">
        <v>376</v>
      </c>
      <c r="G58" s="299" t="s">
        <v>412</v>
      </c>
      <c r="H58" s="307" t="s">
        <v>478</v>
      </c>
      <c r="I58" s="307" t="s">
        <v>382</v>
      </c>
      <c r="J58" s="307" t="s">
        <v>494</v>
      </c>
      <c r="K58" s="299" t="s">
        <v>388</v>
      </c>
      <c r="L58" s="299" t="s">
        <v>389</v>
      </c>
      <c r="M58" s="299"/>
      <c r="N58" s="307"/>
      <c r="O58" s="307"/>
      <c r="P58" s="307" t="e">
        <f ca="1">_xll.BDP(J58&amp;" "&amp;K58&amp;" "&amp;L58,P$2)</f>
        <v>#NAME?</v>
      </c>
      <c r="Q58" s="307" t="e">
        <f ca="1">_xll.BDP(J58&amp;" "&amp;K58&amp;" "&amp;L58,Q$2)</f>
        <v>#NAME?</v>
      </c>
      <c r="R58" s="307" t="e">
        <f ca="1">_xll.BDP(J58&amp;" "&amp;K58&amp;" "&amp;L58,R$2)</f>
        <v>#NAME?</v>
      </c>
      <c r="S58" s="307" t="e">
        <f ca="1">_xll.BDP(J58&amp;" "&amp;K58&amp;" "&amp;L58,S$2)</f>
        <v>#NAME?</v>
      </c>
      <c r="U58" s="307" t="s">
        <v>495</v>
      </c>
      <c r="V58" s="307">
        <v>-0.11</v>
      </c>
      <c r="W58" s="307" t="s">
        <v>390</v>
      </c>
      <c r="X58" s="307" t="s">
        <v>418</v>
      </c>
    </row>
    <row r="59" spans="2:24" outlineLevel="2">
      <c r="B59" s="299" t="s">
        <v>374</v>
      </c>
      <c r="C59" s="299" t="s">
        <v>375</v>
      </c>
      <c r="D59" s="307" t="s">
        <v>472</v>
      </c>
      <c r="E59" s="307" t="s">
        <v>473</v>
      </c>
      <c r="F59" s="307" t="s">
        <v>376</v>
      </c>
      <c r="G59" s="299" t="s">
        <v>150</v>
      </c>
      <c r="H59" s="307" t="s">
        <v>478</v>
      </c>
      <c r="I59" s="307" t="s">
        <v>382</v>
      </c>
      <c r="J59" s="307" t="s">
        <v>496</v>
      </c>
      <c r="K59" s="299" t="s">
        <v>388</v>
      </c>
      <c r="L59" s="299" t="s">
        <v>389</v>
      </c>
      <c r="M59" s="299"/>
      <c r="N59" s="307"/>
      <c r="O59" s="307"/>
      <c r="P59" s="307" t="e">
        <f ca="1">_xll.BDP(J59&amp;" "&amp;K59&amp;" "&amp;L59,P$2)</f>
        <v>#NAME?</v>
      </c>
      <c r="Q59" s="307" t="e">
        <f ca="1">_xll.BDP(J59&amp;" "&amp;K59&amp;" "&amp;L59,Q$2)</f>
        <v>#NAME?</v>
      </c>
      <c r="R59" s="307" t="e">
        <f ca="1">_xll.BDP(J59&amp;" "&amp;K59&amp;" "&amp;L59,R$2)</f>
        <v>#NAME?</v>
      </c>
      <c r="S59" s="307" t="e">
        <f ca="1">_xll.BDP(J59&amp;" "&amp;K59&amp;" "&amp;L59,S$2)</f>
        <v>#NAME?</v>
      </c>
      <c r="U59" s="307" t="s">
        <v>497</v>
      </c>
      <c r="V59" s="307">
        <v>-0.111</v>
      </c>
      <c r="W59" s="307" t="s">
        <v>390</v>
      </c>
      <c r="X59" s="307" t="s">
        <v>498</v>
      </c>
    </row>
    <row r="60" spans="2:24" outlineLevel="2">
      <c r="B60" s="299" t="s">
        <v>374</v>
      </c>
      <c r="C60" s="299" t="s">
        <v>375</v>
      </c>
      <c r="D60" s="307" t="s">
        <v>472</v>
      </c>
      <c r="E60" s="307" t="s">
        <v>473</v>
      </c>
      <c r="F60" s="307" t="s">
        <v>376</v>
      </c>
      <c r="G60" s="299" t="s">
        <v>151</v>
      </c>
      <c r="H60" s="307" t="s">
        <v>478</v>
      </c>
      <c r="I60" s="307" t="s">
        <v>382</v>
      </c>
      <c r="J60" s="307" t="s">
        <v>499</v>
      </c>
      <c r="K60" s="299" t="s">
        <v>388</v>
      </c>
      <c r="L60" s="299" t="s">
        <v>389</v>
      </c>
      <c r="M60" s="299"/>
      <c r="N60" s="307"/>
      <c r="O60" s="307"/>
      <c r="P60" s="307" t="e">
        <f ca="1">_xll.BDP(J60&amp;" "&amp;K60&amp;" "&amp;L60,P$2)</f>
        <v>#NAME?</v>
      </c>
      <c r="Q60" s="307" t="e">
        <f ca="1">_xll.BDP(J60&amp;" "&amp;K60&amp;" "&amp;L60,Q$2)</f>
        <v>#NAME?</v>
      </c>
      <c r="R60" s="307" t="e">
        <f ca="1">_xll.BDP(J60&amp;" "&amp;K60&amp;" "&amp;L60,R$2)</f>
        <v>#NAME?</v>
      </c>
      <c r="S60" s="307" t="e">
        <f ca="1">_xll.BDP(J60&amp;" "&amp;K60&amp;" "&amp;L60,S$2)</f>
        <v>#NAME?</v>
      </c>
      <c r="U60" s="307" t="s">
        <v>500</v>
      </c>
      <c r="V60" s="307">
        <v>-0.111</v>
      </c>
      <c r="W60" s="307" t="s">
        <v>390</v>
      </c>
      <c r="X60" s="307" t="s">
        <v>420</v>
      </c>
    </row>
    <row r="61" spans="2:24" outlineLevel="2">
      <c r="B61" s="299" t="s">
        <v>374</v>
      </c>
      <c r="C61" s="299" t="s">
        <v>375</v>
      </c>
      <c r="D61" s="307" t="s">
        <v>472</v>
      </c>
      <c r="E61" s="307" t="s">
        <v>473</v>
      </c>
      <c r="F61" s="307" t="s">
        <v>376</v>
      </c>
      <c r="G61" s="299" t="s">
        <v>7</v>
      </c>
      <c r="H61" s="307" t="s">
        <v>478</v>
      </c>
      <c r="I61" s="307" t="s">
        <v>382</v>
      </c>
      <c r="J61" s="307" t="s">
        <v>501</v>
      </c>
      <c r="K61" s="299" t="s">
        <v>388</v>
      </c>
      <c r="L61" s="299" t="s">
        <v>389</v>
      </c>
      <c r="M61" s="299"/>
      <c r="N61" s="307"/>
      <c r="O61" s="307"/>
      <c r="P61" s="307" t="e">
        <f ca="1">_xll.BDP(J61&amp;" "&amp;K61&amp;" "&amp;L61,P$2)</f>
        <v>#NAME?</v>
      </c>
      <c r="Q61" s="307" t="e">
        <f ca="1">_xll.BDP(J61&amp;" "&amp;K61&amp;" "&amp;L61,Q$2)</f>
        <v>#NAME?</v>
      </c>
      <c r="R61" s="307" t="e">
        <f ca="1">_xll.BDP(J61&amp;" "&amp;K61&amp;" "&amp;L61,R$2)</f>
        <v>#NAME?</v>
      </c>
      <c r="S61" s="307" t="e">
        <f ca="1">_xll.BDP(J61&amp;" "&amp;K61&amp;" "&amp;L61,S$2)</f>
        <v>#NAME?</v>
      </c>
      <c r="U61" s="307" t="s">
        <v>502</v>
      </c>
      <c r="V61" s="307">
        <v>-0.114</v>
      </c>
      <c r="W61" s="307" t="s">
        <v>390</v>
      </c>
      <c r="X61" s="307" t="s">
        <v>420</v>
      </c>
    </row>
    <row r="62" spans="2:24" outlineLevel="2">
      <c r="B62" s="299" t="s">
        <v>374</v>
      </c>
      <c r="C62" s="299" t="s">
        <v>375</v>
      </c>
      <c r="D62" s="307" t="s">
        <v>472</v>
      </c>
      <c r="E62" s="307" t="s">
        <v>473</v>
      </c>
      <c r="F62" s="307" t="s">
        <v>376</v>
      </c>
      <c r="G62" s="299" t="s">
        <v>416</v>
      </c>
      <c r="H62" s="307" t="s">
        <v>478</v>
      </c>
      <c r="I62" s="307" t="s">
        <v>382</v>
      </c>
      <c r="J62" s="307" t="s">
        <v>503</v>
      </c>
      <c r="K62" s="299" t="s">
        <v>388</v>
      </c>
      <c r="L62" s="299" t="s">
        <v>389</v>
      </c>
      <c r="M62" s="299"/>
      <c r="N62" s="307"/>
      <c r="O62" s="307"/>
      <c r="P62" s="307" t="e">
        <f ca="1">_xll.BDP(J62&amp;" "&amp;K62&amp;" "&amp;L62,P$2)</f>
        <v>#NAME?</v>
      </c>
      <c r="Q62" s="307" t="e">
        <f ca="1">_xll.BDP(J62&amp;" "&amp;K62&amp;" "&amp;L62,Q$2)</f>
        <v>#NAME?</v>
      </c>
      <c r="R62" s="307" t="e">
        <f ca="1">_xll.BDP(J62&amp;" "&amp;K62&amp;" "&amp;L62,R$2)</f>
        <v>#NAME?</v>
      </c>
      <c r="S62" s="307" t="e">
        <f ca="1">_xll.BDP(J62&amp;" "&amp;K62&amp;" "&amp;L62,S$2)</f>
        <v>#NAME?</v>
      </c>
      <c r="U62" s="307" t="s">
        <v>504</v>
      </c>
      <c r="V62" s="307" t="s">
        <v>423</v>
      </c>
      <c r="W62" s="307" t="s">
        <v>423</v>
      </c>
      <c r="X62" s="307" t="s">
        <v>423</v>
      </c>
    </row>
    <row r="63" spans="2:24" outlineLevel="2">
      <c r="B63" s="299" t="s">
        <v>374</v>
      </c>
      <c r="C63" s="299" t="s">
        <v>375</v>
      </c>
      <c r="D63" s="307" t="s">
        <v>472</v>
      </c>
      <c r="E63" s="307" t="s">
        <v>473</v>
      </c>
      <c r="F63" s="307" t="s">
        <v>376</v>
      </c>
      <c r="G63" s="299" t="s">
        <v>424</v>
      </c>
      <c r="H63" s="307" t="s">
        <v>478</v>
      </c>
      <c r="I63" s="307" t="s">
        <v>382</v>
      </c>
      <c r="J63" s="307" t="s">
        <v>505</v>
      </c>
      <c r="K63" s="299" t="s">
        <v>388</v>
      </c>
      <c r="L63" s="299" t="s">
        <v>389</v>
      </c>
      <c r="M63" s="299"/>
      <c r="N63" s="307"/>
      <c r="O63" s="307"/>
      <c r="P63" s="307" t="e">
        <f ca="1">_xll.BDP(J63&amp;" "&amp;K63&amp;" "&amp;L63,P$2)</f>
        <v>#NAME?</v>
      </c>
      <c r="Q63" s="307" t="e">
        <f ca="1">_xll.BDP(J63&amp;" "&amp;K63&amp;" "&amp;L63,Q$2)</f>
        <v>#NAME?</v>
      </c>
      <c r="R63" s="307" t="e">
        <f ca="1">_xll.BDP(J63&amp;" "&amp;K63&amp;" "&amp;L63,R$2)</f>
        <v>#NAME?</v>
      </c>
      <c r="S63" s="307" t="e">
        <f ca="1">_xll.BDP(J63&amp;" "&amp;K63&amp;" "&amp;L63,S$2)</f>
        <v>#NAME?</v>
      </c>
      <c r="U63" s="307" t="s">
        <v>506</v>
      </c>
      <c r="V63" s="307" t="s">
        <v>423</v>
      </c>
      <c r="W63" s="307" t="s">
        <v>423</v>
      </c>
      <c r="X63" s="307" t="s">
        <v>423</v>
      </c>
    </row>
    <row r="64" spans="2:24" outlineLevel="2">
      <c r="B64" s="299" t="s">
        <v>374</v>
      </c>
      <c r="C64" s="299" t="s">
        <v>375</v>
      </c>
      <c r="D64" s="307" t="s">
        <v>472</v>
      </c>
      <c r="E64" s="307" t="s">
        <v>473</v>
      </c>
      <c r="F64" s="307" t="s">
        <v>376</v>
      </c>
      <c r="G64" s="299" t="s">
        <v>153</v>
      </c>
      <c r="H64" s="307" t="s">
        <v>478</v>
      </c>
      <c r="I64" s="307" t="s">
        <v>382</v>
      </c>
      <c r="J64" s="307" t="s">
        <v>507</v>
      </c>
      <c r="K64" s="299" t="s">
        <v>388</v>
      </c>
      <c r="L64" s="299" t="s">
        <v>389</v>
      </c>
      <c r="M64" s="299"/>
      <c r="N64" s="307"/>
      <c r="O64" s="307"/>
      <c r="P64" s="307" t="e">
        <f ca="1">_xll.BDP(J64&amp;" "&amp;K64&amp;" "&amp;L64,P$2)</f>
        <v>#NAME?</v>
      </c>
      <c r="Q64" s="307" t="e">
        <f ca="1">_xll.BDP(J64&amp;" "&amp;K64&amp;" "&amp;L64,Q$2)</f>
        <v>#NAME?</v>
      </c>
      <c r="R64" s="307" t="e">
        <f ca="1">_xll.BDP(J64&amp;" "&amp;K64&amp;" "&amp;L64,R$2)</f>
        <v>#NAME?</v>
      </c>
      <c r="S64" s="307" t="e">
        <f ca="1">_xll.BDP(J64&amp;" "&amp;K64&amp;" "&amp;L64,S$2)</f>
        <v>#NAME?</v>
      </c>
      <c r="U64" s="307" t="s">
        <v>508</v>
      </c>
      <c r="V64" s="307" t="s">
        <v>423</v>
      </c>
      <c r="W64" s="307" t="s">
        <v>423</v>
      </c>
      <c r="X64" s="307" t="s">
        <v>423</v>
      </c>
    </row>
    <row r="65" spans="2:24" outlineLevel="2">
      <c r="B65" s="299" t="s">
        <v>374</v>
      </c>
      <c r="C65" s="299" t="s">
        <v>375</v>
      </c>
      <c r="D65" s="307" t="s">
        <v>472</v>
      </c>
      <c r="E65" s="307" t="s">
        <v>473</v>
      </c>
      <c r="F65" s="307" t="s">
        <v>376</v>
      </c>
      <c r="G65" s="299" t="s">
        <v>429</v>
      </c>
      <c r="H65" s="307" t="s">
        <v>478</v>
      </c>
      <c r="I65" s="307" t="s">
        <v>382</v>
      </c>
      <c r="J65" s="307" t="s">
        <v>509</v>
      </c>
      <c r="K65" s="299" t="s">
        <v>388</v>
      </c>
      <c r="L65" s="299" t="s">
        <v>389</v>
      </c>
      <c r="M65" s="299"/>
      <c r="N65" s="307"/>
      <c r="O65" s="307"/>
      <c r="P65" s="307" t="e">
        <f ca="1">_xll.BDP(J65&amp;" "&amp;K65&amp;" "&amp;L65,P$2)</f>
        <v>#NAME?</v>
      </c>
      <c r="Q65" s="307" t="e">
        <f ca="1">_xll.BDP(J65&amp;" "&amp;K65&amp;" "&amp;L65,Q$2)</f>
        <v>#NAME?</v>
      </c>
      <c r="R65" s="307" t="e">
        <f ca="1">_xll.BDP(J65&amp;" "&amp;K65&amp;" "&amp;L65,R$2)</f>
        <v>#NAME?</v>
      </c>
      <c r="S65" s="307" t="e">
        <f ca="1">_xll.BDP(J65&amp;" "&amp;K65&amp;" "&amp;L65,S$2)</f>
        <v>#NAME?</v>
      </c>
      <c r="U65" s="307" t="s">
        <v>510</v>
      </c>
      <c r="V65" s="307" t="s">
        <v>423</v>
      </c>
      <c r="W65" s="307" t="s">
        <v>423</v>
      </c>
      <c r="X65" s="307" t="s">
        <v>423</v>
      </c>
    </row>
    <row r="66" spans="2:24" outlineLevel="2">
      <c r="B66" s="299" t="s">
        <v>374</v>
      </c>
      <c r="C66" s="299" t="s">
        <v>375</v>
      </c>
      <c r="D66" s="307" t="s">
        <v>472</v>
      </c>
      <c r="E66" s="307" t="s">
        <v>473</v>
      </c>
      <c r="F66" s="307" t="s">
        <v>376</v>
      </c>
      <c r="G66" s="299" t="s">
        <v>154</v>
      </c>
      <c r="H66" s="307" t="s">
        <v>478</v>
      </c>
      <c r="I66" s="307" t="s">
        <v>382</v>
      </c>
      <c r="J66" s="307" t="s">
        <v>511</v>
      </c>
      <c r="K66" s="299" t="s">
        <v>388</v>
      </c>
      <c r="L66" s="299" t="s">
        <v>389</v>
      </c>
      <c r="M66" s="299"/>
      <c r="N66" s="307"/>
      <c r="O66" s="307"/>
      <c r="P66" s="307" t="e">
        <f ca="1">_xll.BDP(J66&amp;" "&amp;K66&amp;" "&amp;L66,P$2)</f>
        <v>#NAME?</v>
      </c>
      <c r="Q66" s="307" t="e">
        <f ca="1">_xll.BDP(J66&amp;" "&amp;K66&amp;" "&amp;L66,Q$2)</f>
        <v>#NAME?</v>
      </c>
      <c r="R66" s="307" t="e">
        <f ca="1">_xll.BDP(J66&amp;" "&amp;K66&amp;" "&amp;L66,R$2)</f>
        <v>#NAME?</v>
      </c>
      <c r="S66" s="307" t="e">
        <f ca="1">_xll.BDP(J66&amp;" "&amp;K66&amp;" "&amp;L66,S$2)</f>
        <v>#NAME?</v>
      </c>
      <c r="U66" s="307" t="s">
        <v>512</v>
      </c>
      <c r="V66" s="307" t="s">
        <v>423</v>
      </c>
      <c r="W66" s="307" t="s">
        <v>423</v>
      </c>
      <c r="X66" s="307" t="s">
        <v>423</v>
      </c>
    </row>
    <row r="67" spans="2:24" outlineLevel="2">
      <c r="B67" s="299" t="s">
        <v>374</v>
      </c>
      <c r="C67" s="299" t="s">
        <v>375</v>
      </c>
      <c r="D67" s="307" t="s">
        <v>472</v>
      </c>
      <c r="E67" s="307" t="s">
        <v>473</v>
      </c>
      <c r="F67" s="307" t="s">
        <v>376</v>
      </c>
      <c r="G67" s="299" t="s">
        <v>437</v>
      </c>
      <c r="H67" s="307" t="s">
        <v>478</v>
      </c>
      <c r="I67" s="307" t="s">
        <v>382</v>
      </c>
      <c r="J67" s="307" t="s">
        <v>513</v>
      </c>
      <c r="K67" s="299" t="s">
        <v>388</v>
      </c>
      <c r="L67" s="299" t="s">
        <v>389</v>
      </c>
      <c r="M67" s="299"/>
      <c r="N67" s="307"/>
      <c r="O67" s="307"/>
      <c r="P67" s="307" t="e">
        <f ca="1">_xll.BDP(J67&amp;" "&amp;K67&amp;" "&amp;L67,P$2)</f>
        <v>#NAME?</v>
      </c>
      <c r="Q67" s="307" t="e">
        <f ca="1">_xll.BDP(J67&amp;" "&amp;K67&amp;" "&amp;L67,Q$2)</f>
        <v>#NAME?</v>
      </c>
      <c r="R67" s="307" t="e">
        <f ca="1">_xll.BDP(J67&amp;" "&amp;K67&amp;" "&amp;L67,R$2)</f>
        <v>#NAME?</v>
      </c>
      <c r="S67" s="307" t="e">
        <f ca="1">_xll.BDP(J67&amp;" "&amp;K67&amp;" "&amp;L67,S$2)</f>
        <v>#NAME?</v>
      </c>
      <c r="U67" s="307" t="s">
        <v>514</v>
      </c>
      <c r="V67" s="307" t="s">
        <v>423</v>
      </c>
      <c r="W67" s="307" t="s">
        <v>423</v>
      </c>
      <c r="X67" s="307" t="s">
        <v>423</v>
      </c>
    </row>
    <row r="68" spans="2:24" outlineLevel="2">
      <c r="B68" s="299" t="s">
        <v>374</v>
      </c>
      <c r="C68" s="299" t="s">
        <v>375</v>
      </c>
      <c r="D68" s="307" t="s">
        <v>472</v>
      </c>
      <c r="E68" s="307" t="s">
        <v>473</v>
      </c>
      <c r="F68" s="307" t="s">
        <v>376</v>
      </c>
      <c r="G68" s="299" t="s">
        <v>440</v>
      </c>
      <c r="H68" s="307" t="s">
        <v>478</v>
      </c>
      <c r="I68" s="307" t="s">
        <v>382</v>
      </c>
      <c r="J68" s="307" t="s">
        <v>515</v>
      </c>
      <c r="K68" s="299" t="s">
        <v>388</v>
      </c>
      <c r="L68" s="299" t="s">
        <v>389</v>
      </c>
      <c r="M68" s="299"/>
      <c r="N68" s="307"/>
      <c r="O68" s="307"/>
      <c r="P68" s="307" t="e">
        <f ca="1">_xll.BDP(J68&amp;" "&amp;K68&amp;" "&amp;L68,P$2)</f>
        <v>#NAME?</v>
      </c>
      <c r="Q68" s="307" t="e">
        <f ca="1">_xll.BDP(J68&amp;" "&amp;K68&amp;" "&amp;L68,Q$2)</f>
        <v>#NAME?</v>
      </c>
      <c r="R68" s="307" t="e">
        <f ca="1">_xll.BDP(J68&amp;" "&amp;K68&amp;" "&amp;L68,R$2)</f>
        <v>#NAME?</v>
      </c>
      <c r="S68" s="307" t="e">
        <f ca="1">_xll.BDP(J68&amp;" "&amp;K68&amp;" "&amp;L68,S$2)</f>
        <v>#NAME?</v>
      </c>
      <c r="U68" s="307" t="s">
        <v>516</v>
      </c>
      <c r="V68" s="307" t="s">
        <v>423</v>
      </c>
      <c r="W68" s="307" t="s">
        <v>423</v>
      </c>
      <c r="X68" s="307" t="s">
        <v>423</v>
      </c>
    </row>
    <row r="69" spans="2:24" outlineLevel="2">
      <c r="B69" s="299" t="s">
        <v>374</v>
      </c>
      <c r="C69" s="299" t="s">
        <v>375</v>
      </c>
      <c r="D69" s="307" t="s">
        <v>472</v>
      </c>
      <c r="E69" s="307" t="s">
        <v>473</v>
      </c>
      <c r="F69" s="307" t="s">
        <v>376</v>
      </c>
      <c r="G69" s="299" t="s">
        <v>156</v>
      </c>
      <c r="H69" s="307" t="s">
        <v>478</v>
      </c>
      <c r="I69" s="307" t="s">
        <v>382</v>
      </c>
      <c r="J69" s="307" t="s">
        <v>517</v>
      </c>
      <c r="K69" s="299" t="s">
        <v>388</v>
      </c>
      <c r="L69" s="299" t="s">
        <v>389</v>
      </c>
      <c r="M69" s="299"/>
      <c r="N69" s="307"/>
      <c r="O69" s="307"/>
      <c r="P69" s="307" t="e">
        <f ca="1">_xll.BDP(J69&amp;" "&amp;K69&amp;" "&amp;L69,P$2)</f>
        <v>#NAME?</v>
      </c>
      <c r="Q69" s="307" t="e">
        <f ca="1">_xll.BDP(J69&amp;" "&amp;K69&amp;" "&amp;L69,Q$2)</f>
        <v>#NAME?</v>
      </c>
      <c r="R69" s="307" t="e">
        <f ca="1">_xll.BDP(J69&amp;" "&amp;K69&amp;" "&amp;L69,R$2)</f>
        <v>#NAME?</v>
      </c>
      <c r="S69" s="307" t="e">
        <f ca="1">_xll.BDP(J69&amp;" "&amp;K69&amp;" "&amp;L69,S$2)</f>
        <v>#NAME?</v>
      </c>
      <c r="U69" s="307" t="s">
        <v>518</v>
      </c>
      <c r="V69" s="307" t="s">
        <v>423</v>
      </c>
      <c r="W69" s="307" t="s">
        <v>423</v>
      </c>
      <c r="X69" s="307" t="s">
        <v>423</v>
      </c>
    </row>
    <row r="70" spans="2:24" outlineLevel="2">
      <c r="B70" s="299" t="s">
        <v>374</v>
      </c>
      <c r="C70" s="299" t="s">
        <v>375</v>
      </c>
      <c r="D70" s="307" t="s">
        <v>472</v>
      </c>
      <c r="E70" s="307" t="s">
        <v>473</v>
      </c>
      <c r="F70" s="307" t="s">
        <v>376</v>
      </c>
      <c r="G70" s="299" t="s">
        <v>445</v>
      </c>
      <c r="H70" s="307" t="s">
        <v>478</v>
      </c>
      <c r="I70" s="307" t="s">
        <v>382</v>
      </c>
      <c r="J70" s="307" t="s">
        <v>519</v>
      </c>
      <c r="K70" s="299" t="s">
        <v>388</v>
      </c>
      <c r="L70" s="299" t="s">
        <v>389</v>
      </c>
      <c r="M70" s="299"/>
      <c r="N70" s="307"/>
      <c r="O70" s="307"/>
      <c r="P70" s="307" t="e">
        <f ca="1">_xll.BDP(J70&amp;" "&amp;K70&amp;" "&amp;L70,P$2)</f>
        <v>#NAME?</v>
      </c>
      <c r="Q70" s="307" t="e">
        <f ca="1">_xll.BDP(J70&amp;" "&amp;K70&amp;" "&amp;L70,Q$2)</f>
        <v>#NAME?</v>
      </c>
      <c r="R70" s="307" t="e">
        <f ca="1">_xll.BDP(J70&amp;" "&amp;K70&amp;" "&amp;L70,R$2)</f>
        <v>#NAME?</v>
      </c>
      <c r="S70" s="307" t="e">
        <f ca="1">_xll.BDP(J70&amp;" "&amp;K70&amp;" "&amp;L70,S$2)</f>
        <v>#NAME?</v>
      </c>
      <c r="U70" s="307" t="s">
        <v>520</v>
      </c>
      <c r="V70" s="307" t="s">
        <v>423</v>
      </c>
      <c r="W70" s="307" t="s">
        <v>423</v>
      </c>
      <c r="X70" s="307" t="s">
        <v>423</v>
      </c>
    </row>
    <row r="71" spans="2:24" outlineLevel="2">
      <c r="B71" s="299" t="s">
        <v>374</v>
      </c>
      <c r="C71" s="299" t="s">
        <v>375</v>
      </c>
      <c r="D71" s="307" t="s">
        <v>472</v>
      </c>
      <c r="E71" s="307" t="s">
        <v>473</v>
      </c>
      <c r="F71" s="307" t="s">
        <v>376</v>
      </c>
      <c r="G71" s="299" t="s">
        <v>443</v>
      </c>
      <c r="H71" s="307" t="s">
        <v>478</v>
      </c>
      <c r="I71" s="307" t="s">
        <v>382</v>
      </c>
      <c r="J71" s="307" t="s">
        <v>521</v>
      </c>
      <c r="K71" s="299" t="s">
        <v>388</v>
      </c>
      <c r="L71" s="299" t="s">
        <v>389</v>
      </c>
      <c r="M71" s="299"/>
      <c r="N71" s="307"/>
      <c r="O71" s="307"/>
      <c r="P71" s="307" t="e">
        <f ca="1">_xll.BDP(J71&amp;" "&amp;K71&amp;" "&amp;L71,P$2)</f>
        <v>#NAME?</v>
      </c>
      <c r="Q71" s="307" t="e">
        <f ca="1">_xll.BDP(J71&amp;" "&amp;K71&amp;" "&amp;L71,Q$2)</f>
        <v>#NAME?</v>
      </c>
      <c r="R71" s="307" t="e">
        <f ca="1">_xll.BDP(J71&amp;" "&amp;K71&amp;" "&amp;L71,R$2)</f>
        <v>#NAME?</v>
      </c>
      <c r="S71" s="307" t="e">
        <f ca="1">_xll.BDP(J71&amp;" "&amp;K71&amp;" "&amp;L71,S$2)</f>
        <v>#NAME?</v>
      </c>
      <c r="U71" s="307" t="s">
        <v>522</v>
      </c>
      <c r="V71" s="307" t="s">
        <v>423</v>
      </c>
      <c r="W71" s="307" t="s">
        <v>423</v>
      </c>
      <c r="X71" s="307" t="s">
        <v>423</v>
      </c>
    </row>
    <row r="72" spans="2:24" outlineLevel="2">
      <c r="B72" s="299" t="s">
        <v>374</v>
      </c>
      <c r="C72" s="299" t="s">
        <v>375</v>
      </c>
      <c r="D72" s="307" t="s">
        <v>472</v>
      </c>
      <c r="E72" s="307" t="s">
        <v>473</v>
      </c>
      <c r="F72" s="307" t="s">
        <v>376</v>
      </c>
      <c r="G72" s="299" t="s">
        <v>8</v>
      </c>
      <c r="H72" s="307" t="s">
        <v>478</v>
      </c>
      <c r="I72" s="307" t="s">
        <v>382</v>
      </c>
      <c r="J72" s="307" t="s">
        <v>523</v>
      </c>
      <c r="K72" s="299" t="s">
        <v>388</v>
      </c>
      <c r="L72" s="299" t="s">
        <v>389</v>
      </c>
      <c r="M72" s="299"/>
      <c r="N72" s="307"/>
      <c r="O72" s="307"/>
      <c r="P72" s="307" t="e">
        <f ca="1">_xll.BDP(J72&amp;" "&amp;K72&amp;" "&amp;L72,P$2)</f>
        <v>#NAME?</v>
      </c>
      <c r="Q72" s="307" t="e">
        <f ca="1">_xll.BDP(J72&amp;" "&amp;K72&amp;" "&amp;L72,Q$2)</f>
        <v>#NAME?</v>
      </c>
      <c r="R72" s="307" t="e">
        <f ca="1">_xll.BDP(J72&amp;" "&amp;K72&amp;" "&amp;L72,R$2)</f>
        <v>#NAME?</v>
      </c>
      <c r="S72" s="307" t="e">
        <f ca="1">_xll.BDP(J72&amp;" "&amp;K72&amp;" "&amp;L72,S$2)</f>
        <v>#NAME?</v>
      </c>
      <c r="U72" s="307" t="s">
        <v>524</v>
      </c>
      <c r="V72" s="307">
        <v>-9.5000000000000001E-2</v>
      </c>
      <c r="W72" s="307" t="s">
        <v>390</v>
      </c>
      <c r="X72" s="307" t="s">
        <v>525</v>
      </c>
    </row>
    <row r="73" spans="2:24" outlineLevel="2">
      <c r="B73" s="299" t="s">
        <v>374</v>
      </c>
      <c r="C73" s="299" t="s">
        <v>375</v>
      </c>
      <c r="D73" s="307" t="s">
        <v>472</v>
      </c>
      <c r="E73" s="307" t="s">
        <v>473</v>
      </c>
      <c r="F73" s="307" t="s">
        <v>376</v>
      </c>
      <c r="G73" s="299" t="s">
        <v>9</v>
      </c>
      <c r="H73" s="307" t="s">
        <v>478</v>
      </c>
      <c r="I73" s="307" t="s">
        <v>382</v>
      </c>
      <c r="J73" s="307" t="s">
        <v>526</v>
      </c>
      <c r="K73" s="299" t="s">
        <v>388</v>
      </c>
      <c r="L73" s="299" t="s">
        <v>389</v>
      </c>
      <c r="M73" s="299"/>
      <c r="N73" s="307"/>
      <c r="O73" s="307"/>
      <c r="P73" s="307" t="e">
        <f ca="1">_xll.BDP(J73&amp;" "&amp;K73&amp;" "&amp;L73,P$2)</f>
        <v>#NAME?</v>
      </c>
      <c r="Q73" s="307" t="e">
        <f ca="1">_xll.BDP(J73&amp;" "&amp;K73&amp;" "&amp;L73,Q$2)</f>
        <v>#NAME?</v>
      </c>
      <c r="R73" s="307" t="e">
        <f ca="1">_xll.BDP(J73&amp;" "&amp;K73&amp;" "&amp;L73,R$2)</f>
        <v>#NAME?</v>
      </c>
      <c r="S73" s="307" t="e">
        <f ca="1">_xll.BDP(J73&amp;" "&amp;K73&amp;" "&amp;L73,S$2)</f>
        <v>#NAME?</v>
      </c>
      <c r="U73" s="307" t="s">
        <v>527</v>
      </c>
      <c r="V73" s="307">
        <v>-4.2000000000000003E-2</v>
      </c>
      <c r="W73" s="307" t="s">
        <v>390</v>
      </c>
      <c r="X73" s="307" t="s">
        <v>453</v>
      </c>
    </row>
    <row r="74" spans="2:24" outlineLevel="2">
      <c r="B74" s="299" t="s">
        <v>374</v>
      </c>
      <c r="C74" s="299" t="s">
        <v>375</v>
      </c>
      <c r="D74" s="307" t="s">
        <v>472</v>
      </c>
      <c r="E74" s="307" t="s">
        <v>473</v>
      </c>
      <c r="F74" s="307" t="s">
        <v>376</v>
      </c>
      <c r="G74" s="299" t="s">
        <v>10</v>
      </c>
      <c r="H74" s="307" t="s">
        <v>478</v>
      </c>
      <c r="I74" s="307" t="s">
        <v>382</v>
      </c>
      <c r="J74" s="307" t="s">
        <v>528</v>
      </c>
      <c r="K74" s="299" t="s">
        <v>388</v>
      </c>
      <c r="L74" s="299" t="s">
        <v>389</v>
      </c>
      <c r="M74" s="299"/>
      <c r="N74" s="307"/>
      <c r="O74" s="307"/>
      <c r="P74" s="307" t="e">
        <f ca="1">_xll.BDP(J74&amp;" "&amp;K74&amp;" "&amp;L74,P$2)</f>
        <v>#NAME?</v>
      </c>
      <c r="Q74" s="307" t="e">
        <f ca="1">_xll.BDP(J74&amp;" "&amp;K74&amp;" "&amp;L74,Q$2)</f>
        <v>#NAME?</v>
      </c>
      <c r="R74" s="307" t="e">
        <f ca="1">_xll.BDP(J74&amp;" "&amp;K74&amp;" "&amp;L74,R$2)</f>
        <v>#NAME?</v>
      </c>
      <c r="S74" s="307" t="e">
        <f ca="1">_xll.BDP(J74&amp;" "&amp;K74&amp;" "&amp;L74,S$2)</f>
        <v>#NAME?</v>
      </c>
      <c r="U74" s="307" t="s">
        <v>529</v>
      </c>
      <c r="V74" s="307">
        <v>4.7E-2</v>
      </c>
      <c r="W74" s="307" t="s">
        <v>390</v>
      </c>
      <c r="X74" s="307" t="s">
        <v>530</v>
      </c>
    </row>
    <row r="75" spans="2:24" outlineLevel="2">
      <c r="B75" s="299" t="s">
        <v>374</v>
      </c>
      <c r="C75" s="299" t="s">
        <v>375</v>
      </c>
      <c r="D75" s="307" t="s">
        <v>472</v>
      </c>
      <c r="E75" s="307" t="s">
        <v>473</v>
      </c>
      <c r="F75" s="307" t="s">
        <v>376</v>
      </c>
      <c r="G75" s="299" t="s">
        <v>11</v>
      </c>
      <c r="H75" s="307" t="s">
        <v>478</v>
      </c>
      <c r="I75" s="307" t="s">
        <v>382</v>
      </c>
      <c r="J75" s="307" t="s">
        <v>531</v>
      </c>
      <c r="K75" s="299" t="s">
        <v>388</v>
      </c>
      <c r="L75" s="299" t="s">
        <v>389</v>
      </c>
      <c r="M75" s="299"/>
      <c r="N75" s="307"/>
      <c r="O75" s="307"/>
      <c r="P75" s="307" t="e">
        <f ca="1">_xll.BDP(J75&amp;" "&amp;K75&amp;" "&amp;L75,P$2)</f>
        <v>#NAME?</v>
      </c>
      <c r="Q75" s="307" t="e">
        <f ca="1">_xll.BDP(J75&amp;" "&amp;K75&amp;" "&amp;L75,Q$2)</f>
        <v>#NAME?</v>
      </c>
      <c r="R75" s="307" t="e">
        <f ca="1">_xll.BDP(J75&amp;" "&amp;K75&amp;" "&amp;L75,R$2)</f>
        <v>#NAME?</v>
      </c>
      <c r="S75" s="307" t="e">
        <f ca="1">_xll.BDP(J75&amp;" "&amp;K75&amp;" "&amp;L75,S$2)</f>
        <v>#NAME?</v>
      </c>
      <c r="U75" s="307" t="s">
        <v>532</v>
      </c>
      <c r="V75" s="307">
        <v>0.157</v>
      </c>
      <c r="W75" s="307" t="s">
        <v>390</v>
      </c>
      <c r="X75" s="307" t="s">
        <v>457</v>
      </c>
    </row>
    <row r="76" spans="2:24" outlineLevel="2">
      <c r="B76" s="299" t="s">
        <v>374</v>
      </c>
      <c r="C76" s="299" t="s">
        <v>375</v>
      </c>
      <c r="D76" s="307" t="s">
        <v>472</v>
      </c>
      <c r="E76" s="307" t="s">
        <v>473</v>
      </c>
      <c r="F76" s="307" t="s">
        <v>376</v>
      </c>
      <c r="G76" s="299" t="s">
        <v>12</v>
      </c>
      <c r="H76" s="307" t="s">
        <v>478</v>
      </c>
      <c r="I76" s="307" t="s">
        <v>382</v>
      </c>
      <c r="J76" s="307" t="s">
        <v>533</v>
      </c>
      <c r="K76" s="299" t="s">
        <v>388</v>
      </c>
      <c r="L76" s="299" t="s">
        <v>389</v>
      </c>
      <c r="M76" s="299"/>
      <c r="N76" s="307"/>
      <c r="O76" s="307"/>
      <c r="P76" s="307" t="e">
        <f ca="1">_xll.BDP(J76&amp;" "&amp;K76&amp;" "&amp;L76,P$2)</f>
        <v>#NAME?</v>
      </c>
      <c r="Q76" s="307" t="e">
        <f ca="1">_xll.BDP(J76&amp;" "&amp;K76&amp;" "&amp;L76,Q$2)</f>
        <v>#NAME?</v>
      </c>
      <c r="R76" s="307" t="e">
        <f ca="1">_xll.BDP(J76&amp;" "&amp;K76&amp;" "&amp;L76,R$2)</f>
        <v>#NAME?</v>
      </c>
      <c r="S76" s="307" t="e">
        <f ca="1">_xll.BDP(J76&amp;" "&amp;K76&amp;" "&amp;L76,S$2)</f>
        <v>#NAME?</v>
      </c>
      <c r="U76" s="307" t="s">
        <v>534</v>
      </c>
      <c r="V76" s="307">
        <v>0.28899999999999998</v>
      </c>
      <c r="W76" s="307" t="s">
        <v>390</v>
      </c>
      <c r="X76" s="307" t="s">
        <v>457</v>
      </c>
    </row>
    <row r="77" spans="2:24" outlineLevel="2">
      <c r="B77" s="299" t="s">
        <v>374</v>
      </c>
      <c r="C77" s="299" t="s">
        <v>375</v>
      </c>
      <c r="D77" s="307" t="s">
        <v>472</v>
      </c>
      <c r="E77" s="307" t="s">
        <v>473</v>
      </c>
      <c r="F77" s="307" t="s">
        <v>376</v>
      </c>
      <c r="G77" s="299" t="s">
        <v>13</v>
      </c>
      <c r="H77" s="307" t="s">
        <v>478</v>
      </c>
      <c r="I77" s="307" t="s">
        <v>382</v>
      </c>
      <c r="J77" s="307" t="s">
        <v>535</v>
      </c>
      <c r="K77" s="299" t="s">
        <v>388</v>
      </c>
      <c r="L77" s="299" t="s">
        <v>389</v>
      </c>
      <c r="M77" s="299"/>
      <c r="N77" s="307"/>
      <c r="O77" s="307"/>
      <c r="P77" s="307" t="e">
        <f ca="1">_xll.BDP(J77&amp;" "&amp;K77&amp;" "&amp;L77,P$2)</f>
        <v>#NAME?</v>
      </c>
      <c r="Q77" s="307" t="e">
        <f ca="1">_xll.BDP(J77&amp;" "&amp;K77&amp;" "&amp;L77,Q$2)</f>
        <v>#NAME?</v>
      </c>
      <c r="R77" s="307" t="e">
        <f ca="1">_xll.BDP(J77&amp;" "&amp;K77&amp;" "&amp;L77,R$2)</f>
        <v>#NAME?</v>
      </c>
      <c r="S77" s="307" t="e">
        <f ca="1">_xll.BDP(J77&amp;" "&amp;K77&amp;" "&amp;L77,S$2)</f>
        <v>#NAME?</v>
      </c>
      <c r="U77" s="307" t="s">
        <v>536</v>
      </c>
      <c r="V77" s="307">
        <v>0.42599999999999999</v>
      </c>
      <c r="W77" s="307" t="s">
        <v>390</v>
      </c>
      <c r="X77" s="307" t="s">
        <v>462</v>
      </c>
    </row>
    <row r="78" spans="2:24" outlineLevel="2">
      <c r="B78" s="299" t="s">
        <v>374</v>
      </c>
      <c r="C78" s="299" t="s">
        <v>375</v>
      </c>
      <c r="D78" s="307" t="s">
        <v>472</v>
      </c>
      <c r="E78" s="307" t="s">
        <v>473</v>
      </c>
      <c r="F78" s="307" t="s">
        <v>376</v>
      </c>
      <c r="G78" s="299" t="s">
        <v>14</v>
      </c>
      <c r="H78" s="307" t="s">
        <v>478</v>
      </c>
      <c r="I78" s="307" t="s">
        <v>382</v>
      </c>
      <c r="J78" s="307" t="s">
        <v>537</v>
      </c>
      <c r="K78" s="299" t="s">
        <v>388</v>
      </c>
      <c r="L78" s="299" t="s">
        <v>389</v>
      </c>
      <c r="M78" s="299"/>
      <c r="N78" s="307"/>
      <c r="O78" s="307"/>
      <c r="P78" s="307" t="e">
        <f ca="1">_xll.BDP(J78&amp;" "&amp;K78&amp;" "&amp;L78,P$2)</f>
        <v>#NAME?</v>
      </c>
      <c r="Q78" s="307" t="e">
        <f ca="1">_xll.BDP(J78&amp;" "&amp;K78&amp;" "&amp;L78,Q$2)</f>
        <v>#NAME?</v>
      </c>
      <c r="R78" s="307" t="e">
        <f ca="1">_xll.BDP(J78&amp;" "&amp;K78&amp;" "&amp;L78,R$2)</f>
        <v>#NAME?</v>
      </c>
      <c r="S78" s="307" t="e">
        <f ca="1">_xll.BDP(J78&amp;" "&amp;K78&amp;" "&amp;L78,S$2)</f>
        <v>#NAME?</v>
      </c>
      <c r="U78" s="307" t="s">
        <v>538</v>
      </c>
      <c r="V78" s="307">
        <v>0.56100000000000005</v>
      </c>
      <c r="W78" s="307" t="s">
        <v>390</v>
      </c>
      <c r="X78" s="307" t="s">
        <v>462</v>
      </c>
    </row>
    <row r="79" spans="2:24" outlineLevel="2">
      <c r="B79" s="299" t="s">
        <v>374</v>
      </c>
      <c r="C79" s="299" t="s">
        <v>375</v>
      </c>
      <c r="D79" s="307" t="s">
        <v>472</v>
      </c>
      <c r="E79" s="307" t="s">
        <v>473</v>
      </c>
      <c r="F79" s="307" t="s">
        <v>376</v>
      </c>
      <c r="G79" s="299" t="s">
        <v>15</v>
      </c>
      <c r="H79" s="307" t="s">
        <v>478</v>
      </c>
      <c r="I79" s="307" t="s">
        <v>382</v>
      </c>
      <c r="J79" s="307" t="s">
        <v>539</v>
      </c>
      <c r="K79" s="299" t="s">
        <v>388</v>
      </c>
      <c r="L79" s="299" t="s">
        <v>389</v>
      </c>
      <c r="M79" s="299"/>
      <c r="N79" s="307"/>
      <c r="O79" s="307"/>
      <c r="P79" s="307" t="e">
        <f ca="1">_xll.BDP(J79&amp;" "&amp;K79&amp;" "&amp;L79,P$2)</f>
        <v>#NAME?</v>
      </c>
      <c r="Q79" s="307" t="e">
        <f ca="1">_xll.BDP(J79&amp;" "&amp;K79&amp;" "&amp;L79,Q$2)</f>
        <v>#NAME?</v>
      </c>
      <c r="R79" s="307" t="e">
        <f ca="1">_xll.BDP(J79&amp;" "&amp;K79&amp;" "&amp;L79,R$2)</f>
        <v>#NAME?</v>
      </c>
      <c r="S79" s="307" t="e">
        <f ca="1">_xll.BDP(J79&amp;" "&amp;K79&amp;" "&amp;L79,S$2)</f>
        <v>#NAME?</v>
      </c>
      <c r="U79" s="307" t="s">
        <v>540</v>
      </c>
      <c r="V79" s="307">
        <v>0.68600000000000005</v>
      </c>
      <c r="W79" s="307" t="s">
        <v>390</v>
      </c>
      <c r="X79" s="307" t="s">
        <v>462</v>
      </c>
    </row>
    <row r="80" spans="2:24" outlineLevel="2">
      <c r="B80" s="299" t="s">
        <v>374</v>
      </c>
      <c r="C80" s="299" t="s">
        <v>375</v>
      </c>
      <c r="D80" s="307" t="s">
        <v>472</v>
      </c>
      <c r="E80" s="307" t="s">
        <v>473</v>
      </c>
      <c r="F80" s="307" t="s">
        <v>376</v>
      </c>
      <c r="G80" s="299" t="s">
        <v>16</v>
      </c>
      <c r="H80" s="307" t="s">
        <v>478</v>
      </c>
      <c r="I80" s="307" t="s">
        <v>382</v>
      </c>
      <c r="J80" s="307" t="s">
        <v>541</v>
      </c>
      <c r="K80" s="299" t="s">
        <v>388</v>
      </c>
      <c r="L80" s="299" t="s">
        <v>389</v>
      </c>
      <c r="M80" s="299"/>
      <c r="N80" s="307"/>
      <c r="O80" s="307"/>
      <c r="P80" s="307" t="e">
        <f ca="1">_xll.BDP(J80&amp;" "&amp;K80&amp;" "&amp;L80,P$2)</f>
        <v>#NAME?</v>
      </c>
      <c r="Q80" s="307" t="e">
        <f ca="1">_xll.BDP(J80&amp;" "&amp;K80&amp;" "&amp;L80,Q$2)</f>
        <v>#NAME?</v>
      </c>
      <c r="R80" s="307" t="e">
        <f ca="1">_xll.BDP(J80&amp;" "&amp;K80&amp;" "&amp;L80,R$2)</f>
        <v>#NAME?</v>
      </c>
      <c r="S80" s="307" t="e">
        <f ca="1">_xll.BDP(J80&amp;" "&amp;K80&amp;" "&amp;L80,S$2)</f>
        <v>#NAME?</v>
      </c>
      <c r="U80" s="307" t="s">
        <v>542</v>
      </c>
      <c r="V80" s="307">
        <v>0.79600000000000004</v>
      </c>
      <c r="W80" s="307" t="s">
        <v>390</v>
      </c>
      <c r="X80" s="307" t="s">
        <v>462</v>
      </c>
    </row>
    <row r="81" spans="2:24" outlineLevel="2">
      <c r="B81" s="299" t="s">
        <v>374</v>
      </c>
      <c r="C81" s="299" t="s">
        <v>375</v>
      </c>
      <c r="D81" s="307" t="s">
        <v>472</v>
      </c>
      <c r="E81" s="307" t="s">
        <v>473</v>
      </c>
      <c r="F81" s="307" t="s">
        <v>376</v>
      </c>
      <c r="G81" s="299" t="s">
        <v>543</v>
      </c>
      <c r="H81" s="307" t="s">
        <v>478</v>
      </c>
      <c r="I81" s="307" t="s">
        <v>382</v>
      </c>
      <c r="J81" s="307" t="s">
        <v>544</v>
      </c>
      <c r="K81" s="299" t="s">
        <v>388</v>
      </c>
      <c r="L81" s="299" t="s">
        <v>389</v>
      </c>
      <c r="M81" s="299"/>
      <c r="N81" s="307"/>
      <c r="O81" s="307"/>
      <c r="P81" s="307" t="e">
        <f ca="1">_xll.BDP(J81&amp;" "&amp;K81&amp;" "&amp;L81,P$2)</f>
        <v>#NAME?</v>
      </c>
      <c r="Q81" s="307" t="e">
        <f ca="1">_xll.BDP(J81&amp;" "&amp;K81&amp;" "&amp;L81,Q$2)</f>
        <v>#NAME?</v>
      </c>
      <c r="R81" s="307" t="e">
        <f ca="1">_xll.BDP(J81&amp;" "&amp;K81&amp;" "&amp;L81,R$2)</f>
        <v>#NAME?</v>
      </c>
      <c r="S81" s="307" t="e">
        <f ca="1">_xll.BDP(J81&amp;" "&amp;K81&amp;" "&amp;L81,S$2)</f>
        <v>#NAME?</v>
      </c>
      <c r="U81" s="307" t="s">
        <v>545</v>
      </c>
      <c r="V81" s="307">
        <v>0.89600000000000002</v>
      </c>
      <c r="W81" s="307" t="s">
        <v>390</v>
      </c>
      <c r="X81" s="307" t="s">
        <v>462</v>
      </c>
    </row>
    <row r="82" spans="2:24" outlineLevel="2">
      <c r="B82" s="299" t="s">
        <v>374</v>
      </c>
      <c r="C82" s="299" t="s">
        <v>375</v>
      </c>
      <c r="D82" s="307" t="s">
        <v>472</v>
      </c>
      <c r="E82" s="307" t="s">
        <v>473</v>
      </c>
      <c r="F82" s="307" t="s">
        <v>376</v>
      </c>
      <c r="G82" s="299" t="s">
        <v>27</v>
      </c>
      <c r="H82" s="307" t="s">
        <v>478</v>
      </c>
      <c r="I82" s="307" t="s">
        <v>382</v>
      </c>
      <c r="J82" s="307" t="s">
        <v>546</v>
      </c>
      <c r="K82" s="299" t="s">
        <v>388</v>
      </c>
      <c r="L82" s="299" t="s">
        <v>389</v>
      </c>
      <c r="M82" s="299"/>
      <c r="N82" s="307"/>
      <c r="O82" s="307"/>
      <c r="P82" s="307" t="e">
        <f ca="1">_xll.BDP(J82&amp;" "&amp;K82&amp;" "&amp;L82,P$2)</f>
        <v>#NAME?</v>
      </c>
      <c r="Q82" s="307" t="e">
        <f ca="1">_xll.BDP(J82&amp;" "&amp;K82&amp;" "&amp;L82,Q$2)</f>
        <v>#NAME?</v>
      </c>
      <c r="R82" s="307" t="e">
        <f ca="1">_xll.BDP(J82&amp;" "&amp;K82&amp;" "&amp;L82,R$2)</f>
        <v>#NAME?</v>
      </c>
      <c r="S82" s="307" t="e">
        <f ca="1">_xll.BDP(J82&amp;" "&amp;K82&amp;" "&amp;L82,S$2)</f>
        <v>#NAME?</v>
      </c>
      <c r="U82" s="307" t="s">
        <v>547</v>
      </c>
      <c r="V82" s="307">
        <v>0.98399999999999999</v>
      </c>
      <c r="W82" s="307" t="s">
        <v>390</v>
      </c>
      <c r="X82" s="307" t="s">
        <v>462</v>
      </c>
    </row>
    <row r="83" spans="2:24" outlineLevel="2">
      <c r="B83" s="299" t="s">
        <v>374</v>
      </c>
      <c r="C83" s="299" t="s">
        <v>375</v>
      </c>
      <c r="D83" s="307" t="s">
        <v>472</v>
      </c>
      <c r="E83" s="307" t="s">
        <v>473</v>
      </c>
      <c r="F83" s="307" t="s">
        <v>376</v>
      </c>
      <c r="G83" s="299" t="s">
        <v>548</v>
      </c>
      <c r="H83" s="307" t="s">
        <v>478</v>
      </c>
      <c r="I83" s="307" t="s">
        <v>382</v>
      </c>
      <c r="J83" s="307" t="s">
        <v>549</v>
      </c>
      <c r="K83" s="299" t="s">
        <v>388</v>
      </c>
      <c r="L83" s="299" t="s">
        <v>389</v>
      </c>
      <c r="M83" s="299"/>
      <c r="N83" s="307"/>
      <c r="O83" s="307"/>
      <c r="P83" s="307" t="e">
        <f ca="1">_xll.BDP(J83&amp;" "&amp;K83&amp;" "&amp;L83,P$2)</f>
        <v>#NAME?</v>
      </c>
      <c r="Q83" s="307" t="e">
        <f ca="1">_xll.BDP(J83&amp;" "&amp;K83&amp;" "&amp;L83,Q$2)</f>
        <v>#NAME?</v>
      </c>
      <c r="R83" s="307" t="e">
        <f ca="1">_xll.BDP(J83&amp;" "&amp;K83&amp;" "&amp;L83,R$2)</f>
        <v>#NAME?</v>
      </c>
      <c r="S83" s="307" t="e">
        <f ca="1">_xll.BDP(J83&amp;" "&amp;K83&amp;" "&amp;L83,S$2)</f>
        <v>#NAME?</v>
      </c>
      <c r="U83" s="307" t="s">
        <v>550</v>
      </c>
      <c r="V83" s="307" t="s">
        <v>423</v>
      </c>
      <c r="W83" s="307" t="s">
        <v>423</v>
      </c>
      <c r="X83" s="307" t="s">
        <v>423</v>
      </c>
    </row>
    <row r="84" spans="2:24" outlineLevel="2">
      <c r="B84" s="299" t="s">
        <v>374</v>
      </c>
      <c r="C84" s="299" t="s">
        <v>375</v>
      </c>
      <c r="D84" s="307" t="s">
        <v>472</v>
      </c>
      <c r="E84" s="307" t="s">
        <v>473</v>
      </c>
      <c r="F84" s="307" t="s">
        <v>376</v>
      </c>
      <c r="G84" s="299" t="s">
        <v>551</v>
      </c>
      <c r="H84" s="307" t="s">
        <v>478</v>
      </c>
      <c r="I84" s="307" t="s">
        <v>382</v>
      </c>
      <c r="J84" s="307" t="s">
        <v>552</v>
      </c>
      <c r="K84" s="299" t="s">
        <v>388</v>
      </c>
      <c r="L84" s="299" t="s">
        <v>389</v>
      </c>
      <c r="M84" s="299"/>
      <c r="N84" s="307"/>
      <c r="O84" s="307"/>
      <c r="P84" s="307" t="e">
        <f ca="1">_xll.BDP(J84&amp;" "&amp;K84&amp;" "&amp;L84,P$2)</f>
        <v>#NAME?</v>
      </c>
      <c r="Q84" s="307" t="e">
        <f ca="1">_xll.BDP(J84&amp;" "&amp;K84&amp;" "&amp;L84,Q$2)</f>
        <v>#NAME?</v>
      </c>
      <c r="R84" s="307" t="e">
        <f ca="1">_xll.BDP(J84&amp;" "&amp;K84&amp;" "&amp;L84,R$2)</f>
        <v>#NAME?</v>
      </c>
      <c r="S84" s="307" t="e">
        <f ca="1">_xll.BDP(J84&amp;" "&amp;K84&amp;" "&amp;L84,S$2)</f>
        <v>#NAME?</v>
      </c>
      <c r="U84" s="307" t="s">
        <v>553</v>
      </c>
      <c r="V84" s="307" t="s">
        <v>423</v>
      </c>
      <c r="W84" s="307" t="s">
        <v>423</v>
      </c>
      <c r="X84" s="307" t="s">
        <v>423</v>
      </c>
    </row>
    <row r="85" spans="2:24" outlineLevel="2">
      <c r="B85" s="299" t="s">
        <v>374</v>
      </c>
      <c r="C85" s="299" t="s">
        <v>375</v>
      </c>
      <c r="D85" s="307" t="s">
        <v>472</v>
      </c>
      <c r="E85" s="307" t="s">
        <v>473</v>
      </c>
      <c r="F85" s="307" t="s">
        <v>376</v>
      </c>
      <c r="G85" s="299" t="s">
        <v>17</v>
      </c>
      <c r="H85" s="307" t="s">
        <v>478</v>
      </c>
      <c r="I85" s="307" t="s">
        <v>382</v>
      </c>
      <c r="J85" s="307" t="s">
        <v>554</v>
      </c>
      <c r="K85" s="299" t="s">
        <v>388</v>
      </c>
      <c r="L85" s="299" t="s">
        <v>389</v>
      </c>
      <c r="M85" s="299"/>
      <c r="N85" s="307"/>
      <c r="O85" s="307"/>
      <c r="P85" s="307" t="e">
        <f ca="1">_xll.BDP(J85&amp;" "&amp;K85&amp;" "&amp;L85,P$2)</f>
        <v>#NAME?</v>
      </c>
      <c r="Q85" s="307" t="e">
        <f ca="1">_xll.BDP(J85&amp;" "&amp;K85&amp;" "&amp;L85,Q$2)</f>
        <v>#NAME?</v>
      </c>
      <c r="R85" s="307" t="e">
        <f ca="1">_xll.BDP(J85&amp;" "&amp;K85&amp;" "&amp;L85,R$2)</f>
        <v>#NAME?</v>
      </c>
      <c r="S85" s="307" t="e">
        <f ca="1">_xll.BDP(J85&amp;" "&amp;K85&amp;" "&amp;L85,S$2)</f>
        <v>#NAME?</v>
      </c>
      <c r="U85" s="307" t="s">
        <v>555</v>
      </c>
      <c r="V85" s="307">
        <v>1.181</v>
      </c>
      <c r="W85" s="307" t="s">
        <v>390</v>
      </c>
      <c r="X85" s="307" t="s">
        <v>462</v>
      </c>
    </row>
    <row r="86" spans="2:24" outlineLevel="2">
      <c r="B86" s="299" t="s">
        <v>374</v>
      </c>
      <c r="C86" s="299" t="s">
        <v>375</v>
      </c>
      <c r="D86" s="307" t="s">
        <v>472</v>
      </c>
      <c r="E86" s="307" t="s">
        <v>473</v>
      </c>
      <c r="F86" s="307" t="s">
        <v>376</v>
      </c>
      <c r="G86" s="299" t="s">
        <v>104</v>
      </c>
      <c r="H86" s="307" t="s">
        <v>478</v>
      </c>
      <c r="I86" s="307" t="s">
        <v>382</v>
      </c>
      <c r="J86" s="307" t="s">
        <v>556</v>
      </c>
      <c r="K86" s="299" t="s">
        <v>388</v>
      </c>
      <c r="L86" s="299" t="s">
        <v>389</v>
      </c>
      <c r="M86" s="299"/>
      <c r="N86" s="307"/>
      <c r="O86" s="307"/>
      <c r="P86" s="307" t="e">
        <f ca="1">_xll.BDP(J86&amp;" "&amp;K86&amp;" "&amp;L86,P$2)</f>
        <v>#NAME?</v>
      </c>
      <c r="Q86" s="307" t="e">
        <f ca="1">_xll.BDP(J86&amp;" "&amp;K86&amp;" "&amp;L86,Q$2)</f>
        <v>#NAME?</v>
      </c>
      <c r="R86" s="307" t="e">
        <f ca="1">_xll.BDP(J86&amp;" "&amp;K86&amp;" "&amp;L86,R$2)</f>
        <v>#NAME?</v>
      </c>
      <c r="S86" s="307" t="e">
        <f ca="1">_xll.BDP(J86&amp;" "&amp;K86&amp;" "&amp;L86,S$2)</f>
        <v>#NAME?</v>
      </c>
      <c r="U86" s="307" t="s">
        <v>557</v>
      </c>
      <c r="V86" s="307">
        <v>1.35</v>
      </c>
      <c r="W86" s="307" t="s">
        <v>390</v>
      </c>
      <c r="X86" s="307" t="s">
        <v>462</v>
      </c>
    </row>
    <row r="87" spans="2:24" outlineLevel="2">
      <c r="B87" s="299" t="s">
        <v>374</v>
      </c>
      <c r="C87" s="299" t="s">
        <v>375</v>
      </c>
      <c r="D87" s="307" t="s">
        <v>472</v>
      </c>
      <c r="E87" s="307" t="s">
        <v>473</v>
      </c>
      <c r="F87" s="307" t="s">
        <v>376</v>
      </c>
      <c r="G87" s="299" t="s">
        <v>105</v>
      </c>
      <c r="H87" s="307" t="s">
        <v>478</v>
      </c>
      <c r="I87" s="307" t="s">
        <v>382</v>
      </c>
      <c r="J87" s="307" t="s">
        <v>558</v>
      </c>
      <c r="K87" s="299" t="s">
        <v>388</v>
      </c>
      <c r="L87" s="299" t="s">
        <v>389</v>
      </c>
      <c r="M87" s="299"/>
      <c r="N87" s="307"/>
      <c r="O87" s="307"/>
      <c r="P87" s="307" t="e">
        <f ca="1">_xll.BDP(J87&amp;" "&amp;K87&amp;" "&amp;L87,P$2)</f>
        <v>#NAME?</v>
      </c>
      <c r="Q87" s="307" t="e">
        <f ca="1">_xll.BDP(J87&amp;" "&amp;K87&amp;" "&amp;L87,Q$2)</f>
        <v>#NAME?</v>
      </c>
      <c r="R87" s="307" t="e">
        <f ca="1">_xll.BDP(J87&amp;" "&amp;K87&amp;" "&amp;L87,R$2)</f>
        <v>#NAME?</v>
      </c>
      <c r="S87" s="307" t="e">
        <f ca="1">_xll.BDP(J87&amp;" "&amp;K87&amp;" "&amp;L87,S$2)</f>
        <v>#NAME?</v>
      </c>
      <c r="U87" s="307" t="s">
        <v>559</v>
      </c>
      <c r="V87" s="307">
        <v>1.397</v>
      </c>
      <c r="W87" s="307" t="s">
        <v>390</v>
      </c>
      <c r="X87" s="307" t="s">
        <v>462</v>
      </c>
    </row>
    <row r="88" spans="2:24" outlineLevel="2">
      <c r="B88" s="299" t="s">
        <v>374</v>
      </c>
      <c r="C88" s="299" t="s">
        <v>375</v>
      </c>
      <c r="D88" s="307" t="s">
        <v>472</v>
      </c>
      <c r="E88" s="307" t="s">
        <v>473</v>
      </c>
      <c r="F88" s="307" t="s">
        <v>376</v>
      </c>
      <c r="G88" s="299" t="s">
        <v>106</v>
      </c>
      <c r="H88" s="307" t="s">
        <v>478</v>
      </c>
      <c r="I88" s="307" t="s">
        <v>382</v>
      </c>
      <c r="J88" s="307" t="s">
        <v>560</v>
      </c>
      <c r="K88" s="299" t="s">
        <v>388</v>
      </c>
      <c r="L88" s="299" t="s">
        <v>389</v>
      </c>
      <c r="M88" s="299"/>
      <c r="N88" s="307"/>
      <c r="O88" s="307"/>
      <c r="P88" s="307" t="e">
        <f ca="1">_xll.BDP(J88&amp;" "&amp;K88&amp;" "&amp;L88,P$2)</f>
        <v>#NAME?</v>
      </c>
      <c r="Q88" s="307" t="e">
        <f ca="1">_xll.BDP(J88&amp;" "&amp;K88&amp;" "&amp;L88,Q$2)</f>
        <v>#NAME?</v>
      </c>
      <c r="R88" s="307" t="e">
        <f ca="1">_xll.BDP(J88&amp;" "&amp;K88&amp;" "&amp;L88,R$2)</f>
        <v>#NAME?</v>
      </c>
      <c r="S88" s="307" t="e">
        <f ca="1">_xll.BDP(J88&amp;" "&amp;K88&amp;" "&amp;L88,S$2)</f>
        <v>#NAME?</v>
      </c>
      <c r="U88" s="307" t="s">
        <v>561</v>
      </c>
      <c r="V88" s="307">
        <v>1.4179999999999999</v>
      </c>
      <c r="W88" s="307" t="s">
        <v>390</v>
      </c>
      <c r="X88" s="307" t="s">
        <v>462</v>
      </c>
    </row>
    <row r="89" spans="2:24" outlineLevel="2">
      <c r="B89" s="299" t="s">
        <v>374</v>
      </c>
      <c r="C89" s="299" t="s">
        <v>375</v>
      </c>
      <c r="D89" s="307" t="s">
        <v>472</v>
      </c>
      <c r="E89" s="307" t="s">
        <v>473</v>
      </c>
      <c r="F89" s="307" t="s">
        <v>376</v>
      </c>
      <c r="G89" s="299" t="s">
        <v>159</v>
      </c>
      <c r="H89" s="307" t="s">
        <v>478</v>
      </c>
      <c r="I89" s="307" t="s">
        <v>382</v>
      </c>
      <c r="J89" s="307" t="s">
        <v>562</v>
      </c>
      <c r="K89" s="299" t="s">
        <v>388</v>
      </c>
      <c r="L89" s="299" t="s">
        <v>389</v>
      </c>
      <c r="M89" s="299"/>
      <c r="N89" s="307"/>
      <c r="O89" s="307"/>
      <c r="P89" s="307" t="e">
        <f ca="1">_xll.BDP(J89&amp;" "&amp;K89&amp;" "&amp;L89,P$2)</f>
        <v>#NAME?</v>
      </c>
      <c r="Q89" s="307" t="e">
        <f ca="1">_xll.BDP(J89&amp;" "&amp;K89&amp;" "&amp;L89,Q$2)</f>
        <v>#NAME?</v>
      </c>
      <c r="R89" s="307" t="e">
        <f ca="1">_xll.BDP(J89&amp;" "&amp;K89&amp;" "&amp;L89,R$2)</f>
        <v>#NAME?</v>
      </c>
      <c r="S89" s="307" t="e">
        <f ca="1">_xll.BDP(J89&amp;" "&amp;K89&amp;" "&amp;L89,S$2)</f>
        <v>#NAME?</v>
      </c>
      <c r="U89" s="307" t="s">
        <v>563</v>
      </c>
      <c r="V89" s="307">
        <v>1.4510000000000001</v>
      </c>
      <c r="W89" s="307" t="s">
        <v>390</v>
      </c>
      <c r="X89" s="307" t="s">
        <v>462</v>
      </c>
    </row>
    <row r="90" spans="2:24" outlineLevel="2">
      <c r="B90" s="299" t="s">
        <v>374</v>
      </c>
      <c r="C90" s="299" t="s">
        <v>375</v>
      </c>
      <c r="D90" s="307" t="s">
        <v>472</v>
      </c>
      <c r="E90" s="307" t="s">
        <v>473</v>
      </c>
      <c r="F90" s="307" t="s">
        <v>376</v>
      </c>
      <c r="G90" s="299" t="s">
        <v>160</v>
      </c>
      <c r="H90" s="307" t="s">
        <v>478</v>
      </c>
      <c r="I90" s="307" t="s">
        <v>382</v>
      </c>
      <c r="J90" s="307" t="s">
        <v>564</v>
      </c>
      <c r="K90" s="299" t="s">
        <v>388</v>
      </c>
      <c r="L90" s="299" t="s">
        <v>389</v>
      </c>
      <c r="M90" s="299"/>
      <c r="N90" s="307"/>
      <c r="O90" s="307"/>
      <c r="P90" s="307" t="e">
        <f ca="1">_xll.BDP(J90&amp;" "&amp;K90&amp;" "&amp;L90,P$2)</f>
        <v>#NAME?</v>
      </c>
      <c r="Q90" s="307" t="e">
        <f ca="1">_xll.BDP(J90&amp;" "&amp;K90&amp;" "&amp;L90,Q$2)</f>
        <v>#NAME?</v>
      </c>
      <c r="R90" s="307" t="e">
        <f ca="1">_xll.BDP(J90&amp;" "&amp;K90&amp;" "&amp;L90,R$2)</f>
        <v>#NAME?</v>
      </c>
      <c r="S90" s="307" t="e">
        <f ca="1">_xll.BDP(J90&amp;" "&amp;K90&amp;" "&amp;L90,S$2)</f>
        <v>#NAME?</v>
      </c>
      <c r="U90" s="307" t="s">
        <v>565</v>
      </c>
      <c r="V90" s="307">
        <v>1.425</v>
      </c>
      <c r="W90" s="307" t="s">
        <v>390</v>
      </c>
      <c r="X90" s="307" t="s">
        <v>462</v>
      </c>
    </row>
    <row r="91" spans="2:24" outlineLevel="2">
      <c r="B91" s="299" t="s">
        <v>374</v>
      </c>
      <c r="C91" s="299" t="s">
        <v>375</v>
      </c>
      <c r="D91" s="323" t="s">
        <v>472</v>
      </c>
      <c r="E91" s="323" t="s">
        <v>473</v>
      </c>
      <c r="F91" s="323" t="s">
        <v>376</v>
      </c>
      <c r="G91" s="324" t="s">
        <v>566</v>
      </c>
      <c r="H91" s="323" t="s">
        <v>478</v>
      </c>
      <c r="I91" s="323" t="s">
        <v>382</v>
      </c>
      <c r="J91" s="323" t="s">
        <v>567</v>
      </c>
      <c r="K91" s="324" t="s">
        <v>388</v>
      </c>
      <c r="L91" s="324" t="s">
        <v>389</v>
      </c>
      <c r="M91" s="324"/>
      <c r="N91" s="323"/>
      <c r="O91" s="323"/>
      <c r="P91" s="323" t="e">
        <f ca="1">_xll.BDP(J91&amp;" "&amp;K91&amp;" "&amp;L91,P$2)</f>
        <v>#NAME?</v>
      </c>
      <c r="Q91" s="323" t="e">
        <f ca="1">_xll.BDP(J91&amp;" "&amp;K91&amp;" "&amp;L91,Q$2)</f>
        <v>#NAME?</v>
      </c>
      <c r="R91" s="323" t="e">
        <f ca="1">_xll.BDP(J91&amp;" "&amp;K91&amp;" "&amp;L91,R$2)</f>
        <v>#NAME?</v>
      </c>
      <c r="S91" s="323" t="e">
        <f ca="1">_xll.BDP(J91&amp;" "&amp;K91&amp;" "&amp;L91,S$2)</f>
        <v>#NAME?</v>
      </c>
      <c r="U91" s="323" t="s">
        <v>568</v>
      </c>
      <c r="V91" s="323">
        <v>1.417</v>
      </c>
      <c r="W91" s="323" t="s">
        <v>390</v>
      </c>
      <c r="X91" s="323" t="s">
        <v>462</v>
      </c>
    </row>
    <row r="92" spans="2:24" s="293" customFormat="1" outlineLevel="1">
      <c r="B92" s="299" t="s">
        <v>374</v>
      </c>
      <c r="C92" s="299" t="s">
        <v>375</v>
      </c>
      <c r="D92" s="306" t="s">
        <v>569</v>
      </c>
      <c r="E92" s="307" t="s">
        <v>570</v>
      </c>
      <c r="F92" s="307" t="s">
        <v>376</v>
      </c>
      <c r="G92" s="325"/>
      <c r="H92" s="326"/>
      <c r="I92" s="326"/>
      <c r="J92" s="326"/>
      <c r="K92" s="327"/>
      <c r="L92" s="327"/>
      <c r="M92" s="328"/>
      <c r="N92" s="320" t="s">
        <v>571</v>
      </c>
      <c r="O92" s="321"/>
      <c r="P92" s="302"/>
      <c r="Q92" s="302"/>
      <c r="R92" s="302"/>
      <c r="S92" s="322"/>
      <c r="U92" s="302"/>
      <c r="V92" s="302"/>
      <c r="W92" s="302"/>
      <c r="X92" s="322"/>
    </row>
    <row r="93" spans="2:24" outlineLevel="2">
      <c r="B93" s="299" t="s">
        <v>374</v>
      </c>
      <c r="C93" s="299" t="s">
        <v>375</v>
      </c>
      <c r="D93" s="307" t="s">
        <v>569</v>
      </c>
      <c r="E93" s="307" t="s">
        <v>570</v>
      </c>
      <c r="F93" s="307" t="s">
        <v>376</v>
      </c>
      <c r="G93" s="299" t="s">
        <v>26</v>
      </c>
      <c r="H93" s="307" t="s">
        <v>475</v>
      </c>
      <c r="I93" s="307" t="s">
        <v>382</v>
      </c>
      <c r="J93" s="307" t="s">
        <v>572</v>
      </c>
      <c r="K93" s="299"/>
      <c r="L93" s="299" t="s">
        <v>383</v>
      </c>
      <c r="M93" s="299"/>
      <c r="N93" s="307"/>
      <c r="O93" s="307"/>
      <c r="P93" s="307" t="e">
        <f ca="1">_xll.BDP(J93&amp;" "&amp;K93&amp;" "&amp;L93,P$2)</f>
        <v>#NAME?</v>
      </c>
      <c r="Q93" s="307" t="e">
        <f ca="1">_xll.BDP(J93&amp;" "&amp;K93&amp;" "&amp;L93,Q$2)</f>
        <v>#NAME?</v>
      </c>
      <c r="R93" s="307" t="e">
        <f ca="1">_xll.BDP(J93&amp;" "&amp;K93&amp;" "&amp;L93,R$2)</f>
        <v>#NAME?</v>
      </c>
      <c r="S93" s="307" t="e">
        <f ca="1">_xll.BDP(J93&amp;" "&amp;K93&amp;" "&amp;L93,S$2)</f>
        <v>#NAME?</v>
      </c>
      <c r="U93" s="307" t="s">
        <v>573</v>
      </c>
      <c r="V93" s="307">
        <v>-3.4000000000000002E-2</v>
      </c>
      <c r="W93" s="307" t="s">
        <v>384</v>
      </c>
      <c r="X93" s="307" t="s">
        <v>384</v>
      </c>
    </row>
    <row r="94" spans="2:24" outlineLevel="2">
      <c r="B94" s="299" t="s">
        <v>374</v>
      </c>
      <c r="C94" s="299" t="s">
        <v>375</v>
      </c>
      <c r="D94" s="307" t="s">
        <v>569</v>
      </c>
      <c r="E94" s="307" t="s">
        <v>570</v>
      </c>
      <c r="F94" s="307" t="s">
        <v>376</v>
      </c>
      <c r="G94" s="329" t="s">
        <v>26</v>
      </c>
      <c r="H94" s="330" t="s">
        <v>574</v>
      </c>
      <c r="I94" s="330" t="s">
        <v>382</v>
      </c>
      <c r="J94" s="330" t="s">
        <v>575</v>
      </c>
      <c r="K94" s="329" t="s">
        <v>388</v>
      </c>
      <c r="L94" s="329" t="s">
        <v>389</v>
      </c>
      <c r="M94" s="329"/>
      <c r="N94" s="330"/>
      <c r="O94" s="330"/>
      <c r="P94" s="307" t="e">
        <f ca="1">_xll.BDP(J94&amp;" "&amp;K94&amp;" "&amp;L94,P$2)</f>
        <v>#NAME?</v>
      </c>
      <c r="Q94" s="307" t="e">
        <f ca="1">_xll.BDP(J94&amp;" "&amp;K94&amp;" "&amp;L94,Q$2)</f>
        <v>#NAME?</v>
      </c>
      <c r="R94" s="307" t="e">
        <f ca="1">_xll.BDP(J94&amp;" "&amp;K94&amp;" "&amp;L94,R$2)</f>
        <v>#NAME?</v>
      </c>
      <c r="S94" s="307" t="e">
        <f ca="1">_xll.BDP(J94&amp;" "&amp;K94&amp;" "&amp;L94,S$2)</f>
        <v>#NAME?</v>
      </c>
      <c r="U94" s="307" t="s">
        <v>576</v>
      </c>
      <c r="V94" s="307" t="s">
        <v>423</v>
      </c>
      <c r="W94" s="307" t="s">
        <v>423</v>
      </c>
      <c r="X94" s="307" t="s">
        <v>423</v>
      </c>
    </row>
    <row r="95" spans="2:24" outlineLevel="2">
      <c r="B95" s="299" t="s">
        <v>374</v>
      </c>
      <c r="C95" s="299" t="s">
        <v>375</v>
      </c>
      <c r="D95" s="307" t="s">
        <v>569</v>
      </c>
      <c r="E95" s="307" t="s">
        <v>570</v>
      </c>
      <c r="F95" s="307" t="s">
        <v>376</v>
      </c>
      <c r="G95" s="312" t="s">
        <v>401</v>
      </c>
      <c r="H95" s="313" t="s">
        <v>577</v>
      </c>
      <c r="I95" s="313" t="s">
        <v>382</v>
      </c>
      <c r="J95" s="313" t="s">
        <v>578</v>
      </c>
      <c r="K95" s="312" t="s">
        <v>388</v>
      </c>
      <c r="L95" s="312" t="s">
        <v>389</v>
      </c>
      <c r="M95" s="312"/>
      <c r="N95" s="313"/>
      <c r="O95" s="313"/>
      <c r="P95" s="307" t="e">
        <f ca="1">_xll.BDP(J95&amp;" "&amp;K95&amp;" "&amp;L95,P$2)</f>
        <v>#NAME?</v>
      </c>
      <c r="Q95" s="307" t="e">
        <f ca="1">_xll.BDP(J95&amp;" "&amp;K95&amp;" "&amp;L95,Q$2)</f>
        <v>#NAME?</v>
      </c>
      <c r="R95" s="307" t="e">
        <f ca="1">_xll.BDP(J95&amp;" "&amp;K95&amp;" "&amp;L95,R$2)</f>
        <v>#NAME?</v>
      </c>
      <c r="S95" s="307" t="e">
        <f ca="1">_xll.BDP(J95&amp;" "&amp;K95&amp;" "&amp;L95,S$2)</f>
        <v>#NAME?</v>
      </c>
      <c r="U95" s="307" t="s">
        <v>579</v>
      </c>
      <c r="V95" s="307">
        <v>-3.9E-2</v>
      </c>
      <c r="W95" s="307" t="s">
        <v>390</v>
      </c>
      <c r="X95" s="307" t="s">
        <v>580</v>
      </c>
    </row>
    <row r="96" spans="2:24" outlineLevel="2">
      <c r="B96" s="299" t="s">
        <v>374</v>
      </c>
      <c r="C96" s="299" t="s">
        <v>375</v>
      </c>
      <c r="D96" s="307" t="s">
        <v>569</v>
      </c>
      <c r="E96" s="307" t="s">
        <v>570</v>
      </c>
      <c r="F96" s="307" t="s">
        <v>376</v>
      </c>
      <c r="G96" s="312" t="s">
        <v>404</v>
      </c>
      <c r="H96" s="313" t="s">
        <v>581</v>
      </c>
      <c r="I96" s="313" t="s">
        <v>382</v>
      </c>
      <c r="J96" s="313" t="s">
        <v>582</v>
      </c>
      <c r="K96" s="312" t="s">
        <v>388</v>
      </c>
      <c r="L96" s="312" t="s">
        <v>389</v>
      </c>
      <c r="M96" s="312"/>
      <c r="N96" s="313"/>
      <c r="O96" s="313"/>
      <c r="P96" s="307" t="e">
        <f ca="1">_xll.BDP(J96&amp;" "&amp;K96&amp;" "&amp;L96,P$2)</f>
        <v>#NAME?</v>
      </c>
      <c r="Q96" s="307" t="e">
        <f ca="1">_xll.BDP(J96&amp;" "&amp;K96&amp;" "&amp;L96,Q$2)</f>
        <v>#NAME?</v>
      </c>
      <c r="R96" s="307" t="e">
        <f ca="1">_xll.BDP(J96&amp;" "&amp;K96&amp;" "&amp;L96,R$2)</f>
        <v>#NAME?</v>
      </c>
      <c r="S96" s="307" t="e">
        <f ca="1">_xll.BDP(J96&amp;" "&amp;K96&amp;" "&amp;L96,S$2)</f>
        <v>#NAME?</v>
      </c>
      <c r="U96" s="307" t="s">
        <v>583</v>
      </c>
      <c r="V96" s="307">
        <v>-0.04</v>
      </c>
      <c r="W96" s="307" t="s">
        <v>390</v>
      </c>
      <c r="X96" s="307" t="s">
        <v>580</v>
      </c>
    </row>
    <row r="97" spans="2:24" outlineLevel="2">
      <c r="B97" s="299" t="s">
        <v>374</v>
      </c>
      <c r="C97" s="299" t="s">
        <v>375</v>
      </c>
      <c r="D97" s="307" t="s">
        <v>569</v>
      </c>
      <c r="E97" s="307" t="s">
        <v>570</v>
      </c>
      <c r="F97" s="307" t="s">
        <v>376</v>
      </c>
      <c r="G97" s="312" t="s">
        <v>19</v>
      </c>
      <c r="H97" s="313" t="s">
        <v>584</v>
      </c>
      <c r="I97" s="313" t="s">
        <v>382</v>
      </c>
      <c r="J97" s="313" t="s">
        <v>585</v>
      </c>
      <c r="K97" s="312" t="s">
        <v>388</v>
      </c>
      <c r="L97" s="312" t="s">
        <v>389</v>
      </c>
      <c r="M97" s="312"/>
      <c r="N97" s="313"/>
      <c r="O97" s="313"/>
      <c r="P97" s="307" t="e">
        <f ca="1">_xll.BDP(J97&amp;" "&amp;K97&amp;" "&amp;L97,P$2)</f>
        <v>#NAME?</v>
      </c>
      <c r="Q97" s="307" t="e">
        <f ca="1">_xll.BDP(J97&amp;" "&amp;K97&amp;" "&amp;L97,Q$2)</f>
        <v>#NAME?</v>
      </c>
      <c r="R97" s="307" t="e">
        <f ca="1">_xll.BDP(J97&amp;" "&amp;K97&amp;" "&amp;L97,R$2)</f>
        <v>#NAME?</v>
      </c>
      <c r="S97" s="307" t="e">
        <f ca="1">_xll.BDP(J97&amp;" "&amp;K97&amp;" "&amp;L97,S$2)</f>
        <v>#NAME?</v>
      </c>
      <c r="U97" s="307" t="s">
        <v>586</v>
      </c>
      <c r="V97" s="307">
        <v>-3.9E-2</v>
      </c>
      <c r="W97" s="307" t="s">
        <v>390</v>
      </c>
      <c r="X97" s="307" t="s">
        <v>587</v>
      </c>
    </row>
    <row r="98" spans="2:24" outlineLevel="2">
      <c r="B98" s="299" t="s">
        <v>374</v>
      </c>
      <c r="C98" s="299" t="s">
        <v>375</v>
      </c>
      <c r="D98" s="307" t="s">
        <v>569</v>
      </c>
      <c r="E98" s="307" t="s">
        <v>570</v>
      </c>
      <c r="F98" s="307" t="s">
        <v>376</v>
      </c>
      <c r="G98" s="312" t="s">
        <v>407</v>
      </c>
      <c r="H98" s="313" t="s">
        <v>588</v>
      </c>
      <c r="I98" s="313" t="s">
        <v>382</v>
      </c>
      <c r="J98" s="313" t="s">
        <v>589</v>
      </c>
      <c r="K98" s="312" t="s">
        <v>388</v>
      </c>
      <c r="L98" s="312" t="s">
        <v>389</v>
      </c>
      <c r="M98" s="312"/>
      <c r="N98" s="313"/>
      <c r="O98" s="313"/>
      <c r="P98" s="307" t="e">
        <f ca="1">_xll.BDP(J98&amp;" "&amp;K98&amp;" "&amp;L98,P$2)</f>
        <v>#NAME?</v>
      </c>
      <c r="Q98" s="307" t="e">
        <f ca="1">_xll.BDP(J98&amp;" "&amp;K98&amp;" "&amp;L98,Q$2)</f>
        <v>#NAME?</v>
      </c>
      <c r="R98" s="307" t="e">
        <f ca="1">_xll.BDP(J98&amp;" "&amp;K98&amp;" "&amp;L98,R$2)</f>
        <v>#NAME?</v>
      </c>
      <c r="S98" s="307" t="e">
        <f ca="1">_xll.BDP(J98&amp;" "&amp;K98&amp;" "&amp;L98,S$2)</f>
        <v>#NAME?</v>
      </c>
      <c r="U98" s="307" t="s">
        <v>590</v>
      </c>
      <c r="V98" s="307">
        <v>-3.9E-2</v>
      </c>
      <c r="W98" s="307" t="s">
        <v>390</v>
      </c>
      <c r="X98" s="307" t="s">
        <v>587</v>
      </c>
    </row>
    <row r="99" spans="2:24" outlineLevel="2">
      <c r="B99" s="299" t="s">
        <v>374</v>
      </c>
      <c r="C99" s="299" t="s">
        <v>375</v>
      </c>
      <c r="D99" s="307" t="s">
        <v>569</v>
      </c>
      <c r="E99" s="307" t="s">
        <v>570</v>
      </c>
      <c r="F99" s="307" t="s">
        <v>376</v>
      </c>
      <c r="G99" s="312" t="s">
        <v>409</v>
      </c>
      <c r="H99" s="313" t="s">
        <v>591</v>
      </c>
      <c r="I99" s="313" t="s">
        <v>382</v>
      </c>
      <c r="J99" s="313" t="s">
        <v>592</v>
      </c>
      <c r="K99" s="312" t="s">
        <v>388</v>
      </c>
      <c r="L99" s="312" t="s">
        <v>389</v>
      </c>
      <c r="M99" s="312"/>
      <c r="N99" s="313"/>
      <c r="O99" s="313"/>
      <c r="P99" s="307" t="e">
        <f ca="1">_xll.BDP(J99&amp;" "&amp;K99&amp;" "&amp;L99,P$2)</f>
        <v>#NAME?</v>
      </c>
      <c r="Q99" s="307" t="e">
        <f ca="1">_xll.BDP(J99&amp;" "&amp;K99&amp;" "&amp;L99,Q$2)</f>
        <v>#NAME?</v>
      </c>
      <c r="R99" s="307" t="e">
        <f ca="1">_xll.BDP(J99&amp;" "&amp;K99&amp;" "&amp;L99,R$2)</f>
        <v>#NAME?</v>
      </c>
      <c r="S99" s="307" t="e">
        <f ca="1">_xll.BDP(J99&amp;" "&amp;K99&amp;" "&amp;L99,S$2)</f>
        <v>#NAME?</v>
      </c>
      <c r="U99" s="307" t="s">
        <v>593</v>
      </c>
      <c r="V99" s="307">
        <v>-3.7999999999999999E-2</v>
      </c>
      <c r="W99" s="307" t="s">
        <v>390</v>
      </c>
      <c r="X99" s="307" t="s">
        <v>587</v>
      </c>
    </row>
    <row r="100" spans="2:24" outlineLevel="2">
      <c r="B100" s="299" t="s">
        <v>374</v>
      </c>
      <c r="C100" s="299" t="s">
        <v>375</v>
      </c>
      <c r="D100" s="307" t="s">
        <v>569</v>
      </c>
      <c r="E100" s="307" t="s">
        <v>570</v>
      </c>
      <c r="F100" s="307" t="s">
        <v>376</v>
      </c>
      <c r="G100" s="312" t="s">
        <v>412</v>
      </c>
      <c r="H100" s="313" t="s">
        <v>594</v>
      </c>
      <c r="I100" s="313" t="s">
        <v>382</v>
      </c>
      <c r="J100" s="313" t="s">
        <v>595</v>
      </c>
      <c r="K100" s="312" t="s">
        <v>388</v>
      </c>
      <c r="L100" s="312" t="s">
        <v>389</v>
      </c>
      <c r="M100" s="312"/>
      <c r="N100" s="313"/>
      <c r="O100" s="313"/>
      <c r="P100" s="307" t="e">
        <f ca="1">_xll.BDP(J100&amp;" "&amp;K100&amp;" "&amp;L100,P$2)</f>
        <v>#NAME?</v>
      </c>
      <c r="Q100" s="307" t="e">
        <f ca="1">_xll.BDP(J100&amp;" "&amp;K100&amp;" "&amp;L100,Q$2)</f>
        <v>#NAME?</v>
      </c>
      <c r="R100" s="307" t="e">
        <f ca="1">_xll.BDP(J100&amp;" "&amp;K100&amp;" "&amp;L100,R$2)</f>
        <v>#NAME?</v>
      </c>
      <c r="S100" s="307" t="e">
        <f ca="1">_xll.BDP(J100&amp;" "&amp;K100&amp;" "&amp;L100,S$2)</f>
        <v>#NAME?</v>
      </c>
      <c r="U100" s="307" t="s">
        <v>596</v>
      </c>
      <c r="V100" s="307">
        <v>-3.6999999999999998E-2</v>
      </c>
      <c r="W100" s="307" t="s">
        <v>390</v>
      </c>
      <c r="X100" s="307" t="s">
        <v>597</v>
      </c>
    </row>
    <row r="101" spans="2:24" outlineLevel="2">
      <c r="B101" s="299" t="s">
        <v>374</v>
      </c>
      <c r="C101" s="299" t="s">
        <v>375</v>
      </c>
      <c r="D101" s="307" t="s">
        <v>569</v>
      </c>
      <c r="E101" s="307" t="s">
        <v>570</v>
      </c>
      <c r="F101" s="307" t="s">
        <v>376</v>
      </c>
      <c r="G101" s="312" t="s">
        <v>150</v>
      </c>
      <c r="H101" s="313" t="s">
        <v>598</v>
      </c>
      <c r="I101" s="313" t="s">
        <v>382</v>
      </c>
      <c r="J101" s="313" t="s">
        <v>599</v>
      </c>
      <c r="K101" s="312" t="s">
        <v>388</v>
      </c>
      <c r="L101" s="312" t="s">
        <v>389</v>
      </c>
      <c r="M101" s="312"/>
      <c r="N101" s="313"/>
      <c r="O101" s="313"/>
      <c r="P101" s="307" t="e">
        <f ca="1">_xll.BDP(J101&amp;" "&amp;K101&amp;" "&amp;L101,P$2)</f>
        <v>#NAME?</v>
      </c>
      <c r="Q101" s="307" t="e">
        <f ca="1">_xll.BDP(J101&amp;" "&amp;K101&amp;" "&amp;L101,Q$2)</f>
        <v>#NAME?</v>
      </c>
      <c r="R101" s="307" t="e">
        <f ca="1">_xll.BDP(J101&amp;" "&amp;K101&amp;" "&amp;L101,R$2)</f>
        <v>#NAME?</v>
      </c>
      <c r="S101" s="307" t="e">
        <f ca="1">_xll.BDP(J101&amp;" "&amp;K101&amp;" "&amp;L101,S$2)</f>
        <v>#NAME?</v>
      </c>
      <c r="U101" s="307" t="s">
        <v>600</v>
      </c>
      <c r="V101" s="307">
        <v>-3.5999999999999997E-2</v>
      </c>
      <c r="W101" s="307" t="s">
        <v>390</v>
      </c>
      <c r="X101" s="307" t="s">
        <v>601</v>
      </c>
    </row>
    <row r="102" spans="2:24" outlineLevel="2">
      <c r="B102" s="299" t="s">
        <v>374</v>
      </c>
      <c r="C102" s="299" t="s">
        <v>375</v>
      </c>
      <c r="D102" s="307" t="s">
        <v>569</v>
      </c>
      <c r="E102" s="307" t="s">
        <v>570</v>
      </c>
      <c r="F102" s="307" t="s">
        <v>376</v>
      </c>
      <c r="G102" s="312" t="s">
        <v>151</v>
      </c>
      <c r="H102" s="313" t="s">
        <v>602</v>
      </c>
      <c r="I102" s="313" t="s">
        <v>382</v>
      </c>
      <c r="J102" s="313" t="s">
        <v>603</v>
      </c>
      <c r="K102" s="312" t="s">
        <v>388</v>
      </c>
      <c r="L102" s="312" t="s">
        <v>389</v>
      </c>
      <c r="M102" s="312"/>
      <c r="N102" s="313"/>
      <c r="O102" s="313"/>
      <c r="P102" s="307" t="e">
        <f ca="1">_xll.BDP(J102&amp;" "&amp;K102&amp;" "&amp;L102,P$2)</f>
        <v>#NAME?</v>
      </c>
      <c r="Q102" s="307" t="e">
        <f ca="1">_xll.BDP(J102&amp;" "&amp;K102&amp;" "&amp;L102,Q$2)</f>
        <v>#NAME?</v>
      </c>
      <c r="R102" s="307" t="e">
        <f ca="1">_xll.BDP(J102&amp;" "&amp;K102&amp;" "&amp;L102,R$2)</f>
        <v>#NAME?</v>
      </c>
      <c r="S102" s="307" t="e">
        <f ca="1">_xll.BDP(J102&amp;" "&amp;K102&amp;" "&amp;L102,S$2)</f>
        <v>#NAME?</v>
      </c>
      <c r="U102" s="307" t="s">
        <v>604</v>
      </c>
      <c r="V102" s="307">
        <v>-3.4000000000000002E-2</v>
      </c>
      <c r="W102" s="307" t="s">
        <v>390</v>
      </c>
      <c r="X102" s="307" t="s">
        <v>597</v>
      </c>
    </row>
    <row r="103" spans="2:24" outlineLevel="2">
      <c r="B103" s="299" t="s">
        <v>374</v>
      </c>
      <c r="C103" s="299" t="s">
        <v>375</v>
      </c>
      <c r="D103" s="307" t="s">
        <v>569</v>
      </c>
      <c r="E103" s="307" t="s">
        <v>570</v>
      </c>
      <c r="F103" s="307" t="s">
        <v>376</v>
      </c>
      <c r="G103" s="312" t="s">
        <v>7</v>
      </c>
      <c r="H103" s="313" t="s">
        <v>605</v>
      </c>
      <c r="I103" s="313" t="s">
        <v>382</v>
      </c>
      <c r="J103" s="313" t="s">
        <v>606</v>
      </c>
      <c r="K103" s="312" t="s">
        <v>388</v>
      </c>
      <c r="L103" s="312" t="s">
        <v>389</v>
      </c>
      <c r="M103" s="312"/>
      <c r="N103" s="313"/>
      <c r="O103" s="313"/>
      <c r="P103" s="307" t="e">
        <f ca="1">_xll.BDP(J103&amp;" "&amp;K103&amp;" "&amp;L103,P$2)</f>
        <v>#NAME?</v>
      </c>
      <c r="Q103" s="307" t="e">
        <f ca="1">_xll.BDP(J103&amp;" "&amp;K103&amp;" "&amp;L103,Q$2)</f>
        <v>#NAME?</v>
      </c>
      <c r="R103" s="307" t="e">
        <f ca="1">_xll.BDP(J103&amp;" "&amp;K103&amp;" "&amp;L103,R$2)</f>
        <v>#NAME?</v>
      </c>
      <c r="S103" s="307" t="e">
        <f ca="1">_xll.BDP(J103&amp;" "&amp;K103&amp;" "&amp;L103,S$2)</f>
        <v>#NAME?</v>
      </c>
      <c r="U103" s="307" t="s">
        <v>607</v>
      </c>
      <c r="V103" s="307">
        <v>-3.3000000000000002E-2</v>
      </c>
      <c r="W103" s="307" t="s">
        <v>390</v>
      </c>
      <c r="X103" s="307" t="s">
        <v>601</v>
      </c>
    </row>
    <row r="104" spans="2:24" outlineLevel="2">
      <c r="B104" s="299" t="s">
        <v>374</v>
      </c>
      <c r="C104" s="299" t="s">
        <v>375</v>
      </c>
      <c r="D104" s="307" t="s">
        <v>569</v>
      </c>
      <c r="E104" s="307" t="s">
        <v>570</v>
      </c>
      <c r="F104" s="307" t="s">
        <v>376</v>
      </c>
      <c r="G104" s="312" t="s">
        <v>416</v>
      </c>
      <c r="H104" s="313" t="s">
        <v>608</v>
      </c>
      <c r="I104" s="313" t="s">
        <v>382</v>
      </c>
      <c r="J104" s="313" t="s">
        <v>609</v>
      </c>
      <c r="K104" s="312" t="s">
        <v>388</v>
      </c>
      <c r="L104" s="312" t="s">
        <v>389</v>
      </c>
      <c r="M104" s="312"/>
      <c r="N104" s="313"/>
      <c r="O104" s="313"/>
      <c r="P104" s="307" t="e">
        <f ca="1">_xll.BDP(J104&amp;" "&amp;K104&amp;" "&amp;L104,P$2)</f>
        <v>#NAME?</v>
      </c>
      <c r="Q104" s="307" t="e">
        <f ca="1">_xll.BDP(J104&amp;" "&amp;K104&amp;" "&amp;L104,Q$2)</f>
        <v>#NAME?</v>
      </c>
      <c r="R104" s="307" t="e">
        <f ca="1">_xll.BDP(J104&amp;" "&amp;K104&amp;" "&amp;L104,R$2)</f>
        <v>#NAME?</v>
      </c>
      <c r="S104" s="307" t="e">
        <f ca="1">_xll.BDP(J104&amp;" "&amp;K104&amp;" "&amp;L104,S$2)</f>
        <v>#NAME?</v>
      </c>
      <c r="U104" s="307" t="s">
        <v>610</v>
      </c>
      <c r="V104" s="307">
        <v>-2.9000000000000001E-2</v>
      </c>
      <c r="W104" s="307" t="s">
        <v>390</v>
      </c>
      <c r="X104" s="307" t="s">
        <v>601</v>
      </c>
    </row>
    <row r="105" spans="2:24" outlineLevel="2">
      <c r="B105" s="299" t="s">
        <v>374</v>
      </c>
      <c r="C105" s="299" t="s">
        <v>375</v>
      </c>
      <c r="D105" s="307" t="s">
        <v>569</v>
      </c>
      <c r="E105" s="307" t="s">
        <v>570</v>
      </c>
      <c r="F105" s="307" t="s">
        <v>376</v>
      </c>
      <c r="G105" s="312" t="s">
        <v>424</v>
      </c>
      <c r="H105" s="313" t="s">
        <v>611</v>
      </c>
      <c r="I105" s="313" t="s">
        <v>382</v>
      </c>
      <c r="J105" s="313" t="s">
        <v>612</v>
      </c>
      <c r="K105" s="312" t="s">
        <v>388</v>
      </c>
      <c r="L105" s="312" t="s">
        <v>389</v>
      </c>
      <c r="M105" s="312"/>
      <c r="N105" s="313"/>
      <c r="O105" s="313"/>
      <c r="P105" s="307" t="e">
        <f ca="1">_xll.BDP(J105&amp;" "&amp;K105&amp;" "&amp;L105,P$2)</f>
        <v>#NAME?</v>
      </c>
      <c r="Q105" s="307" t="e">
        <f ca="1">_xll.BDP(J105&amp;" "&amp;K105&amp;" "&amp;L105,Q$2)</f>
        <v>#NAME?</v>
      </c>
      <c r="R105" s="307" t="e">
        <f ca="1">_xll.BDP(J105&amp;" "&amp;K105&amp;" "&amp;L105,R$2)</f>
        <v>#NAME?</v>
      </c>
      <c r="S105" s="307" t="e">
        <f ca="1">_xll.BDP(J105&amp;" "&amp;K105&amp;" "&amp;L105,S$2)</f>
        <v>#NAME?</v>
      </c>
      <c r="U105" s="307" t="s">
        <v>613</v>
      </c>
      <c r="V105" s="307">
        <v>-2.4E-2</v>
      </c>
      <c r="W105" s="307" t="s">
        <v>390</v>
      </c>
      <c r="X105" s="307" t="s">
        <v>601</v>
      </c>
    </row>
    <row r="106" spans="2:24" outlineLevel="2">
      <c r="B106" s="299" t="s">
        <v>374</v>
      </c>
      <c r="C106" s="299" t="s">
        <v>375</v>
      </c>
      <c r="D106" s="307" t="s">
        <v>569</v>
      </c>
      <c r="E106" s="307" t="s">
        <v>570</v>
      </c>
      <c r="F106" s="307" t="s">
        <v>376</v>
      </c>
      <c r="G106" s="312" t="s">
        <v>153</v>
      </c>
      <c r="H106" s="313" t="s">
        <v>614</v>
      </c>
      <c r="I106" s="313" t="s">
        <v>382</v>
      </c>
      <c r="J106" s="313" t="s">
        <v>615</v>
      </c>
      <c r="K106" s="312" t="s">
        <v>388</v>
      </c>
      <c r="L106" s="312" t="s">
        <v>389</v>
      </c>
      <c r="M106" s="312"/>
      <c r="N106" s="313"/>
      <c r="O106" s="313"/>
      <c r="P106" s="307" t="e">
        <f ca="1">_xll.BDP(J106&amp;" "&amp;K106&amp;" "&amp;L106,P$2)</f>
        <v>#NAME?</v>
      </c>
      <c r="Q106" s="307" t="e">
        <f ca="1">_xll.BDP(J106&amp;" "&amp;K106&amp;" "&amp;L106,Q$2)</f>
        <v>#NAME?</v>
      </c>
      <c r="R106" s="307" t="e">
        <f ca="1">_xll.BDP(J106&amp;" "&amp;K106&amp;" "&amp;L106,R$2)</f>
        <v>#NAME?</v>
      </c>
      <c r="S106" s="307" t="e">
        <f ca="1">_xll.BDP(J106&amp;" "&amp;K106&amp;" "&amp;L106,S$2)</f>
        <v>#NAME?</v>
      </c>
      <c r="U106" s="307" t="s">
        <v>616</v>
      </c>
      <c r="V106" s="307">
        <v>-1.9E-2</v>
      </c>
      <c r="W106" s="307" t="s">
        <v>390</v>
      </c>
      <c r="X106" s="307" t="s">
        <v>587</v>
      </c>
    </row>
    <row r="107" spans="2:24" outlineLevel="2">
      <c r="B107" s="299" t="s">
        <v>374</v>
      </c>
      <c r="C107" s="299" t="s">
        <v>375</v>
      </c>
      <c r="D107" s="307" t="s">
        <v>569</v>
      </c>
      <c r="E107" s="307" t="s">
        <v>570</v>
      </c>
      <c r="F107" s="307" t="s">
        <v>376</v>
      </c>
      <c r="G107" s="299" t="s">
        <v>154</v>
      </c>
      <c r="H107" s="313" t="s">
        <v>617</v>
      </c>
      <c r="I107" s="307" t="s">
        <v>382</v>
      </c>
      <c r="J107" s="307" t="s">
        <v>618</v>
      </c>
      <c r="K107" s="299" t="s">
        <v>388</v>
      </c>
      <c r="L107" s="299" t="s">
        <v>389</v>
      </c>
      <c r="M107" s="299"/>
      <c r="N107" s="307"/>
      <c r="O107" s="307"/>
      <c r="P107" s="307" t="e">
        <f ca="1">_xll.BDP(J107&amp;" "&amp;K107&amp;" "&amp;L107,P$2)</f>
        <v>#NAME?</v>
      </c>
      <c r="Q107" s="307" t="e">
        <f ca="1">_xll.BDP(J107&amp;" "&amp;K107&amp;" "&amp;L107,Q$2)</f>
        <v>#NAME?</v>
      </c>
      <c r="R107" s="307" t="e">
        <f ca="1">_xll.BDP(J107&amp;" "&amp;K107&amp;" "&amp;L107,R$2)</f>
        <v>#NAME?</v>
      </c>
      <c r="S107" s="307" t="e">
        <f ca="1">_xll.BDP(J107&amp;" "&amp;K107&amp;" "&amp;L107,S$2)</f>
        <v>#NAME?</v>
      </c>
      <c r="U107" s="307" t="s">
        <v>619</v>
      </c>
      <c r="V107" s="307" t="s">
        <v>423</v>
      </c>
      <c r="W107" s="307" t="s">
        <v>423</v>
      </c>
      <c r="X107" s="307" t="s">
        <v>423</v>
      </c>
    </row>
    <row r="108" spans="2:24" outlineLevel="2">
      <c r="B108" s="299" t="s">
        <v>374</v>
      </c>
      <c r="C108" s="299" t="s">
        <v>375</v>
      </c>
      <c r="D108" s="307" t="s">
        <v>569</v>
      </c>
      <c r="E108" s="307" t="s">
        <v>570</v>
      </c>
      <c r="F108" s="307" t="s">
        <v>376</v>
      </c>
      <c r="G108" s="299" t="s">
        <v>156</v>
      </c>
      <c r="H108" s="307" t="s">
        <v>620</v>
      </c>
      <c r="I108" s="307" t="s">
        <v>382</v>
      </c>
      <c r="J108" s="307" t="s">
        <v>621</v>
      </c>
      <c r="K108" s="299" t="s">
        <v>388</v>
      </c>
      <c r="L108" s="299" t="s">
        <v>389</v>
      </c>
      <c r="M108" s="299"/>
      <c r="N108" s="307"/>
      <c r="O108" s="307"/>
      <c r="P108" s="307" t="e">
        <f ca="1">_xll.BDP(J108&amp;" "&amp;K108&amp;" "&amp;L108,P$2)</f>
        <v>#NAME?</v>
      </c>
      <c r="Q108" s="307" t="e">
        <f ca="1">_xll.BDP(J108&amp;" "&amp;K108&amp;" "&amp;L108,Q$2)</f>
        <v>#NAME?</v>
      </c>
      <c r="R108" s="307" t="e">
        <f ca="1">_xll.BDP(J108&amp;" "&amp;K108&amp;" "&amp;L108,R$2)</f>
        <v>#NAME?</v>
      </c>
      <c r="S108" s="307" t="e">
        <f ca="1">_xll.BDP(J108&amp;" "&amp;K108&amp;" "&amp;L108,S$2)</f>
        <v>#NAME?</v>
      </c>
      <c r="U108" s="307" t="s">
        <v>622</v>
      </c>
      <c r="V108" s="307">
        <v>-1.9E-2</v>
      </c>
      <c r="W108" s="307" t="s">
        <v>390</v>
      </c>
      <c r="X108" s="307" t="s">
        <v>498</v>
      </c>
    </row>
    <row r="109" spans="2:24" outlineLevel="2">
      <c r="B109" s="299" t="s">
        <v>374</v>
      </c>
      <c r="C109" s="299" t="s">
        <v>375</v>
      </c>
      <c r="D109" s="307" t="s">
        <v>569</v>
      </c>
      <c r="E109" s="307" t="s">
        <v>570</v>
      </c>
      <c r="F109" s="307" t="s">
        <v>376</v>
      </c>
      <c r="G109" s="299" t="s">
        <v>8</v>
      </c>
      <c r="H109" s="307" t="s">
        <v>620</v>
      </c>
      <c r="I109" s="307" t="s">
        <v>382</v>
      </c>
      <c r="J109" s="307" t="s">
        <v>623</v>
      </c>
      <c r="K109" s="299" t="s">
        <v>388</v>
      </c>
      <c r="L109" s="299" t="s">
        <v>389</v>
      </c>
      <c r="M109" s="299"/>
      <c r="N109" s="307"/>
      <c r="O109" s="307"/>
      <c r="P109" s="307" t="e">
        <f ca="1">_xll.BDP(J109&amp;" "&amp;K109&amp;" "&amp;L109,P$2)</f>
        <v>#NAME?</v>
      </c>
      <c r="Q109" s="307" t="e">
        <f ca="1">_xll.BDP(J109&amp;" "&amp;K109&amp;" "&amp;L109,Q$2)</f>
        <v>#NAME?</v>
      </c>
      <c r="R109" s="307" t="e">
        <f ca="1">_xll.BDP(J109&amp;" "&amp;K109&amp;" "&amp;L109,R$2)</f>
        <v>#NAME?</v>
      </c>
      <c r="S109" s="307" t="e">
        <f ca="1">_xll.BDP(J109&amp;" "&amp;K109&amp;" "&amp;L109,S$2)</f>
        <v>#NAME?</v>
      </c>
      <c r="U109" s="307" t="s">
        <v>624</v>
      </c>
      <c r="V109" s="307">
        <v>-8.0000000000000002E-3</v>
      </c>
      <c r="W109" s="307" t="s">
        <v>390</v>
      </c>
      <c r="X109" s="307" t="s">
        <v>525</v>
      </c>
    </row>
    <row r="110" spans="2:24" outlineLevel="2">
      <c r="B110" s="299" t="s">
        <v>374</v>
      </c>
      <c r="C110" s="299" t="s">
        <v>375</v>
      </c>
      <c r="D110" s="307" t="s">
        <v>569</v>
      </c>
      <c r="E110" s="307" t="s">
        <v>570</v>
      </c>
      <c r="F110" s="307" t="s">
        <v>376</v>
      </c>
      <c r="G110" s="299" t="s">
        <v>9</v>
      </c>
      <c r="H110" s="307" t="s">
        <v>620</v>
      </c>
      <c r="I110" s="307" t="s">
        <v>382</v>
      </c>
      <c r="J110" s="307" t="s">
        <v>625</v>
      </c>
      <c r="K110" s="299" t="s">
        <v>388</v>
      </c>
      <c r="L110" s="299" t="s">
        <v>389</v>
      </c>
      <c r="M110" s="299"/>
      <c r="N110" s="307"/>
      <c r="O110" s="307"/>
      <c r="P110" s="307" t="e">
        <f ca="1">_xll.BDP(J110&amp;" "&amp;K110&amp;" "&amp;L110,P$2)</f>
        <v>#NAME?</v>
      </c>
      <c r="Q110" s="307" t="e">
        <f ca="1">_xll.BDP(J110&amp;" "&amp;K110&amp;" "&amp;L110,Q$2)</f>
        <v>#NAME?</v>
      </c>
      <c r="R110" s="307" t="e">
        <f ca="1">_xll.BDP(J110&amp;" "&amp;K110&amp;" "&amp;L110,R$2)</f>
        <v>#NAME?</v>
      </c>
      <c r="S110" s="307" t="e">
        <f ca="1">_xll.BDP(J110&amp;" "&amp;K110&amp;" "&amp;L110,S$2)</f>
        <v>#NAME?</v>
      </c>
      <c r="U110" s="307" t="s">
        <v>626</v>
      </c>
      <c r="V110" s="307">
        <v>5.3999999999999999E-2</v>
      </c>
      <c r="W110" s="307" t="s">
        <v>390</v>
      </c>
      <c r="X110" s="307" t="s">
        <v>453</v>
      </c>
    </row>
    <row r="111" spans="2:24" outlineLevel="2">
      <c r="B111" s="299" t="s">
        <v>374</v>
      </c>
      <c r="C111" s="299" t="s">
        <v>375</v>
      </c>
      <c r="D111" s="307" t="s">
        <v>569</v>
      </c>
      <c r="E111" s="307" t="s">
        <v>570</v>
      </c>
      <c r="F111" s="307" t="s">
        <v>376</v>
      </c>
      <c r="G111" s="299" t="s">
        <v>10</v>
      </c>
      <c r="H111" s="307" t="s">
        <v>620</v>
      </c>
      <c r="I111" s="307" t="s">
        <v>382</v>
      </c>
      <c r="J111" s="307" t="s">
        <v>627</v>
      </c>
      <c r="K111" s="299" t="s">
        <v>388</v>
      </c>
      <c r="L111" s="299" t="s">
        <v>389</v>
      </c>
      <c r="M111" s="299"/>
      <c r="N111" s="307"/>
      <c r="O111" s="307"/>
      <c r="P111" s="307" t="e">
        <f ca="1">_xll.BDP(J111&amp;" "&amp;K111&amp;" "&amp;L111,P$2)</f>
        <v>#NAME?</v>
      </c>
      <c r="Q111" s="307" t="e">
        <f ca="1">_xll.BDP(J111&amp;" "&amp;K111&amp;" "&amp;L111,Q$2)</f>
        <v>#NAME?</v>
      </c>
      <c r="R111" s="307" t="e">
        <f ca="1">_xll.BDP(J111&amp;" "&amp;K111&amp;" "&amp;L111,R$2)</f>
        <v>#NAME?</v>
      </c>
      <c r="S111" s="307" t="e">
        <f ca="1">_xll.BDP(J111&amp;" "&amp;K111&amp;" "&amp;L111,S$2)</f>
        <v>#NAME?</v>
      </c>
      <c r="U111" s="307" t="s">
        <v>628</v>
      </c>
      <c r="V111" s="307">
        <v>0.15</v>
      </c>
      <c r="W111" s="307" t="s">
        <v>390</v>
      </c>
      <c r="X111" s="307" t="s">
        <v>455</v>
      </c>
    </row>
    <row r="112" spans="2:24" outlineLevel="2">
      <c r="B112" s="299" t="s">
        <v>374</v>
      </c>
      <c r="C112" s="299" t="s">
        <v>375</v>
      </c>
      <c r="D112" s="307" t="s">
        <v>569</v>
      </c>
      <c r="E112" s="307" t="s">
        <v>570</v>
      </c>
      <c r="F112" s="307" t="s">
        <v>376</v>
      </c>
      <c r="G112" s="299" t="s">
        <v>11</v>
      </c>
      <c r="H112" s="307" t="s">
        <v>620</v>
      </c>
      <c r="I112" s="307" t="s">
        <v>382</v>
      </c>
      <c r="J112" s="307" t="s">
        <v>629</v>
      </c>
      <c r="K112" s="299" t="s">
        <v>388</v>
      </c>
      <c r="L112" s="299" t="s">
        <v>389</v>
      </c>
      <c r="M112" s="299"/>
      <c r="N112" s="307"/>
      <c r="O112" s="307"/>
      <c r="P112" s="307" t="e">
        <f ca="1">_xll.BDP(J112&amp;" "&amp;K112&amp;" "&amp;L112,P$2)</f>
        <v>#NAME?</v>
      </c>
      <c r="Q112" s="307" t="e">
        <f ca="1">_xll.BDP(J112&amp;" "&amp;K112&amp;" "&amp;L112,Q$2)</f>
        <v>#NAME?</v>
      </c>
      <c r="R112" s="307" t="e">
        <f ca="1">_xll.BDP(J112&amp;" "&amp;K112&amp;" "&amp;L112,R$2)</f>
        <v>#NAME?</v>
      </c>
      <c r="S112" s="307" t="e">
        <f ca="1">_xll.BDP(J112&amp;" "&amp;K112&amp;" "&amp;L112,S$2)</f>
        <v>#NAME?</v>
      </c>
      <c r="U112" s="307" t="s">
        <v>630</v>
      </c>
      <c r="V112" s="307">
        <v>0.26300000000000001</v>
      </c>
      <c r="W112" s="307" t="s">
        <v>390</v>
      </c>
      <c r="X112" s="307" t="s">
        <v>457</v>
      </c>
    </row>
    <row r="113" spans="2:24" outlineLevel="2">
      <c r="B113" s="299" t="s">
        <v>374</v>
      </c>
      <c r="C113" s="299" t="s">
        <v>375</v>
      </c>
      <c r="D113" s="307" t="s">
        <v>569</v>
      </c>
      <c r="E113" s="307" t="s">
        <v>570</v>
      </c>
      <c r="F113" s="307" t="s">
        <v>376</v>
      </c>
      <c r="G113" s="299" t="s">
        <v>12</v>
      </c>
      <c r="H113" s="307" t="s">
        <v>620</v>
      </c>
      <c r="I113" s="307" t="s">
        <v>382</v>
      </c>
      <c r="J113" s="307" t="s">
        <v>631</v>
      </c>
      <c r="K113" s="299" t="s">
        <v>388</v>
      </c>
      <c r="L113" s="299" t="s">
        <v>389</v>
      </c>
      <c r="M113" s="299"/>
      <c r="N113" s="307"/>
      <c r="O113" s="307"/>
      <c r="P113" s="307" t="e">
        <f ca="1">_xll.BDP(J113&amp;" "&amp;K113&amp;" "&amp;L113,P$2)</f>
        <v>#NAME?</v>
      </c>
      <c r="Q113" s="307" t="e">
        <f ca="1">_xll.BDP(J113&amp;" "&amp;K113&amp;" "&amp;L113,Q$2)</f>
        <v>#NAME?</v>
      </c>
      <c r="R113" s="307" t="e">
        <f ca="1">_xll.BDP(J113&amp;" "&amp;K113&amp;" "&amp;L113,R$2)</f>
        <v>#NAME?</v>
      </c>
      <c r="S113" s="307" t="e">
        <f ca="1">_xll.BDP(J113&amp;" "&amp;K113&amp;" "&amp;L113,S$2)</f>
        <v>#NAME?</v>
      </c>
      <c r="U113" s="307" t="s">
        <v>632</v>
      </c>
      <c r="V113" s="307">
        <v>0.39500000000000002</v>
      </c>
      <c r="W113" s="307" t="s">
        <v>390</v>
      </c>
      <c r="X113" s="307" t="s">
        <v>457</v>
      </c>
    </row>
    <row r="114" spans="2:24" outlineLevel="2">
      <c r="B114" s="299" t="s">
        <v>374</v>
      </c>
      <c r="C114" s="299" t="s">
        <v>375</v>
      </c>
      <c r="D114" s="307" t="s">
        <v>569</v>
      </c>
      <c r="E114" s="307" t="s">
        <v>570</v>
      </c>
      <c r="F114" s="307" t="s">
        <v>376</v>
      </c>
      <c r="G114" s="299" t="s">
        <v>13</v>
      </c>
      <c r="H114" s="307" t="s">
        <v>620</v>
      </c>
      <c r="I114" s="307" t="s">
        <v>382</v>
      </c>
      <c r="J114" s="307" t="s">
        <v>633</v>
      </c>
      <c r="K114" s="299" t="s">
        <v>388</v>
      </c>
      <c r="L114" s="299" t="s">
        <v>389</v>
      </c>
      <c r="M114" s="299"/>
      <c r="N114" s="307"/>
      <c r="O114" s="307"/>
      <c r="P114" s="307" t="e">
        <f ca="1">_xll.BDP(J114&amp;" "&amp;K114&amp;" "&amp;L114,P$2)</f>
        <v>#NAME?</v>
      </c>
      <c r="Q114" s="307" t="e">
        <f ca="1">_xll.BDP(J114&amp;" "&amp;K114&amp;" "&amp;L114,Q$2)</f>
        <v>#NAME?</v>
      </c>
      <c r="R114" s="307" t="e">
        <f ca="1">_xll.BDP(J114&amp;" "&amp;K114&amp;" "&amp;L114,R$2)</f>
        <v>#NAME?</v>
      </c>
      <c r="S114" s="307" t="e">
        <f ca="1">_xll.BDP(J114&amp;" "&amp;K114&amp;" "&amp;L114,S$2)</f>
        <v>#NAME?</v>
      </c>
      <c r="U114" s="307" t="s">
        <v>634</v>
      </c>
      <c r="V114" s="307">
        <v>0.53300000000000003</v>
      </c>
      <c r="W114" s="307" t="s">
        <v>390</v>
      </c>
      <c r="X114" s="307" t="s">
        <v>462</v>
      </c>
    </row>
    <row r="115" spans="2:24" outlineLevel="2">
      <c r="B115" s="299" t="s">
        <v>374</v>
      </c>
      <c r="C115" s="299" t="s">
        <v>375</v>
      </c>
      <c r="D115" s="307" t="s">
        <v>569</v>
      </c>
      <c r="E115" s="307" t="s">
        <v>570</v>
      </c>
      <c r="F115" s="307" t="s">
        <v>376</v>
      </c>
      <c r="G115" s="299" t="s">
        <v>14</v>
      </c>
      <c r="H115" s="307" t="s">
        <v>620</v>
      </c>
      <c r="I115" s="307" t="s">
        <v>382</v>
      </c>
      <c r="J115" s="307" t="s">
        <v>635</v>
      </c>
      <c r="K115" s="299" t="s">
        <v>388</v>
      </c>
      <c r="L115" s="299" t="s">
        <v>389</v>
      </c>
      <c r="M115" s="299"/>
      <c r="N115" s="307"/>
      <c r="O115" s="307"/>
      <c r="P115" s="307" t="e">
        <f ca="1">_xll.BDP(J115&amp;" "&amp;K115&amp;" "&amp;L115,P$2)</f>
        <v>#NAME?</v>
      </c>
      <c r="Q115" s="307" t="e">
        <f ca="1">_xll.BDP(J115&amp;" "&amp;K115&amp;" "&amp;L115,Q$2)</f>
        <v>#NAME?</v>
      </c>
      <c r="R115" s="307" t="e">
        <f ca="1">_xll.BDP(J115&amp;" "&amp;K115&amp;" "&amp;L115,R$2)</f>
        <v>#NAME?</v>
      </c>
      <c r="S115" s="307" t="e">
        <f ca="1">_xll.BDP(J115&amp;" "&amp;K115&amp;" "&amp;L115,S$2)</f>
        <v>#NAME?</v>
      </c>
      <c r="U115" s="307" t="s">
        <v>636</v>
      </c>
      <c r="V115" s="307">
        <v>0.66700000000000004</v>
      </c>
      <c r="W115" s="307" t="s">
        <v>390</v>
      </c>
      <c r="X115" s="307" t="s">
        <v>462</v>
      </c>
    </row>
    <row r="116" spans="2:24" outlineLevel="2">
      <c r="B116" s="299" t="s">
        <v>374</v>
      </c>
      <c r="C116" s="299" t="s">
        <v>375</v>
      </c>
      <c r="D116" s="307" t="s">
        <v>569</v>
      </c>
      <c r="E116" s="307" t="s">
        <v>570</v>
      </c>
      <c r="F116" s="307" t="s">
        <v>376</v>
      </c>
      <c r="G116" s="299" t="s">
        <v>15</v>
      </c>
      <c r="H116" s="307" t="s">
        <v>620</v>
      </c>
      <c r="I116" s="307" t="s">
        <v>382</v>
      </c>
      <c r="J116" s="307" t="s">
        <v>637</v>
      </c>
      <c r="K116" s="299" t="s">
        <v>388</v>
      </c>
      <c r="L116" s="299" t="s">
        <v>389</v>
      </c>
      <c r="M116" s="299"/>
      <c r="N116" s="307"/>
      <c r="O116" s="307"/>
      <c r="P116" s="307" t="e">
        <f ca="1">_xll.BDP(J116&amp;" "&amp;K116&amp;" "&amp;L116,P$2)</f>
        <v>#NAME?</v>
      </c>
      <c r="Q116" s="307" t="e">
        <f ca="1">_xll.BDP(J116&amp;" "&amp;K116&amp;" "&amp;L116,Q$2)</f>
        <v>#NAME?</v>
      </c>
      <c r="R116" s="307" t="e">
        <f ca="1">_xll.BDP(J116&amp;" "&amp;K116&amp;" "&amp;L116,R$2)</f>
        <v>#NAME?</v>
      </c>
      <c r="S116" s="307" t="e">
        <f ca="1">_xll.BDP(J116&amp;" "&amp;K116&amp;" "&amp;L116,S$2)</f>
        <v>#NAME?</v>
      </c>
      <c r="U116" s="307" t="s">
        <v>638</v>
      </c>
      <c r="V116" s="307">
        <v>0.79100000000000004</v>
      </c>
      <c r="W116" s="307" t="s">
        <v>390</v>
      </c>
      <c r="X116" s="307" t="s">
        <v>462</v>
      </c>
    </row>
    <row r="117" spans="2:24" outlineLevel="2">
      <c r="B117" s="299" t="s">
        <v>374</v>
      </c>
      <c r="C117" s="299" t="s">
        <v>375</v>
      </c>
      <c r="D117" s="307" t="s">
        <v>569</v>
      </c>
      <c r="E117" s="307" t="s">
        <v>570</v>
      </c>
      <c r="F117" s="307" t="s">
        <v>376</v>
      </c>
      <c r="G117" s="299" t="s">
        <v>16</v>
      </c>
      <c r="H117" s="307" t="s">
        <v>620</v>
      </c>
      <c r="I117" s="307" t="s">
        <v>382</v>
      </c>
      <c r="J117" s="307" t="s">
        <v>639</v>
      </c>
      <c r="K117" s="299" t="s">
        <v>388</v>
      </c>
      <c r="L117" s="299" t="s">
        <v>389</v>
      </c>
      <c r="M117" s="299"/>
      <c r="N117" s="307"/>
      <c r="O117" s="307"/>
      <c r="P117" s="307" t="e">
        <f ca="1">_xll.BDP(J117&amp;" "&amp;K117&amp;" "&amp;L117,P$2)</f>
        <v>#NAME?</v>
      </c>
      <c r="Q117" s="307" t="e">
        <f ca="1">_xll.BDP(J117&amp;" "&amp;K117&amp;" "&amp;L117,Q$2)</f>
        <v>#NAME?</v>
      </c>
      <c r="R117" s="307" t="e">
        <f ca="1">_xll.BDP(J117&amp;" "&amp;K117&amp;" "&amp;L117,R$2)</f>
        <v>#NAME?</v>
      </c>
      <c r="S117" s="307" t="e">
        <f ca="1">_xll.BDP(J117&amp;" "&amp;K117&amp;" "&amp;L117,S$2)</f>
        <v>#NAME?</v>
      </c>
      <c r="U117" s="307" t="s">
        <v>640</v>
      </c>
      <c r="V117" s="307">
        <v>0.90100000000000002</v>
      </c>
      <c r="W117" s="307" t="s">
        <v>390</v>
      </c>
      <c r="X117" s="307" t="s">
        <v>462</v>
      </c>
    </row>
    <row r="118" spans="2:24" outlineLevel="2">
      <c r="B118" s="299" t="s">
        <v>374</v>
      </c>
      <c r="C118" s="299" t="s">
        <v>375</v>
      </c>
      <c r="D118" s="307" t="s">
        <v>569</v>
      </c>
      <c r="E118" s="307" t="s">
        <v>570</v>
      </c>
      <c r="F118" s="307" t="s">
        <v>376</v>
      </c>
      <c r="G118" s="299" t="s">
        <v>543</v>
      </c>
      <c r="H118" s="307" t="s">
        <v>620</v>
      </c>
      <c r="I118" s="307" t="s">
        <v>382</v>
      </c>
      <c r="J118" s="307" t="s">
        <v>641</v>
      </c>
      <c r="K118" s="299" t="s">
        <v>388</v>
      </c>
      <c r="L118" s="299" t="s">
        <v>389</v>
      </c>
      <c r="M118" s="299"/>
      <c r="N118" s="307"/>
      <c r="O118" s="307"/>
      <c r="P118" s="307" t="e">
        <f ca="1">_xll.BDP(J118&amp;" "&amp;K118&amp;" "&amp;L118,P$2)</f>
        <v>#NAME?</v>
      </c>
      <c r="Q118" s="307" t="e">
        <f ca="1">_xll.BDP(J118&amp;" "&amp;K118&amp;" "&amp;L118,Q$2)</f>
        <v>#NAME?</v>
      </c>
      <c r="R118" s="307" t="e">
        <f ca="1">_xll.BDP(J118&amp;" "&amp;K118&amp;" "&amp;L118,R$2)</f>
        <v>#NAME?</v>
      </c>
      <c r="S118" s="307" t="e">
        <f ca="1">_xll.BDP(J118&amp;" "&amp;K118&amp;" "&amp;L118,S$2)</f>
        <v>#NAME?</v>
      </c>
      <c r="U118" s="307" t="s">
        <v>642</v>
      </c>
      <c r="V118" s="307">
        <v>1</v>
      </c>
      <c r="W118" s="307" t="s">
        <v>390</v>
      </c>
      <c r="X118" s="307" t="s">
        <v>462</v>
      </c>
    </row>
    <row r="119" spans="2:24" outlineLevel="2">
      <c r="B119" s="299" t="s">
        <v>374</v>
      </c>
      <c r="C119" s="299" t="s">
        <v>375</v>
      </c>
      <c r="D119" s="307" t="s">
        <v>569</v>
      </c>
      <c r="E119" s="307" t="s">
        <v>570</v>
      </c>
      <c r="F119" s="307" t="s">
        <v>376</v>
      </c>
      <c r="G119" s="299" t="s">
        <v>27</v>
      </c>
      <c r="H119" s="307" t="s">
        <v>620</v>
      </c>
      <c r="I119" s="307" t="s">
        <v>382</v>
      </c>
      <c r="J119" s="307" t="s">
        <v>643</v>
      </c>
      <c r="K119" s="299" t="s">
        <v>388</v>
      </c>
      <c r="L119" s="299" t="s">
        <v>389</v>
      </c>
      <c r="M119" s="299"/>
      <c r="N119" s="307"/>
      <c r="O119" s="307"/>
      <c r="P119" s="307" t="e">
        <f ca="1">_xll.BDP(J119&amp;" "&amp;K119&amp;" "&amp;L119,P$2)</f>
        <v>#NAME?</v>
      </c>
      <c r="Q119" s="307" t="e">
        <f ca="1">_xll.BDP(J119&amp;" "&amp;K119&amp;" "&amp;L119,Q$2)</f>
        <v>#NAME?</v>
      </c>
      <c r="R119" s="307" t="e">
        <f ca="1">_xll.BDP(J119&amp;" "&amp;K119&amp;" "&amp;L119,R$2)</f>
        <v>#NAME?</v>
      </c>
      <c r="S119" s="307" t="e">
        <f ca="1">_xll.BDP(J119&amp;" "&amp;K119&amp;" "&amp;L119,S$2)</f>
        <v>#NAME?</v>
      </c>
      <c r="U119" s="307" t="s">
        <v>644</v>
      </c>
      <c r="V119" s="307">
        <v>1.0860000000000001</v>
      </c>
      <c r="W119" s="307" t="s">
        <v>390</v>
      </c>
      <c r="X119" s="307" t="s">
        <v>462</v>
      </c>
    </row>
    <row r="120" spans="2:24" outlineLevel="2">
      <c r="B120" s="299" t="s">
        <v>374</v>
      </c>
      <c r="C120" s="299" t="s">
        <v>375</v>
      </c>
      <c r="D120" s="307" t="s">
        <v>569</v>
      </c>
      <c r="E120" s="307" t="s">
        <v>570</v>
      </c>
      <c r="F120" s="307" t="s">
        <v>376</v>
      </c>
      <c r="G120" s="299" t="s">
        <v>548</v>
      </c>
      <c r="H120" s="307" t="s">
        <v>620</v>
      </c>
      <c r="I120" s="307" t="s">
        <v>382</v>
      </c>
      <c r="J120" s="307" t="s">
        <v>645</v>
      </c>
      <c r="K120" s="299" t="s">
        <v>388</v>
      </c>
      <c r="L120" s="299" t="s">
        <v>389</v>
      </c>
      <c r="M120" s="299"/>
      <c r="N120" s="307"/>
      <c r="O120" s="307"/>
      <c r="P120" s="307" t="e">
        <f ca="1">_xll.BDP(J120&amp;" "&amp;K120&amp;" "&amp;L120,P$2)</f>
        <v>#NAME?</v>
      </c>
      <c r="Q120" s="307" t="e">
        <f ca="1">_xll.BDP(J120&amp;" "&amp;K120&amp;" "&amp;L120,Q$2)</f>
        <v>#NAME?</v>
      </c>
      <c r="R120" s="307" t="e">
        <f ca="1">_xll.BDP(J120&amp;" "&amp;K120&amp;" "&amp;L120,R$2)</f>
        <v>#NAME?</v>
      </c>
      <c r="S120" s="307" t="e">
        <f ca="1">_xll.BDP(J120&amp;" "&amp;K120&amp;" "&amp;L120,S$2)</f>
        <v>#NAME?</v>
      </c>
      <c r="U120" s="307" t="s">
        <v>646</v>
      </c>
      <c r="V120" s="307" t="s">
        <v>423</v>
      </c>
      <c r="W120" s="307" t="s">
        <v>423</v>
      </c>
      <c r="X120" s="307" t="s">
        <v>423</v>
      </c>
    </row>
    <row r="121" spans="2:24" outlineLevel="2">
      <c r="B121" s="299" t="s">
        <v>374</v>
      </c>
      <c r="C121" s="299" t="s">
        <v>375</v>
      </c>
      <c r="D121" s="307" t="s">
        <v>569</v>
      </c>
      <c r="E121" s="307" t="s">
        <v>570</v>
      </c>
      <c r="F121" s="307" t="s">
        <v>376</v>
      </c>
      <c r="G121" s="299" t="s">
        <v>551</v>
      </c>
      <c r="H121" s="307" t="s">
        <v>620</v>
      </c>
      <c r="I121" s="307" t="s">
        <v>382</v>
      </c>
      <c r="J121" s="307" t="s">
        <v>647</v>
      </c>
      <c r="K121" s="299" t="s">
        <v>388</v>
      </c>
      <c r="L121" s="299" t="s">
        <v>389</v>
      </c>
      <c r="M121" s="299"/>
      <c r="N121" s="307"/>
      <c r="O121" s="307"/>
      <c r="P121" s="307" t="e">
        <f ca="1">_xll.BDP(J121&amp;" "&amp;K121&amp;" "&amp;L121,P$2)</f>
        <v>#NAME?</v>
      </c>
      <c r="Q121" s="307" t="e">
        <f ca="1">_xll.BDP(J121&amp;" "&amp;K121&amp;" "&amp;L121,Q$2)</f>
        <v>#NAME?</v>
      </c>
      <c r="R121" s="307" t="e">
        <f ca="1">_xll.BDP(J121&amp;" "&amp;K121&amp;" "&amp;L121,R$2)</f>
        <v>#NAME?</v>
      </c>
      <c r="S121" s="307" t="e">
        <f ca="1">_xll.BDP(J121&amp;" "&amp;K121&amp;" "&amp;L121,S$2)</f>
        <v>#NAME?</v>
      </c>
      <c r="U121" s="307" t="s">
        <v>648</v>
      </c>
      <c r="V121" s="307" t="s">
        <v>423</v>
      </c>
      <c r="W121" s="307" t="s">
        <v>423</v>
      </c>
      <c r="X121" s="307" t="s">
        <v>423</v>
      </c>
    </row>
    <row r="122" spans="2:24" outlineLevel="2">
      <c r="B122" s="299" t="s">
        <v>374</v>
      </c>
      <c r="C122" s="299" t="s">
        <v>375</v>
      </c>
      <c r="D122" s="307" t="s">
        <v>569</v>
      </c>
      <c r="E122" s="307" t="s">
        <v>570</v>
      </c>
      <c r="F122" s="307" t="s">
        <v>376</v>
      </c>
      <c r="G122" s="299" t="s">
        <v>17</v>
      </c>
      <c r="H122" s="307" t="s">
        <v>620</v>
      </c>
      <c r="I122" s="307" t="s">
        <v>382</v>
      </c>
      <c r="J122" s="307" t="s">
        <v>649</v>
      </c>
      <c r="K122" s="299" t="s">
        <v>388</v>
      </c>
      <c r="L122" s="299" t="s">
        <v>389</v>
      </c>
      <c r="M122" s="299"/>
      <c r="N122" s="307"/>
      <c r="O122" s="307"/>
      <c r="P122" s="307" t="e">
        <f ca="1">_xll.BDP(J122&amp;" "&amp;K122&amp;" "&amp;L122,P$2)</f>
        <v>#NAME?</v>
      </c>
      <c r="Q122" s="307" t="e">
        <f ca="1">_xll.BDP(J122&amp;" "&amp;K122&amp;" "&amp;L122,Q$2)</f>
        <v>#NAME?</v>
      </c>
      <c r="R122" s="307" t="e">
        <f ca="1">_xll.BDP(J122&amp;" "&amp;K122&amp;" "&amp;L122,R$2)</f>
        <v>#NAME?</v>
      </c>
      <c r="S122" s="307" t="e">
        <f ca="1">_xll.BDP(J122&amp;" "&amp;K122&amp;" "&amp;L122,S$2)</f>
        <v>#NAME?</v>
      </c>
      <c r="U122" s="307" t="s">
        <v>650</v>
      </c>
      <c r="V122" s="307">
        <v>1.2769999999999999</v>
      </c>
      <c r="W122" s="307" t="s">
        <v>390</v>
      </c>
      <c r="X122" s="307" t="s">
        <v>462</v>
      </c>
    </row>
    <row r="123" spans="2:24" outlineLevel="2">
      <c r="B123" s="299" t="s">
        <v>374</v>
      </c>
      <c r="C123" s="299" t="s">
        <v>375</v>
      </c>
      <c r="D123" s="307" t="s">
        <v>569</v>
      </c>
      <c r="E123" s="307" t="s">
        <v>570</v>
      </c>
      <c r="F123" s="307" t="s">
        <v>376</v>
      </c>
      <c r="G123" s="299" t="s">
        <v>104</v>
      </c>
      <c r="H123" s="307" t="s">
        <v>620</v>
      </c>
      <c r="I123" s="307" t="s">
        <v>382</v>
      </c>
      <c r="J123" s="307" t="s">
        <v>651</v>
      </c>
      <c r="K123" s="299" t="s">
        <v>388</v>
      </c>
      <c r="L123" s="299" t="s">
        <v>389</v>
      </c>
      <c r="M123" s="299"/>
      <c r="N123" s="307"/>
      <c r="O123" s="307"/>
      <c r="P123" s="307" t="e">
        <f ca="1">_xll.BDP(J123&amp;" "&amp;K123&amp;" "&amp;L123,P$2)</f>
        <v>#NAME?</v>
      </c>
      <c r="Q123" s="307" t="e">
        <f ca="1">_xll.BDP(J123&amp;" "&amp;K123&amp;" "&amp;L123,Q$2)</f>
        <v>#NAME?</v>
      </c>
      <c r="R123" s="307" t="e">
        <f ca="1">_xll.BDP(J123&amp;" "&amp;K123&amp;" "&amp;L123,R$2)</f>
        <v>#NAME?</v>
      </c>
      <c r="S123" s="307" t="e">
        <f ca="1">_xll.BDP(J123&amp;" "&amp;K123&amp;" "&amp;L123,S$2)</f>
        <v>#NAME?</v>
      </c>
      <c r="U123" s="307" t="s">
        <v>652</v>
      </c>
      <c r="V123" s="307">
        <v>1.4350000000000001</v>
      </c>
      <c r="W123" s="307" t="s">
        <v>390</v>
      </c>
      <c r="X123" s="307" t="s">
        <v>462</v>
      </c>
    </row>
    <row r="124" spans="2:24" outlineLevel="2">
      <c r="B124" s="299" t="s">
        <v>374</v>
      </c>
      <c r="C124" s="299" t="s">
        <v>375</v>
      </c>
      <c r="D124" s="307" t="s">
        <v>569</v>
      </c>
      <c r="E124" s="307" t="s">
        <v>570</v>
      </c>
      <c r="F124" s="307" t="s">
        <v>376</v>
      </c>
      <c r="G124" s="299" t="s">
        <v>105</v>
      </c>
      <c r="H124" s="307" t="s">
        <v>620</v>
      </c>
      <c r="I124" s="307" t="s">
        <v>382</v>
      </c>
      <c r="J124" s="307" t="s">
        <v>653</v>
      </c>
      <c r="K124" s="299" t="s">
        <v>388</v>
      </c>
      <c r="L124" s="299" t="s">
        <v>389</v>
      </c>
      <c r="M124" s="299"/>
      <c r="N124" s="307"/>
      <c r="O124" s="307"/>
      <c r="P124" s="307" t="e">
        <f ca="1">_xll.BDP(J124&amp;" "&amp;K124&amp;" "&amp;L124,P$2)</f>
        <v>#NAME?</v>
      </c>
      <c r="Q124" s="307" t="e">
        <f ca="1">_xll.BDP(J124&amp;" "&amp;K124&amp;" "&amp;L124,Q$2)</f>
        <v>#NAME?</v>
      </c>
      <c r="R124" s="307" t="e">
        <f ca="1">_xll.BDP(J124&amp;" "&amp;K124&amp;" "&amp;L124,R$2)</f>
        <v>#NAME?</v>
      </c>
      <c r="S124" s="307" t="e">
        <f ca="1">_xll.BDP(J124&amp;" "&amp;K124&amp;" "&amp;L124,S$2)</f>
        <v>#NAME?</v>
      </c>
      <c r="U124" s="307" t="s">
        <v>654</v>
      </c>
      <c r="V124" s="307">
        <v>1.4750000000000001</v>
      </c>
      <c r="W124" s="307" t="s">
        <v>390</v>
      </c>
      <c r="X124" s="307" t="s">
        <v>462</v>
      </c>
    </row>
    <row r="125" spans="2:24" outlineLevel="2">
      <c r="B125" s="299" t="s">
        <v>374</v>
      </c>
      <c r="C125" s="299" t="s">
        <v>375</v>
      </c>
      <c r="D125" s="307" t="s">
        <v>569</v>
      </c>
      <c r="E125" s="307" t="s">
        <v>570</v>
      </c>
      <c r="F125" s="307" t="s">
        <v>376</v>
      </c>
      <c r="G125" s="299" t="s">
        <v>106</v>
      </c>
      <c r="H125" s="307" t="s">
        <v>620</v>
      </c>
      <c r="I125" s="307" t="s">
        <v>382</v>
      </c>
      <c r="J125" s="307" t="s">
        <v>655</v>
      </c>
      <c r="K125" s="299" t="s">
        <v>388</v>
      </c>
      <c r="L125" s="299" t="s">
        <v>389</v>
      </c>
      <c r="M125" s="299"/>
      <c r="N125" s="307"/>
      <c r="O125" s="307"/>
      <c r="P125" s="307" t="e">
        <f ca="1">_xll.BDP(J125&amp;" "&amp;K125&amp;" "&amp;L125,P$2)</f>
        <v>#NAME?</v>
      </c>
      <c r="Q125" s="307" t="e">
        <f ca="1">_xll.BDP(J125&amp;" "&amp;K125&amp;" "&amp;L125,Q$2)</f>
        <v>#NAME?</v>
      </c>
      <c r="R125" s="307" t="e">
        <f ca="1">_xll.BDP(J125&amp;" "&amp;K125&amp;" "&amp;L125,R$2)</f>
        <v>#NAME?</v>
      </c>
      <c r="S125" s="307" t="e">
        <f ca="1">_xll.BDP(J125&amp;" "&amp;K125&amp;" "&amp;L125,S$2)</f>
        <v>#NAME?</v>
      </c>
      <c r="U125" s="307" t="s">
        <v>656</v>
      </c>
      <c r="V125" s="307">
        <v>1.49</v>
      </c>
      <c r="W125" s="307" t="s">
        <v>390</v>
      </c>
      <c r="X125" s="307" t="s">
        <v>462</v>
      </c>
    </row>
    <row r="126" spans="2:24" outlineLevel="2">
      <c r="B126" s="299" t="s">
        <v>374</v>
      </c>
      <c r="C126" s="299" t="s">
        <v>375</v>
      </c>
      <c r="D126" s="307" t="s">
        <v>569</v>
      </c>
      <c r="E126" s="307" t="s">
        <v>570</v>
      </c>
      <c r="F126" s="307" t="s">
        <v>376</v>
      </c>
      <c r="G126" s="299" t="s">
        <v>159</v>
      </c>
      <c r="H126" s="307" t="s">
        <v>620</v>
      </c>
      <c r="I126" s="307" t="s">
        <v>382</v>
      </c>
      <c r="J126" s="307" t="s">
        <v>657</v>
      </c>
      <c r="K126" s="299" t="s">
        <v>388</v>
      </c>
      <c r="L126" s="299" t="s">
        <v>389</v>
      </c>
      <c r="M126" s="299"/>
      <c r="N126" s="307"/>
      <c r="O126" s="307"/>
      <c r="P126" s="307" t="e">
        <f ca="1">_xll.BDP(J126&amp;" "&amp;K126&amp;" "&amp;L126,P$2)</f>
        <v>#NAME?</v>
      </c>
      <c r="Q126" s="307" t="e">
        <f ca="1">_xll.BDP(J126&amp;" "&amp;K126&amp;" "&amp;L126,Q$2)</f>
        <v>#NAME?</v>
      </c>
      <c r="R126" s="307" t="e">
        <f ca="1">_xll.BDP(J126&amp;" "&amp;K126&amp;" "&amp;L126,R$2)</f>
        <v>#NAME?</v>
      </c>
      <c r="S126" s="307" t="e">
        <f ca="1">_xll.BDP(J126&amp;" "&amp;K126&amp;" "&amp;L126,S$2)</f>
        <v>#NAME?</v>
      </c>
      <c r="U126" s="307" t="s">
        <v>658</v>
      </c>
      <c r="V126" s="307">
        <v>1.5149999999999999</v>
      </c>
      <c r="W126" s="307" t="s">
        <v>390</v>
      </c>
      <c r="X126" s="307" t="s">
        <v>462</v>
      </c>
    </row>
    <row r="127" spans="2:24" outlineLevel="2">
      <c r="B127" s="299" t="s">
        <v>374</v>
      </c>
      <c r="C127" s="299" t="s">
        <v>375</v>
      </c>
      <c r="D127" s="307" t="s">
        <v>569</v>
      </c>
      <c r="E127" s="307" t="s">
        <v>570</v>
      </c>
      <c r="F127" s="307" t="s">
        <v>376</v>
      </c>
      <c r="G127" s="299" t="s">
        <v>160</v>
      </c>
      <c r="H127" s="307" t="s">
        <v>620</v>
      </c>
      <c r="I127" s="307" t="s">
        <v>382</v>
      </c>
      <c r="J127" s="307" t="s">
        <v>659</v>
      </c>
      <c r="K127" s="299" t="s">
        <v>388</v>
      </c>
      <c r="L127" s="299" t="s">
        <v>389</v>
      </c>
      <c r="M127" s="299"/>
      <c r="N127" s="307"/>
      <c r="O127" s="307"/>
      <c r="P127" s="307" t="e">
        <f ca="1">_xll.BDP(J127&amp;" "&amp;K127&amp;" "&amp;L127,P$2)</f>
        <v>#NAME?</v>
      </c>
      <c r="Q127" s="307" t="e">
        <f ca="1">_xll.BDP(J127&amp;" "&amp;K127&amp;" "&amp;L127,Q$2)</f>
        <v>#NAME?</v>
      </c>
      <c r="R127" s="307" t="e">
        <f ca="1">_xll.BDP(J127&amp;" "&amp;K127&amp;" "&amp;L127,R$2)</f>
        <v>#NAME?</v>
      </c>
      <c r="S127" s="307" t="e">
        <f ca="1">_xll.BDP(J127&amp;" "&amp;K127&amp;" "&amp;L127,S$2)</f>
        <v>#NAME?</v>
      </c>
      <c r="U127" s="307" t="s">
        <v>660</v>
      </c>
      <c r="V127" s="307">
        <v>1.484</v>
      </c>
      <c r="W127" s="307" t="s">
        <v>390</v>
      </c>
      <c r="X127" s="307" t="s">
        <v>462</v>
      </c>
    </row>
    <row r="128" spans="2:24" outlineLevel="2">
      <c r="B128" s="299" t="s">
        <v>374</v>
      </c>
      <c r="C128" s="299" t="s">
        <v>375</v>
      </c>
      <c r="D128" s="323" t="s">
        <v>569</v>
      </c>
      <c r="E128" s="323" t="s">
        <v>570</v>
      </c>
      <c r="F128" s="323" t="s">
        <v>376</v>
      </c>
      <c r="G128" s="324" t="s">
        <v>566</v>
      </c>
      <c r="H128" s="323" t="s">
        <v>620</v>
      </c>
      <c r="I128" s="323" t="s">
        <v>382</v>
      </c>
      <c r="J128" s="323" t="s">
        <v>661</v>
      </c>
      <c r="K128" s="299" t="s">
        <v>388</v>
      </c>
      <c r="L128" s="299" t="s">
        <v>389</v>
      </c>
      <c r="M128" s="324"/>
      <c r="N128" s="323"/>
      <c r="O128" s="323"/>
      <c r="P128" s="307" t="e">
        <f ca="1">_xll.BDP(J128&amp;" "&amp;K128&amp;" "&amp;L128,P$2)</f>
        <v>#NAME?</v>
      </c>
      <c r="Q128" s="307" t="e">
        <f ca="1">_xll.BDP(J128&amp;" "&amp;K128&amp;" "&amp;L128,Q$2)</f>
        <v>#NAME?</v>
      </c>
      <c r="R128" s="307" t="e">
        <f ca="1">_xll.BDP(J128&amp;" "&amp;K128&amp;" "&amp;L128,R$2)</f>
        <v>#NAME?</v>
      </c>
      <c r="S128" s="307" t="e">
        <f ca="1">_xll.BDP(J128&amp;" "&amp;K128&amp;" "&amp;L128,S$2)</f>
        <v>#NAME?</v>
      </c>
      <c r="U128" s="307" t="s">
        <v>662</v>
      </c>
      <c r="V128" s="307">
        <v>1.472</v>
      </c>
      <c r="W128" s="307" t="s">
        <v>390</v>
      </c>
      <c r="X128" s="307" t="s">
        <v>462</v>
      </c>
    </row>
    <row r="129" spans="2:24" outlineLevel="1">
      <c r="B129" s="299" t="s">
        <v>374</v>
      </c>
      <c r="C129" s="299" t="s">
        <v>375</v>
      </c>
      <c r="D129" s="331" t="s">
        <v>663</v>
      </c>
      <c r="E129" s="332" t="s">
        <v>664</v>
      </c>
      <c r="F129" s="332" t="s">
        <v>376</v>
      </c>
      <c r="G129" s="308"/>
      <c r="H129" s="302"/>
      <c r="I129" s="302"/>
      <c r="J129" s="302"/>
      <c r="K129" s="303"/>
      <c r="L129" s="303"/>
      <c r="M129" s="319"/>
      <c r="N129" s="320" t="s">
        <v>665</v>
      </c>
      <c r="O129" s="321"/>
      <c r="P129" s="302"/>
      <c r="Q129" s="302"/>
      <c r="R129" s="302"/>
      <c r="S129" s="322"/>
      <c r="U129" s="302"/>
      <c r="V129" s="302"/>
      <c r="W129" s="302"/>
      <c r="X129" s="322"/>
    </row>
    <row r="130" spans="2:24" outlineLevel="2">
      <c r="B130" s="299" t="s">
        <v>374</v>
      </c>
      <c r="C130" s="299" t="s">
        <v>375</v>
      </c>
      <c r="D130" s="307" t="s">
        <v>663</v>
      </c>
      <c r="E130" s="307" t="s">
        <v>664</v>
      </c>
      <c r="F130" s="307" t="s">
        <v>376</v>
      </c>
      <c r="G130" s="299" t="s">
        <v>19</v>
      </c>
      <c r="H130" s="307" t="s">
        <v>475</v>
      </c>
      <c r="I130" s="307" t="s">
        <v>382</v>
      </c>
      <c r="J130" s="307" t="s">
        <v>666</v>
      </c>
      <c r="K130" s="299"/>
      <c r="L130" s="299" t="s">
        <v>383</v>
      </c>
      <c r="M130" s="299"/>
      <c r="N130" s="307"/>
      <c r="O130" s="307"/>
      <c r="P130" s="307" t="e">
        <f ca="1">_xll.BDP(J130&amp;" "&amp;K130&amp;" "&amp;L130,P$2)</f>
        <v>#NAME?</v>
      </c>
      <c r="Q130" s="307" t="e">
        <f ca="1">_xll.BDP(J130&amp;" "&amp;K130&amp;" "&amp;L130,Q$2)</f>
        <v>#NAME?</v>
      </c>
      <c r="R130" s="307" t="e">
        <f ca="1">_xll.BDP(J130&amp;" "&amp;K130&amp;" "&amp;L130,R$2)</f>
        <v>#NAME?</v>
      </c>
      <c r="S130" s="307" t="e">
        <f ca="1">_xll.BDP(J130&amp;" "&amp;K130&amp;" "&amp;L130,S$2)</f>
        <v>#NAME?</v>
      </c>
      <c r="U130" s="307" t="s">
        <v>220</v>
      </c>
      <c r="V130" s="307">
        <v>3.7999999999999999E-2</v>
      </c>
      <c r="W130" s="307" t="s">
        <v>384</v>
      </c>
      <c r="X130" s="307" t="s">
        <v>384</v>
      </c>
    </row>
    <row r="131" spans="2:24" outlineLevel="2">
      <c r="B131" s="299" t="s">
        <v>374</v>
      </c>
      <c r="C131" s="299" t="s">
        <v>375</v>
      </c>
      <c r="D131" s="307" t="s">
        <v>663</v>
      </c>
      <c r="E131" s="307" t="s">
        <v>664</v>
      </c>
      <c r="F131" s="307" t="s">
        <v>376</v>
      </c>
      <c r="G131" s="329" t="s">
        <v>19</v>
      </c>
      <c r="H131" s="330" t="s">
        <v>667</v>
      </c>
      <c r="I131" s="330" t="s">
        <v>382</v>
      </c>
      <c r="J131" s="330" t="s">
        <v>668</v>
      </c>
      <c r="K131" s="329" t="s">
        <v>388</v>
      </c>
      <c r="L131" s="329" t="s">
        <v>389</v>
      </c>
      <c r="M131" s="329"/>
      <c r="N131" s="330"/>
      <c r="O131" s="330"/>
      <c r="P131" s="307" t="e">
        <f ca="1">_xll.BDP(J131&amp;" "&amp;K131&amp;" "&amp;L131,P$2)</f>
        <v>#NAME?</v>
      </c>
      <c r="Q131" s="307" t="e">
        <f ca="1">_xll.BDP(J131&amp;" "&amp;K131&amp;" "&amp;L131,Q$2)</f>
        <v>#NAME?</v>
      </c>
      <c r="R131" s="307" t="e">
        <f ca="1">_xll.BDP(J131&amp;" "&amp;K131&amp;" "&amp;L131,R$2)</f>
        <v>#NAME?</v>
      </c>
      <c r="S131" s="307" t="e">
        <f ca="1">_xll.BDP(J131&amp;" "&amp;K131&amp;" "&amp;L131,S$2)</f>
        <v>#NAME?</v>
      </c>
      <c r="U131" s="307" t="s">
        <v>669</v>
      </c>
      <c r="V131" s="307" t="s">
        <v>423</v>
      </c>
      <c r="W131" s="307" t="s">
        <v>423</v>
      </c>
      <c r="X131" s="307" t="s">
        <v>423</v>
      </c>
    </row>
    <row r="132" spans="2:24" outlineLevel="2">
      <c r="B132" s="299" t="s">
        <v>374</v>
      </c>
      <c r="C132" s="299" t="s">
        <v>375</v>
      </c>
      <c r="D132" s="307" t="s">
        <v>663</v>
      </c>
      <c r="E132" s="307" t="s">
        <v>664</v>
      </c>
      <c r="F132" s="307" t="s">
        <v>376</v>
      </c>
      <c r="G132" s="299" t="s">
        <v>407</v>
      </c>
      <c r="H132" s="307" t="s">
        <v>670</v>
      </c>
      <c r="I132" s="307" t="s">
        <v>382</v>
      </c>
      <c r="J132" s="307" t="s">
        <v>671</v>
      </c>
      <c r="K132" s="299" t="s">
        <v>388</v>
      </c>
      <c r="L132" s="299" t="s">
        <v>389</v>
      </c>
      <c r="M132" s="299"/>
      <c r="N132" s="307"/>
      <c r="O132" s="307"/>
      <c r="P132" s="307" t="e">
        <f ca="1">_xll.BDP(J132&amp;" "&amp;K132&amp;" "&amp;L132,P$2)</f>
        <v>#NAME?</v>
      </c>
      <c r="Q132" s="307" t="e">
        <f ca="1">_xll.BDP(J132&amp;" "&amp;K132&amp;" "&amp;L132,Q$2)</f>
        <v>#NAME?</v>
      </c>
      <c r="R132" s="307" t="e">
        <f ca="1">_xll.BDP(J132&amp;" "&amp;K132&amp;" "&amp;L132,R$2)</f>
        <v>#NAME?</v>
      </c>
      <c r="S132" s="307" t="e">
        <f ca="1">_xll.BDP(J132&amp;" "&amp;K132&amp;" "&amp;L132,S$2)</f>
        <v>#NAME?</v>
      </c>
      <c r="U132" s="307" t="s">
        <v>221</v>
      </c>
      <c r="V132" s="307">
        <v>3.4000000000000002E-2</v>
      </c>
      <c r="W132" s="307" t="s">
        <v>390</v>
      </c>
      <c r="X132" s="307" t="s">
        <v>672</v>
      </c>
    </row>
    <row r="133" spans="2:24" outlineLevel="2">
      <c r="B133" s="299" t="s">
        <v>374</v>
      </c>
      <c r="C133" s="299" t="s">
        <v>375</v>
      </c>
      <c r="D133" s="307" t="s">
        <v>663</v>
      </c>
      <c r="E133" s="307" t="s">
        <v>664</v>
      </c>
      <c r="F133" s="307" t="s">
        <v>376</v>
      </c>
      <c r="G133" s="299" t="s">
        <v>409</v>
      </c>
      <c r="H133" s="307" t="s">
        <v>673</v>
      </c>
      <c r="I133" s="307" t="s">
        <v>382</v>
      </c>
      <c r="J133" s="307" t="s">
        <v>674</v>
      </c>
      <c r="K133" s="299" t="s">
        <v>388</v>
      </c>
      <c r="L133" s="299" t="s">
        <v>389</v>
      </c>
      <c r="M133" s="299"/>
      <c r="N133" s="307"/>
      <c r="O133" s="307"/>
      <c r="P133" s="307" t="e">
        <f ca="1">_xll.BDP(J133&amp;" "&amp;K133&amp;" "&amp;L133,P$2)</f>
        <v>#NAME?</v>
      </c>
      <c r="Q133" s="307" t="e">
        <f ca="1">_xll.BDP(J133&amp;" "&amp;K133&amp;" "&amp;L133,Q$2)</f>
        <v>#NAME?</v>
      </c>
      <c r="R133" s="307" t="e">
        <f ca="1">_xll.BDP(J133&amp;" "&amp;K133&amp;" "&amp;L133,R$2)</f>
        <v>#NAME?</v>
      </c>
      <c r="S133" s="307" t="e">
        <f ca="1">_xll.BDP(J133&amp;" "&amp;K133&amp;" "&amp;L133,S$2)</f>
        <v>#NAME?</v>
      </c>
      <c r="U133" s="307" t="s">
        <v>222</v>
      </c>
      <c r="V133" s="307">
        <v>3.5000000000000003E-2</v>
      </c>
      <c r="W133" s="307" t="s">
        <v>390</v>
      </c>
      <c r="X133" s="307" t="s">
        <v>672</v>
      </c>
    </row>
    <row r="134" spans="2:24" outlineLevel="2">
      <c r="B134" s="299" t="s">
        <v>374</v>
      </c>
      <c r="C134" s="299" t="s">
        <v>375</v>
      </c>
      <c r="D134" s="307" t="s">
        <v>663</v>
      </c>
      <c r="E134" s="307" t="s">
        <v>664</v>
      </c>
      <c r="F134" s="307" t="s">
        <v>376</v>
      </c>
      <c r="G134" s="299" t="s">
        <v>412</v>
      </c>
      <c r="H134" s="307" t="s">
        <v>675</v>
      </c>
      <c r="I134" s="307" t="s">
        <v>382</v>
      </c>
      <c r="J134" s="307" t="s">
        <v>676</v>
      </c>
      <c r="K134" s="299" t="s">
        <v>388</v>
      </c>
      <c r="L134" s="299" t="s">
        <v>389</v>
      </c>
      <c r="M134" s="299"/>
      <c r="N134" s="307"/>
      <c r="O134" s="307"/>
      <c r="P134" s="307" t="e">
        <f ca="1">_xll.BDP(J134&amp;" "&amp;K134&amp;" "&amp;L134,P$2)</f>
        <v>#NAME?</v>
      </c>
      <c r="Q134" s="307" t="e">
        <f ca="1">_xll.BDP(J134&amp;" "&amp;K134&amp;" "&amp;L134,Q$2)</f>
        <v>#NAME?</v>
      </c>
      <c r="R134" s="307" t="e">
        <f ca="1">_xll.BDP(J134&amp;" "&amp;K134&amp;" "&amp;L134,R$2)</f>
        <v>#NAME?</v>
      </c>
      <c r="S134" s="307" t="e">
        <f ca="1">_xll.BDP(J134&amp;" "&amp;K134&amp;" "&amp;L134,S$2)</f>
        <v>#NAME?</v>
      </c>
      <c r="U134" s="307" t="s">
        <v>223</v>
      </c>
      <c r="V134" s="307">
        <v>3.6999999999999998E-2</v>
      </c>
      <c r="W134" s="307" t="s">
        <v>390</v>
      </c>
      <c r="X134" s="307" t="s">
        <v>587</v>
      </c>
    </row>
    <row r="135" spans="2:24" outlineLevel="2">
      <c r="B135" s="299" t="s">
        <v>374</v>
      </c>
      <c r="C135" s="299" t="s">
        <v>375</v>
      </c>
      <c r="D135" s="307" t="s">
        <v>663</v>
      </c>
      <c r="E135" s="307" t="s">
        <v>664</v>
      </c>
      <c r="F135" s="307" t="s">
        <v>376</v>
      </c>
      <c r="G135" s="299" t="s">
        <v>150</v>
      </c>
      <c r="H135" s="307" t="s">
        <v>677</v>
      </c>
      <c r="I135" s="307" t="s">
        <v>382</v>
      </c>
      <c r="J135" s="307" t="s">
        <v>678</v>
      </c>
      <c r="K135" s="299" t="s">
        <v>388</v>
      </c>
      <c r="L135" s="299" t="s">
        <v>389</v>
      </c>
      <c r="M135" s="299"/>
      <c r="N135" s="307"/>
      <c r="O135" s="307"/>
      <c r="P135" s="307" t="e">
        <f ca="1">_xll.BDP(J135&amp;" "&amp;K135&amp;" "&amp;L135,P$2)</f>
        <v>#NAME?</v>
      </c>
      <c r="Q135" s="307" t="e">
        <f ca="1">_xll.BDP(J135&amp;" "&amp;K135&amp;" "&amp;L135,Q$2)</f>
        <v>#NAME?</v>
      </c>
      <c r="R135" s="307" t="e">
        <f ca="1">_xll.BDP(J135&amp;" "&amp;K135&amp;" "&amp;L135,R$2)</f>
        <v>#NAME?</v>
      </c>
      <c r="S135" s="307" t="e">
        <f ca="1">_xll.BDP(J135&amp;" "&amp;K135&amp;" "&amp;L135,S$2)</f>
        <v>#NAME?</v>
      </c>
      <c r="U135" s="307" t="s">
        <v>224</v>
      </c>
      <c r="V135" s="307">
        <v>3.9E-2</v>
      </c>
      <c r="W135" s="307" t="s">
        <v>390</v>
      </c>
      <c r="X135" s="307" t="s">
        <v>587</v>
      </c>
    </row>
    <row r="136" spans="2:24" outlineLevel="2">
      <c r="B136" s="299" t="s">
        <v>374</v>
      </c>
      <c r="C136" s="299" t="s">
        <v>375</v>
      </c>
      <c r="D136" s="307" t="s">
        <v>663</v>
      </c>
      <c r="E136" s="307" t="s">
        <v>664</v>
      </c>
      <c r="F136" s="307" t="s">
        <v>376</v>
      </c>
      <c r="G136" s="299" t="s">
        <v>151</v>
      </c>
      <c r="H136" s="307" t="s">
        <v>679</v>
      </c>
      <c r="I136" s="307" t="s">
        <v>382</v>
      </c>
      <c r="J136" s="307" t="s">
        <v>680</v>
      </c>
      <c r="K136" s="299" t="s">
        <v>388</v>
      </c>
      <c r="L136" s="299" t="s">
        <v>389</v>
      </c>
      <c r="M136" s="299"/>
      <c r="N136" s="307"/>
      <c r="O136" s="307"/>
      <c r="P136" s="307" t="e">
        <f ca="1">_xll.BDP(J136&amp;" "&amp;K136&amp;" "&amp;L136,P$2)</f>
        <v>#NAME?</v>
      </c>
      <c r="Q136" s="307" t="e">
        <f ca="1">_xll.BDP(J136&amp;" "&amp;K136&amp;" "&amp;L136,Q$2)</f>
        <v>#NAME?</v>
      </c>
      <c r="R136" s="307" t="e">
        <f ca="1">_xll.BDP(J136&amp;" "&amp;K136&amp;" "&amp;L136,R$2)</f>
        <v>#NAME?</v>
      </c>
      <c r="S136" s="307" t="e">
        <f ca="1">_xll.BDP(J136&amp;" "&amp;K136&amp;" "&amp;L136,S$2)</f>
        <v>#NAME?</v>
      </c>
      <c r="U136" s="307" t="s">
        <v>225</v>
      </c>
      <c r="V136" s="307">
        <v>4.2000000000000003E-2</v>
      </c>
      <c r="W136" s="307" t="s">
        <v>390</v>
      </c>
      <c r="X136" s="307" t="s">
        <v>597</v>
      </c>
    </row>
    <row r="137" spans="2:24" outlineLevel="2">
      <c r="B137" s="299" t="s">
        <v>374</v>
      </c>
      <c r="C137" s="299" t="s">
        <v>375</v>
      </c>
      <c r="D137" s="307" t="s">
        <v>663</v>
      </c>
      <c r="E137" s="307" t="s">
        <v>664</v>
      </c>
      <c r="F137" s="307" t="s">
        <v>376</v>
      </c>
      <c r="G137" s="299" t="s">
        <v>7</v>
      </c>
      <c r="H137" s="307" t="s">
        <v>681</v>
      </c>
      <c r="I137" s="307" t="s">
        <v>382</v>
      </c>
      <c r="J137" s="307" t="s">
        <v>682</v>
      </c>
      <c r="K137" s="299" t="s">
        <v>388</v>
      </c>
      <c r="L137" s="299" t="s">
        <v>389</v>
      </c>
      <c r="M137" s="299"/>
      <c r="N137" s="307"/>
      <c r="O137" s="307"/>
      <c r="P137" s="307" t="e">
        <f ca="1">_xll.BDP(J137&amp;" "&amp;K137&amp;" "&amp;L137,P$2)</f>
        <v>#NAME?</v>
      </c>
      <c r="Q137" s="307" t="e">
        <f ca="1">_xll.BDP(J137&amp;" "&amp;K137&amp;" "&amp;L137,Q$2)</f>
        <v>#NAME?</v>
      </c>
      <c r="R137" s="307" t="e">
        <f ca="1">_xll.BDP(J137&amp;" "&amp;K137&amp;" "&amp;L137,R$2)</f>
        <v>#NAME?</v>
      </c>
      <c r="S137" s="307" t="e">
        <f ca="1">_xll.BDP(J137&amp;" "&amp;K137&amp;" "&amp;L137,S$2)</f>
        <v>#NAME?</v>
      </c>
      <c r="U137" s="307" t="s">
        <v>226</v>
      </c>
      <c r="V137" s="307">
        <v>4.3999999999999997E-2</v>
      </c>
      <c r="W137" s="307" t="s">
        <v>390</v>
      </c>
      <c r="X137" s="307" t="s">
        <v>683</v>
      </c>
    </row>
    <row r="138" spans="2:24" outlineLevel="2">
      <c r="B138" s="299" t="s">
        <v>374</v>
      </c>
      <c r="C138" s="299" t="s">
        <v>375</v>
      </c>
      <c r="D138" s="307" t="s">
        <v>663</v>
      </c>
      <c r="E138" s="307" t="s">
        <v>664</v>
      </c>
      <c r="F138" s="307" t="s">
        <v>376</v>
      </c>
      <c r="G138" s="299" t="s">
        <v>416</v>
      </c>
      <c r="H138" s="307" t="s">
        <v>684</v>
      </c>
      <c r="I138" s="307" t="s">
        <v>382</v>
      </c>
      <c r="J138" s="307" t="s">
        <v>685</v>
      </c>
      <c r="K138" s="299" t="s">
        <v>388</v>
      </c>
      <c r="L138" s="299" t="s">
        <v>389</v>
      </c>
      <c r="M138" s="299"/>
      <c r="N138" s="307"/>
      <c r="O138" s="307"/>
      <c r="P138" s="307" t="e">
        <f ca="1">_xll.BDP(J138&amp;" "&amp;K138&amp;" "&amp;L138,P$2)</f>
        <v>#NAME?</v>
      </c>
      <c r="Q138" s="307" t="e">
        <f ca="1">_xll.BDP(J138&amp;" "&amp;K138&amp;" "&amp;L138,Q$2)</f>
        <v>#NAME?</v>
      </c>
      <c r="R138" s="307" t="e">
        <f ca="1">_xll.BDP(J138&amp;" "&amp;K138&amp;" "&amp;L138,R$2)</f>
        <v>#NAME?</v>
      </c>
      <c r="S138" s="307" t="e">
        <f ca="1">_xll.BDP(J138&amp;" "&amp;K138&amp;" "&amp;L138,S$2)</f>
        <v>#NAME?</v>
      </c>
      <c r="U138" s="307" t="s">
        <v>227</v>
      </c>
      <c r="V138" s="307">
        <v>4.8000000000000001E-2</v>
      </c>
      <c r="W138" s="307" t="s">
        <v>390</v>
      </c>
      <c r="X138" s="307" t="s">
        <v>601</v>
      </c>
    </row>
    <row r="139" spans="2:24" outlineLevel="2">
      <c r="B139" s="299" t="s">
        <v>374</v>
      </c>
      <c r="C139" s="299" t="s">
        <v>375</v>
      </c>
      <c r="D139" s="307" t="s">
        <v>663</v>
      </c>
      <c r="E139" s="307" t="s">
        <v>664</v>
      </c>
      <c r="F139" s="307" t="s">
        <v>376</v>
      </c>
      <c r="G139" s="299" t="s">
        <v>424</v>
      </c>
      <c r="H139" s="307" t="s">
        <v>686</v>
      </c>
      <c r="I139" s="307" t="s">
        <v>382</v>
      </c>
      <c r="J139" s="307" t="s">
        <v>687</v>
      </c>
      <c r="K139" s="299" t="s">
        <v>388</v>
      </c>
      <c r="L139" s="299" t="s">
        <v>389</v>
      </c>
      <c r="M139" s="299"/>
      <c r="N139" s="307"/>
      <c r="O139" s="307"/>
      <c r="P139" s="307" t="e">
        <f ca="1">_xll.BDP(J139&amp;" "&amp;K139&amp;" "&amp;L139,P$2)</f>
        <v>#NAME?</v>
      </c>
      <c r="Q139" s="307" t="e">
        <f ca="1">_xll.BDP(J139&amp;" "&amp;K139&amp;" "&amp;L139,Q$2)</f>
        <v>#NAME?</v>
      </c>
      <c r="R139" s="307" t="e">
        <f ca="1">_xll.BDP(J139&amp;" "&amp;K139&amp;" "&amp;L139,R$2)</f>
        <v>#NAME?</v>
      </c>
      <c r="S139" s="307" t="e">
        <f ca="1">_xll.BDP(J139&amp;" "&amp;K139&amp;" "&amp;L139,S$2)</f>
        <v>#NAME?</v>
      </c>
      <c r="U139" s="307" t="s">
        <v>228</v>
      </c>
      <c r="V139" s="307">
        <v>5.2999999999999999E-2</v>
      </c>
      <c r="W139" s="307" t="s">
        <v>390</v>
      </c>
      <c r="X139" s="307" t="s">
        <v>683</v>
      </c>
    </row>
    <row r="140" spans="2:24" outlineLevel="2">
      <c r="B140" s="299" t="s">
        <v>374</v>
      </c>
      <c r="C140" s="299" t="s">
        <v>375</v>
      </c>
      <c r="D140" s="307" t="s">
        <v>663</v>
      </c>
      <c r="E140" s="307" t="s">
        <v>664</v>
      </c>
      <c r="F140" s="307" t="s">
        <v>376</v>
      </c>
      <c r="G140" s="299" t="s">
        <v>153</v>
      </c>
      <c r="H140" s="307" t="s">
        <v>688</v>
      </c>
      <c r="I140" s="307" t="s">
        <v>382</v>
      </c>
      <c r="J140" s="307" t="s">
        <v>689</v>
      </c>
      <c r="K140" s="299" t="s">
        <v>388</v>
      </c>
      <c r="L140" s="299" t="s">
        <v>389</v>
      </c>
      <c r="M140" s="299"/>
      <c r="N140" s="307"/>
      <c r="O140" s="307"/>
      <c r="P140" s="307" t="e">
        <f ca="1">_xll.BDP(J140&amp;" "&amp;K140&amp;" "&amp;L140,P$2)</f>
        <v>#NAME?</v>
      </c>
      <c r="Q140" s="307" t="e">
        <f ca="1">_xll.BDP(J140&amp;" "&amp;K140&amp;" "&amp;L140,Q$2)</f>
        <v>#NAME?</v>
      </c>
      <c r="R140" s="307" t="e">
        <f ca="1">_xll.BDP(J140&amp;" "&amp;K140&amp;" "&amp;L140,R$2)</f>
        <v>#NAME?</v>
      </c>
      <c r="S140" s="307" t="e">
        <f ca="1">_xll.BDP(J140&amp;" "&amp;K140&amp;" "&amp;L140,S$2)</f>
        <v>#NAME?</v>
      </c>
      <c r="U140" s="307" t="s">
        <v>229</v>
      </c>
      <c r="V140" s="307">
        <v>5.7000000000000002E-2</v>
      </c>
      <c r="W140" s="307" t="s">
        <v>390</v>
      </c>
      <c r="X140" s="307" t="s">
        <v>498</v>
      </c>
    </row>
    <row r="141" spans="2:24" outlineLevel="2">
      <c r="B141" s="299" t="s">
        <v>374</v>
      </c>
      <c r="C141" s="299" t="s">
        <v>375</v>
      </c>
      <c r="D141" s="307" t="s">
        <v>663</v>
      </c>
      <c r="E141" s="307" t="s">
        <v>664</v>
      </c>
      <c r="F141" s="307" t="s">
        <v>376</v>
      </c>
      <c r="G141" s="299" t="s">
        <v>429</v>
      </c>
      <c r="H141" s="307" t="s">
        <v>690</v>
      </c>
      <c r="I141" s="307" t="s">
        <v>382</v>
      </c>
      <c r="J141" s="307" t="s">
        <v>691</v>
      </c>
      <c r="K141" s="299" t="s">
        <v>388</v>
      </c>
      <c r="L141" s="299" t="s">
        <v>389</v>
      </c>
      <c r="M141" s="299"/>
      <c r="N141" s="307"/>
      <c r="O141" s="307"/>
      <c r="P141" s="307" t="e">
        <f ca="1">_xll.BDP(J141&amp;" "&amp;K141&amp;" "&amp;L141,P$2)</f>
        <v>#NAME?</v>
      </c>
      <c r="Q141" s="307" t="e">
        <f ca="1">_xll.BDP(J141&amp;" "&amp;K141&amp;" "&amp;L141,Q$2)</f>
        <v>#NAME?</v>
      </c>
      <c r="R141" s="307" t="e">
        <f ca="1">_xll.BDP(J141&amp;" "&amp;K141&amp;" "&amp;L141,R$2)</f>
        <v>#NAME?</v>
      </c>
      <c r="S141" s="307" t="e">
        <f ca="1">_xll.BDP(J141&amp;" "&amp;K141&amp;" "&amp;L141,S$2)</f>
        <v>#NAME?</v>
      </c>
      <c r="U141" s="307" t="s">
        <v>230</v>
      </c>
      <c r="V141" s="307">
        <v>6.5000000000000002E-2</v>
      </c>
      <c r="W141" s="307" t="s">
        <v>390</v>
      </c>
      <c r="X141" s="307" t="s">
        <v>498</v>
      </c>
    </row>
    <row r="142" spans="2:24" outlineLevel="2">
      <c r="B142" s="299" t="s">
        <v>374</v>
      </c>
      <c r="C142" s="299" t="s">
        <v>375</v>
      </c>
      <c r="D142" s="307" t="s">
        <v>663</v>
      </c>
      <c r="E142" s="307" t="s">
        <v>664</v>
      </c>
      <c r="F142" s="307" t="s">
        <v>376</v>
      </c>
      <c r="G142" s="299" t="s">
        <v>432</v>
      </c>
      <c r="H142" s="307" t="s">
        <v>692</v>
      </c>
      <c r="I142" s="307" t="s">
        <v>382</v>
      </c>
      <c r="J142" s="307" t="s">
        <v>693</v>
      </c>
      <c r="K142" s="299" t="s">
        <v>388</v>
      </c>
      <c r="L142" s="299" t="s">
        <v>389</v>
      </c>
      <c r="M142" s="299"/>
      <c r="N142" s="307"/>
      <c r="O142" s="307"/>
      <c r="P142" s="307" t="e">
        <f ca="1">_xll.BDP(J142&amp;" "&amp;K142&amp;" "&amp;L142,P$2)</f>
        <v>#NAME?</v>
      </c>
      <c r="Q142" s="307" t="e">
        <f ca="1">_xll.BDP(J142&amp;" "&amp;K142&amp;" "&amp;L142,Q$2)</f>
        <v>#NAME?</v>
      </c>
      <c r="R142" s="307" t="e">
        <f ca="1">_xll.BDP(J142&amp;" "&amp;K142&amp;" "&amp;L142,R$2)</f>
        <v>#NAME?</v>
      </c>
      <c r="S142" s="307" t="e">
        <f ca="1">_xll.BDP(J142&amp;" "&amp;K142&amp;" "&amp;L142,S$2)</f>
        <v>#NAME?</v>
      </c>
      <c r="U142" s="307" t="s">
        <v>231</v>
      </c>
      <c r="V142" s="307">
        <v>7.1999999999999995E-2</v>
      </c>
      <c r="W142" s="307" t="s">
        <v>390</v>
      </c>
      <c r="X142" s="307" t="s">
        <v>498</v>
      </c>
    </row>
    <row r="143" spans="2:24" outlineLevel="2">
      <c r="B143" s="299" t="s">
        <v>374</v>
      </c>
      <c r="C143" s="299" t="s">
        <v>375</v>
      </c>
      <c r="D143" s="307" t="s">
        <v>663</v>
      </c>
      <c r="E143" s="307" t="s">
        <v>664</v>
      </c>
      <c r="F143" s="307" t="s">
        <v>376</v>
      </c>
      <c r="G143" s="299" t="s">
        <v>154</v>
      </c>
      <c r="H143" s="307" t="s">
        <v>694</v>
      </c>
      <c r="I143" s="307" t="s">
        <v>382</v>
      </c>
      <c r="J143" s="307" t="s">
        <v>695</v>
      </c>
      <c r="K143" s="299" t="s">
        <v>388</v>
      </c>
      <c r="L143" s="299" t="s">
        <v>389</v>
      </c>
      <c r="M143" s="299"/>
      <c r="N143" s="307"/>
      <c r="O143" s="307"/>
      <c r="P143" s="307" t="e">
        <f ca="1">_xll.BDP(J143&amp;" "&amp;K143&amp;" "&amp;L143,P$2)</f>
        <v>#NAME?</v>
      </c>
      <c r="Q143" s="307" t="e">
        <f ca="1">_xll.BDP(J143&amp;" "&amp;K143&amp;" "&amp;L143,Q$2)</f>
        <v>#NAME?</v>
      </c>
      <c r="R143" s="307" t="e">
        <f ca="1">_xll.BDP(J143&amp;" "&amp;K143&amp;" "&amp;L143,R$2)</f>
        <v>#NAME?</v>
      </c>
      <c r="S143" s="307" t="e">
        <f ca="1">_xll.BDP(J143&amp;" "&amp;K143&amp;" "&amp;L143,S$2)</f>
        <v>#NAME?</v>
      </c>
      <c r="U143" s="307" t="s">
        <v>232</v>
      </c>
      <c r="V143" s="307">
        <v>7.9000000000000001E-2</v>
      </c>
      <c r="W143" s="307" t="s">
        <v>390</v>
      </c>
      <c r="X143" s="307" t="s">
        <v>696</v>
      </c>
    </row>
    <row r="144" spans="2:24" outlineLevel="2">
      <c r="B144" s="299" t="s">
        <v>374</v>
      </c>
      <c r="C144" s="299" t="s">
        <v>375</v>
      </c>
      <c r="D144" s="307" t="s">
        <v>663</v>
      </c>
      <c r="E144" s="307" t="s">
        <v>664</v>
      </c>
      <c r="F144" s="307" t="s">
        <v>376</v>
      </c>
      <c r="G144" s="299" t="s">
        <v>8</v>
      </c>
      <c r="H144" s="307" t="s">
        <v>697</v>
      </c>
      <c r="I144" s="307" t="s">
        <v>382</v>
      </c>
      <c r="J144" s="307" t="s">
        <v>698</v>
      </c>
      <c r="K144" s="299" t="s">
        <v>388</v>
      </c>
      <c r="L144" s="299" t="s">
        <v>389</v>
      </c>
      <c r="M144" s="299"/>
      <c r="N144" s="307"/>
      <c r="O144" s="307"/>
      <c r="P144" s="307" t="e">
        <f ca="1">_xll.BDP(J144&amp;" "&amp;K144&amp;" "&amp;L144,P$2)</f>
        <v>#NAME?</v>
      </c>
      <c r="Q144" s="307" t="e">
        <f ca="1">_xll.BDP(J144&amp;" "&amp;K144&amp;" "&amp;L144,Q$2)</f>
        <v>#NAME?</v>
      </c>
      <c r="R144" s="307" t="e">
        <f ca="1">_xll.BDP(J144&amp;" "&amp;K144&amp;" "&amp;L144,R$2)</f>
        <v>#NAME?</v>
      </c>
      <c r="S144" s="307" t="e">
        <f ca="1">_xll.BDP(J144&amp;" "&amp;K144&amp;" "&amp;L144,S$2)</f>
        <v>#NAME?</v>
      </c>
      <c r="U144" s="307" t="s">
        <v>233</v>
      </c>
      <c r="V144" s="307">
        <v>7.8E-2</v>
      </c>
      <c r="W144" s="307" t="s">
        <v>390</v>
      </c>
      <c r="X144" s="307" t="s">
        <v>699</v>
      </c>
    </row>
    <row r="145" spans="2:24" outlineLevel="2">
      <c r="B145" s="299" t="s">
        <v>374</v>
      </c>
      <c r="C145" s="299" t="s">
        <v>375</v>
      </c>
      <c r="D145" s="307" t="s">
        <v>663</v>
      </c>
      <c r="E145" s="307" t="s">
        <v>664</v>
      </c>
      <c r="F145" s="307" t="s">
        <v>376</v>
      </c>
      <c r="G145" s="299" t="s">
        <v>9</v>
      </c>
      <c r="H145" s="307" t="s">
        <v>697</v>
      </c>
      <c r="I145" s="307" t="s">
        <v>382</v>
      </c>
      <c r="J145" s="307" t="s">
        <v>700</v>
      </c>
      <c r="K145" s="299" t="s">
        <v>388</v>
      </c>
      <c r="L145" s="299" t="s">
        <v>389</v>
      </c>
      <c r="M145" s="299"/>
      <c r="N145" s="307"/>
      <c r="O145" s="307"/>
      <c r="P145" s="307" t="e">
        <f ca="1">_xll.BDP(J145&amp;" "&amp;K145&amp;" "&amp;L145,P$2)</f>
        <v>#NAME?</v>
      </c>
      <c r="Q145" s="307" t="e">
        <f ca="1">_xll.BDP(J145&amp;" "&amp;K145&amp;" "&amp;L145,Q$2)</f>
        <v>#NAME?</v>
      </c>
      <c r="R145" s="307" t="e">
        <f ca="1">_xll.BDP(J145&amp;" "&amp;K145&amp;" "&amp;L145,R$2)</f>
        <v>#NAME?</v>
      </c>
      <c r="S145" s="307" t="e">
        <f ca="1">_xll.BDP(J145&amp;" "&amp;K145&amp;" "&amp;L145,S$2)</f>
        <v>#NAME?</v>
      </c>
      <c r="U145" s="307" t="s">
        <v>234</v>
      </c>
      <c r="V145" s="307">
        <v>0.14799999999999999</v>
      </c>
      <c r="W145" s="307" t="s">
        <v>390</v>
      </c>
      <c r="X145" s="307" t="s">
        <v>699</v>
      </c>
    </row>
    <row r="146" spans="2:24" outlineLevel="2">
      <c r="B146" s="299" t="s">
        <v>374</v>
      </c>
      <c r="C146" s="299" t="s">
        <v>375</v>
      </c>
      <c r="D146" s="307" t="s">
        <v>663</v>
      </c>
      <c r="E146" s="307" t="s">
        <v>664</v>
      </c>
      <c r="F146" s="307" t="s">
        <v>376</v>
      </c>
      <c r="G146" s="299" t="s">
        <v>10</v>
      </c>
      <c r="H146" s="307" t="s">
        <v>697</v>
      </c>
      <c r="I146" s="307" t="s">
        <v>382</v>
      </c>
      <c r="J146" s="307" t="s">
        <v>701</v>
      </c>
      <c r="K146" s="299" t="s">
        <v>388</v>
      </c>
      <c r="L146" s="299" t="s">
        <v>389</v>
      </c>
      <c r="M146" s="299"/>
      <c r="N146" s="307"/>
      <c r="O146" s="307"/>
      <c r="P146" s="307" t="e">
        <f ca="1">_xll.BDP(J146&amp;" "&amp;K146&amp;" "&amp;L146,P$2)</f>
        <v>#NAME?</v>
      </c>
      <c r="Q146" s="307" t="e">
        <f ca="1">_xll.BDP(J146&amp;" "&amp;K146&amp;" "&amp;L146,Q$2)</f>
        <v>#NAME?</v>
      </c>
      <c r="R146" s="307" t="e">
        <f ca="1">_xll.BDP(J146&amp;" "&amp;K146&amp;" "&amp;L146,R$2)</f>
        <v>#NAME?</v>
      </c>
      <c r="S146" s="307" t="e">
        <f ca="1">_xll.BDP(J146&amp;" "&amp;K146&amp;" "&amp;L146,S$2)</f>
        <v>#NAME?</v>
      </c>
      <c r="U146" s="307" t="s">
        <v>235</v>
      </c>
      <c r="V146" s="307">
        <v>0.249</v>
      </c>
      <c r="W146" s="307" t="s">
        <v>390</v>
      </c>
      <c r="X146" s="307" t="s">
        <v>699</v>
      </c>
    </row>
    <row r="147" spans="2:24" outlineLevel="2">
      <c r="B147" s="299" t="s">
        <v>374</v>
      </c>
      <c r="C147" s="299" t="s">
        <v>375</v>
      </c>
      <c r="D147" s="307" t="s">
        <v>663</v>
      </c>
      <c r="E147" s="307" t="s">
        <v>664</v>
      </c>
      <c r="F147" s="307" t="s">
        <v>376</v>
      </c>
      <c r="G147" s="299" t="s">
        <v>11</v>
      </c>
      <c r="H147" s="307" t="s">
        <v>697</v>
      </c>
      <c r="I147" s="307" t="s">
        <v>382</v>
      </c>
      <c r="J147" s="307" t="s">
        <v>702</v>
      </c>
      <c r="K147" s="299" t="s">
        <v>388</v>
      </c>
      <c r="L147" s="299" t="s">
        <v>389</v>
      </c>
      <c r="M147" s="299"/>
      <c r="N147" s="307"/>
      <c r="O147" s="307"/>
      <c r="P147" s="307" t="e">
        <f ca="1">_xll.BDP(J147&amp;" "&amp;K147&amp;" "&amp;L147,P$2)</f>
        <v>#NAME?</v>
      </c>
      <c r="Q147" s="307" t="e">
        <f ca="1">_xll.BDP(J147&amp;" "&amp;K147&amp;" "&amp;L147,Q$2)</f>
        <v>#NAME?</v>
      </c>
      <c r="R147" s="307" t="e">
        <f ca="1">_xll.BDP(J147&amp;" "&amp;K147&amp;" "&amp;L147,R$2)</f>
        <v>#NAME?</v>
      </c>
      <c r="S147" s="307" t="e">
        <f ca="1">_xll.BDP(J147&amp;" "&amp;K147&amp;" "&amp;L147,S$2)</f>
        <v>#NAME?</v>
      </c>
      <c r="U147" s="307" t="s">
        <v>236</v>
      </c>
      <c r="V147" s="307">
        <v>0.36499999999999999</v>
      </c>
      <c r="W147" s="307" t="s">
        <v>390</v>
      </c>
      <c r="X147" s="307" t="s">
        <v>703</v>
      </c>
    </row>
    <row r="148" spans="2:24" outlineLevel="2">
      <c r="B148" s="299" t="s">
        <v>374</v>
      </c>
      <c r="C148" s="299" t="s">
        <v>375</v>
      </c>
      <c r="D148" s="307" t="s">
        <v>663</v>
      </c>
      <c r="E148" s="307" t="s">
        <v>664</v>
      </c>
      <c r="F148" s="307" t="s">
        <v>376</v>
      </c>
      <c r="G148" s="299" t="s">
        <v>12</v>
      </c>
      <c r="H148" s="307" t="s">
        <v>697</v>
      </c>
      <c r="I148" s="307" t="s">
        <v>382</v>
      </c>
      <c r="J148" s="307" t="s">
        <v>704</v>
      </c>
      <c r="K148" s="299" t="s">
        <v>388</v>
      </c>
      <c r="L148" s="299" t="s">
        <v>389</v>
      </c>
      <c r="M148" s="299"/>
      <c r="N148" s="307"/>
      <c r="O148" s="307"/>
      <c r="P148" s="307" t="e">
        <f ca="1">_xll.BDP(J148&amp;" "&amp;K148&amp;" "&amp;L148,P$2)</f>
        <v>#NAME?</v>
      </c>
      <c r="Q148" s="307" t="e">
        <f ca="1">_xll.BDP(J148&amp;" "&amp;K148&amp;" "&amp;L148,Q$2)</f>
        <v>#NAME?</v>
      </c>
      <c r="R148" s="307" t="e">
        <f ca="1">_xll.BDP(J148&amp;" "&amp;K148&amp;" "&amp;L148,R$2)</f>
        <v>#NAME?</v>
      </c>
      <c r="S148" s="307" t="e">
        <f ca="1">_xll.BDP(J148&amp;" "&amp;K148&amp;" "&amp;L148,S$2)</f>
        <v>#NAME?</v>
      </c>
      <c r="U148" s="307" t="s">
        <v>237</v>
      </c>
      <c r="V148" s="307">
        <v>0.497</v>
      </c>
      <c r="W148" s="307" t="s">
        <v>390</v>
      </c>
      <c r="X148" s="307" t="s">
        <v>705</v>
      </c>
    </row>
    <row r="149" spans="2:24" outlineLevel="2">
      <c r="B149" s="299" t="s">
        <v>374</v>
      </c>
      <c r="C149" s="299" t="s">
        <v>375</v>
      </c>
      <c r="D149" s="307" t="s">
        <v>663</v>
      </c>
      <c r="E149" s="307" t="s">
        <v>664</v>
      </c>
      <c r="F149" s="307" t="s">
        <v>376</v>
      </c>
      <c r="G149" s="299" t="s">
        <v>13</v>
      </c>
      <c r="H149" s="307" t="s">
        <v>697</v>
      </c>
      <c r="I149" s="307" t="s">
        <v>382</v>
      </c>
      <c r="J149" s="307" t="s">
        <v>706</v>
      </c>
      <c r="K149" s="299" t="s">
        <v>388</v>
      </c>
      <c r="L149" s="299" t="s">
        <v>389</v>
      </c>
      <c r="M149" s="299"/>
      <c r="N149" s="307"/>
      <c r="O149" s="307"/>
      <c r="P149" s="307" t="e">
        <f ca="1">_xll.BDP(J149&amp;" "&amp;K149&amp;" "&amp;L149,P$2)</f>
        <v>#NAME?</v>
      </c>
      <c r="Q149" s="307" t="e">
        <f ca="1">_xll.BDP(J149&amp;" "&amp;K149&amp;" "&amp;L149,Q$2)</f>
        <v>#NAME?</v>
      </c>
      <c r="R149" s="307" t="e">
        <f ca="1">_xll.BDP(J149&amp;" "&amp;K149&amp;" "&amp;L149,R$2)</f>
        <v>#NAME?</v>
      </c>
      <c r="S149" s="307" t="e">
        <f ca="1">_xll.BDP(J149&amp;" "&amp;K149&amp;" "&amp;L149,S$2)</f>
        <v>#NAME?</v>
      </c>
      <c r="U149" s="307" t="s">
        <v>238</v>
      </c>
      <c r="V149" s="307">
        <v>0.63300000000000001</v>
      </c>
      <c r="W149" s="307" t="s">
        <v>390</v>
      </c>
      <c r="X149" s="307" t="s">
        <v>460</v>
      </c>
    </row>
    <row r="150" spans="2:24" outlineLevel="2">
      <c r="B150" s="299" t="s">
        <v>374</v>
      </c>
      <c r="C150" s="299" t="s">
        <v>375</v>
      </c>
      <c r="D150" s="307" t="s">
        <v>663</v>
      </c>
      <c r="E150" s="307" t="s">
        <v>664</v>
      </c>
      <c r="F150" s="307" t="s">
        <v>376</v>
      </c>
      <c r="G150" s="299" t="s">
        <v>14</v>
      </c>
      <c r="H150" s="307" t="s">
        <v>697</v>
      </c>
      <c r="I150" s="307" t="s">
        <v>382</v>
      </c>
      <c r="J150" s="307" t="s">
        <v>707</v>
      </c>
      <c r="K150" s="299" t="s">
        <v>388</v>
      </c>
      <c r="L150" s="299" t="s">
        <v>389</v>
      </c>
      <c r="M150" s="299"/>
      <c r="N150" s="307"/>
      <c r="O150" s="307"/>
      <c r="P150" s="307" t="e">
        <f ca="1">_xll.BDP(J150&amp;" "&amp;K150&amp;" "&amp;L150,P$2)</f>
        <v>#NAME?</v>
      </c>
      <c r="Q150" s="307" t="e">
        <f ca="1">_xll.BDP(J150&amp;" "&amp;K150&amp;" "&amp;L150,Q$2)</f>
        <v>#NAME?</v>
      </c>
      <c r="R150" s="307" t="e">
        <f ca="1">_xll.BDP(J150&amp;" "&amp;K150&amp;" "&amp;L150,R$2)</f>
        <v>#NAME?</v>
      </c>
      <c r="S150" s="307" t="e">
        <f ca="1">_xll.BDP(J150&amp;" "&amp;K150&amp;" "&amp;L150,S$2)</f>
        <v>#NAME?</v>
      </c>
      <c r="U150" s="307" t="s">
        <v>239</v>
      </c>
      <c r="V150" s="307">
        <v>0.76500000000000001</v>
      </c>
      <c r="W150" s="307" t="s">
        <v>390</v>
      </c>
      <c r="X150" s="307" t="s">
        <v>460</v>
      </c>
    </row>
    <row r="151" spans="2:24" outlineLevel="2">
      <c r="B151" s="299" t="s">
        <v>374</v>
      </c>
      <c r="C151" s="299" t="s">
        <v>375</v>
      </c>
      <c r="D151" s="307" t="s">
        <v>663</v>
      </c>
      <c r="E151" s="307" t="s">
        <v>664</v>
      </c>
      <c r="F151" s="307" t="s">
        <v>376</v>
      </c>
      <c r="G151" s="299" t="s">
        <v>15</v>
      </c>
      <c r="H151" s="307" t="s">
        <v>697</v>
      </c>
      <c r="I151" s="307" t="s">
        <v>382</v>
      </c>
      <c r="J151" s="307" t="s">
        <v>708</v>
      </c>
      <c r="K151" s="299" t="s">
        <v>388</v>
      </c>
      <c r="L151" s="299" t="s">
        <v>389</v>
      </c>
      <c r="M151" s="299"/>
      <c r="N151" s="307"/>
      <c r="O151" s="307"/>
      <c r="P151" s="307" t="e">
        <f ca="1">_xll.BDP(J151&amp;" "&amp;K151&amp;" "&amp;L151,P$2)</f>
        <v>#NAME?</v>
      </c>
      <c r="Q151" s="307" t="e">
        <f ca="1">_xll.BDP(J151&amp;" "&amp;K151&amp;" "&amp;L151,Q$2)</f>
        <v>#NAME?</v>
      </c>
      <c r="R151" s="307" t="e">
        <f ca="1">_xll.BDP(J151&amp;" "&amp;K151&amp;" "&amp;L151,R$2)</f>
        <v>#NAME?</v>
      </c>
      <c r="S151" s="307" t="e">
        <f ca="1">_xll.BDP(J151&amp;" "&amp;K151&amp;" "&amp;L151,S$2)</f>
        <v>#NAME?</v>
      </c>
      <c r="U151" s="307" t="s">
        <v>240</v>
      </c>
      <c r="V151" s="307">
        <v>0.88500000000000001</v>
      </c>
      <c r="W151" s="307" t="s">
        <v>390</v>
      </c>
      <c r="X151" s="307" t="s">
        <v>460</v>
      </c>
    </row>
    <row r="152" spans="2:24" outlineLevel="2">
      <c r="B152" s="299" t="s">
        <v>374</v>
      </c>
      <c r="C152" s="299" t="s">
        <v>375</v>
      </c>
      <c r="D152" s="307" t="s">
        <v>663</v>
      </c>
      <c r="E152" s="307" t="s">
        <v>664</v>
      </c>
      <c r="F152" s="307" t="s">
        <v>376</v>
      </c>
      <c r="G152" s="299" t="s">
        <v>16</v>
      </c>
      <c r="H152" s="307" t="s">
        <v>697</v>
      </c>
      <c r="I152" s="307" t="s">
        <v>382</v>
      </c>
      <c r="J152" s="307" t="s">
        <v>709</v>
      </c>
      <c r="K152" s="299" t="s">
        <v>388</v>
      </c>
      <c r="L152" s="299" t="s">
        <v>389</v>
      </c>
      <c r="M152" s="299"/>
      <c r="N152" s="307"/>
      <c r="O152" s="307"/>
      <c r="P152" s="307" t="e">
        <f ca="1">_xll.BDP(J152&amp;" "&amp;K152&amp;" "&amp;L152,P$2)</f>
        <v>#NAME?</v>
      </c>
      <c r="Q152" s="307" t="e">
        <f ca="1">_xll.BDP(J152&amp;" "&amp;K152&amp;" "&amp;L152,Q$2)</f>
        <v>#NAME?</v>
      </c>
      <c r="R152" s="307" t="e">
        <f ca="1">_xll.BDP(J152&amp;" "&amp;K152&amp;" "&amp;L152,R$2)</f>
        <v>#NAME?</v>
      </c>
      <c r="S152" s="307" t="e">
        <f ca="1">_xll.BDP(J152&amp;" "&amp;K152&amp;" "&amp;L152,S$2)</f>
        <v>#NAME?</v>
      </c>
      <c r="U152" s="307" t="s">
        <v>241</v>
      </c>
      <c r="V152" s="307">
        <v>0.99</v>
      </c>
      <c r="W152" s="307" t="s">
        <v>390</v>
      </c>
      <c r="X152" s="307" t="s">
        <v>460</v>
      </c>
    </row>
    <row r="153" spans="2:24" outlineLevel="2">
      <c r="B153" s="299" t="s">
        <v>374</v>
      </c>
      <c r="C153" s="299" t="s">
        <v>375</v>
      </c>
      <c r="D153" s="307" t="s">
        <v>663</v>
      </c>
      <c r="E153" s="307" t="s">
        <v>664</v>
      </c>
      <c r="F153" s="307" t="s">
        <v>376</v>
      </c>
      <c r="G153" s="299" t="s">
        <v>543</v>
      </c>
      <c r="H153" s="307" t="s">
        <v>697</v>
      </c>
      <c r="I153" s="307" t="s">
        <v>382</v>
      </c>
      <c r="J153" s="307" t="s">
        <v>710</v>
      </c>
      <c r="K153" s="299" t="s">
        <v>388</v>
      </c>
      <c r="L153" s="299" t="s">
        <v>389</v>
      </c>
      <c r="M153" s="299"/>
      <c r="N153" s="307"/>
      <c r="O153" s="307"/>
      <c r="P153" s="307" t="e">
        <f ca="1">_xll.BDP(J153&amp;" "&amp;K153&amp;" "&amp;L153,P$2)</f>
        <v>#NAME?</v>
      </c>
      <c r="Q153" s="307" t="e">
        <f ca="1">_xll.BDP(J153&amp;" "&amp;K153&amp;" "&amp;L153,Q$2)</f>
        <v>#NAME?</v>
      </c>
      <c r="R153" s="307" t="e">
        <f ca="1">_xll.BDP(J153&amp;" "&amp;K153&amp;" "&amp;L153,R$2)</f>
        <v>#NAME?</v>
      </c>
      <c r="S153" s="307" t="e">
        <f ca="1">_xll.BDP(J153&amp;" "&amp;K153&amp;" "&amp;L153,S$2)</f>
        <v>#NAME?</v>
      </c>
      <c r="U153" s="307" t="s">
        <v>242</v>
      </c>
      <c r="V153" s="307">
        <v>1.085</v>
      </c>
      <c r="W153" s="307" t="s">
        <v>390</v>
      </c>
      <c r="X153" s="307" t="s">
        <v>460</v>
      </c>
    </row>
    <row r="154" spans="2:24" outlineLevel="2">
      <c r="B154" s="299" t="s">
        <v>374</v>
      </c>
      <c r="C154" s="299" t="s">
        <v>375</v>
      </c>
      <c r="D154" s="307" t="s">
        <v>663</v>
      </c>
      <c r="E154" s="307" t="s">
        <v>664</v>
      </c>
      <c r="F154" s="307" t="s">
        <v>376</v>
      </c>
      <c r="G154" s="299" t="s">
        <v>27</v>
      </c>
      <c r="H154" s="307" t="s">
        <v>697</v>
      </c>
      <c r="I154" s="307" t="s">
        <v>382</v>
      </c>
      <c r="J154" s="307" t="s">
        <v>711</v>
      </c>
      <c r="K154" s="299" t="s">
        <v>388</v>
      </c>
      <c r="L154" s="299" t="s">
        <v>389</v>
      </c>
      <c r="M154" s="299"/>
      <c r="N154" s="307"/>
      <c r="O154" s="307"/>
      <c r="P154" s="307" t="e">
        <f ca="1">_xll.BDP(J154&amp;" "&amp;K154&amp;" "&amp;L154,P$2)</f>
        <v>#NAME?</v>
      </c>
      <c r="Q154" s="307" t="e">
        <f ca="1">_xll.BDP(J154&amp;" "&amp;K154&amp;" "&amp;L154,Q$2)</f>
        <v>#NAME?</v>
      </c>
      <c r="R154" s="307" t="e">
        <f ca="1">_xll.BDP(J154&amp;" "&amp;K154&amp;" "&amp;L154,R$2)</f>
        <v>#NAME?</v>
      </c>
      <c r="S154" s="307" t="e">
        <f ca="1">_xll.BDP(J154&amp;" "&amp;K154&amp;" "&amp;L154,S$2)</f>
        <v>#NAME?</v>
      </c>
      <c r="U154" s="307" t="s">
        <v>243</v>
      </c>
      <c r="V154" s="307">
        <v>1.1679999999999999</v>
      </c>
      <c r="W154" s="307" t="s">
        <v>390</v>
      </c>
      <c r="X154" s="307" t="s">
        <v>460</v>
      </c>
    </row>
    <row r="155" spans="2:24" outlineLevel="2">
      <c r="B155" s="299" t="s">
        <v>374</v>
      </c>
      <c r="C155" s="299" t="s">
        <v>375</v>
      </c>
      <c r="D155" s="307" t="s">
        <v>663</v>
      </c>
      <c r="E155" s="307" t="s">
        <v>664</v>
      </c>
      <c r="F155" s="307" t="s">
        <v>376</v>
      </c>
      <c r="G155" s="299" t="s">
        <v>548</v>
      </c>
      <c r="H155" s="307" t="s">
        <v>697</v>
      </c>
      <c r="I155" s="307" t="s">
        <v>382</v>
      </c>
      <c r="J155" s="307" t="s">
        <v>712</v>
      </c>
      <c r="K155" s="299" t="s">
        <v>388</v>
      </c>
      <c r="L155" s="299" t="s">
        <v>389</v>
      </c>
      <c r="M155" s="299"/>
      <c r="N155" s="307"/>
      <c r="O155" s="307"/>
      <c r="P155" s="307" t="e">
        <f ca="1">_xll.BDP(J155&amp;" "&amp;K155&amp;" "&amp;L155,P$2)</f>
        <v>#NAME?</v>
      </c>
      <c r="Q155" s="307" t="e">
        <f ca="1">_xll.BDP(J155&amp;" "&amp;K155&amp;" "&amp;L155,Q$2)</f>
        <v>#NAME?</v>
      </c>
      <c r="R155" s="307" t="e">
        <f ca="1">_xll.BDP(J155&amp;" "&amp;K155&amp;" "&amp;L155,R$2)</f>
        <v>#NAME?</v>
      </c>
      <c r="S155" s="307" t="e">
        <f ca="1">_xll.BDP(J155&amp;" "&amp;K155&amp;" "&amp;L155,S$2)</f>
        <v>#NAME?</v>
      </c>
      <c r="U155" s="307" t="s">
        <v>244</v>
      </c>
      <c r="V155" s="307">
        <v>1.2390000000000001</v>
      </c>
      <c r="W155" s="307" t="s">
        <v>390</v>
      </c>
      <c r="X155" s="307" t="s">
        <v>460</v>
      </c>
    </row>
    <row r="156" spans="2:24" outlineLevel="2">
      <c r="B156" s="299" t="s">
        <v>374</v>
      </c>
      <c r="C156" s="299" t="s">
        <v>375</v>
      </c>
      <c r="D156" s="307" t="s">
        <v>663</v>
      </c>
      <c r="E156" s="307" t="s">
        <v>664</v>
      </c>
      <c r="F156" s="307" t="s">
        <v>376</v>
      </c>
      <c r="G156" s="299" t="s">
        <v>551</v>
      </c>
      <c r="H156" s="307" t="s">
        <v>697</v>
      </c>
      <c r="I156" s="307" t="s">
        <v>382</v>
      </c>
      <c r="J156" s="307" t="s">
        <v>713</v>
      </c>
      <c r="K156" s="299" t="s">
        <v>388</v>
      </c>
      <c r="L156" s="299" t="s">
        <v>389</v>
      </c>
      <c r="M156" s="299"/>
      <c r="N156" s="307"/>
      <c r="O156" s="307"/>
      <c r="P156" s="307" t="e">
        <f ca="1">_xll.BDP(J156&amp;" "&amp;K156&amp;" "&amp;L156,P$2)</f>
        <v>#NAME?</v>
      </c>
      <c r="Q156" s="307" t="e">
        <f ca="1">_xll.BDP(J156&amp;" "&amp;K156&amp;" "&amp;L156,Q$2)</f>
        <v>#NAME?</v>
      </c>
      <c r="R156" s="307" t="e">
        <f ca="1">_xll.BDP(J156&amp;" "&amp;K156&amp;" "&amp;L156,R$2)</f>
        <v>#NAME?</v>
      </c>
      <c r="S156" s="307" t="e">
        <f ca="1">_xll.BDP(J156&amp;" "&amp;K156&amp;" "&amp;L156,S$2)</f>
        <v>#NAME?</v>
      </c>
      <c r="U156" s="307" t="s">
        <v>245</v>
      </c>
      <c r="V156" s="307">
        <v>1.2989999999999999</v>
      </c>
      <c r="W156" s="307" t="s">
        <v>390</v>
      </c>
      <c r="X156" s="307" t="s">
        <v>460</v>
      </c>
    </row>
    <row r="157" spans="2:24" outlineLevel="2">
      <c r="B157" s="299" t="s">
        <v>374</v>
      </c>
      <c r="C157" s="299" t="s">
        <v>375</v>
      </c>
      <c r="D157" s="307" t="s">
        <v>663</v>
      </c>
      <c r="E157" s="307" t="s">
        <v>664</v>
      </c>
      <c r="F157" s="307" t="s">
        <v>376</v>
      </c>
      <c r="G157" s="299" t="s">
        <v>17</v>
      </c>
      <c r="H157" s="307" t="s">
        <v>697</v>
      </c>
      <c r="I157" s="307" t="s">
        <v>382</v>
      </c>
      <c r="J157" s="307" t="s">
        <v>714</v>
      </c>
      <c r="K157" s="299" t="s">
        <v>388</v>
      </c>
      <c r="L157" s="299" t="s">
        <v>389</v>
      </c>
      <c r="M157" s="299"/>
      <c r="N157" s="307"/>
      <c r="O157" s="307"/>
      <c r="P157" s="307" t="e">
        <f ca="1">_xll.BDP(J157&amp;" "&amp;K157&amp;" "&amp;L157,P$2)</f>
        <v>#NAME?</v>
      </c>
      <c r="Q157" s="307" t="e">
        <f ca="1">_xll.BDP(J157&amp;" "&amp;K157&amp;" "&amp;L157,Q$2)</f>
        <v>#NAME?</v>
      </c>
      <c r="R157" s="307" t="e">
        <f ca="1">_xll.BDP(J157&amp;" "&amp;K157&amp;" "&amp;L157,R$2)</f>
        <v>#NAME?</v>
      </c>
      <c r="S157" s="307" t="e">
        <f ca="1">_xll.BDP(J157&amp;" "&amp;K157&amp;" "&amp;L157,S$2)</f>
        <v>#NAME?</v>
      </c>
      <c r="U157" s="307" t="s">
        <v>246</v>
      </c>
      <c r="V157" s="307">
        <v>1.349</v>
      </c>
      <c r="W157" s="307" t="s">
        <v>390</v>
      </c>
      <c r="X157" s="307" t="s">
        <v>460</v>
      </c>
    </row>
    <row r="158" spans="2:24" outlineLevel="2">
      <c r="B158" s="299" t="s">
        <v>374</v>
      </c>
      <c r="C158" s="299" t="s">
        <v>375</v>
      </c>
      <c r="D158" s="307" t="s">
        <v>663</v>
      </c>
      <c r="E158" s="307" t="s">
        <v>664</v>
      </c>
      <c r="F158" s="307" t="s">
        <v>376</v>
      </c>
      <c r="G158" s="299" t="s">
        <v>104</v>
      </c>
      <c r="H158" s="307" t="s">
        <v>697</v>
      </c>
      <c r="I158" s="307" t="s">
        <v>382</v>
      </c>
      <c r="J158" s="307" t="s">
        <v>715</v>
      </c>
      <c r="K158" s="299" t="s">
        <v>388</v>
      </c>
      <c r="L158" s="299" t="s">
        <v>389</v>
      </c>
      <c r="M158" s="299"/>
      <c r="N158" s="307"/>
      <c r="O158" s="307"/>
      <c r="P158" s="307" t="e">
        <f ca="1">_xll.BDP(J158&amp;" "&amp;K158&amp;" "&amp;L158,P$2)</f>
        <v>#NAME?</v>
      </c>
      <c r="Q158" s="307" t="e">
        <f ca="1">_xll.BDP(J158&amp;" "&amp;K158&amp;" "&amp;L158,Q$2)</f>
        <v>#NAME?</v>
      </c>
      <c r="R158" s="307" t="e">
        <f ca="1">_xll.BDP(J158&amp;" "&amp;K158&amp;" "&amp;L158,R$2)</f>
        <v>#NAME?</v>
      </c>
      <c r="S158" s="307" t="e">
        <f ca="1">_xll.BDP(J158&amp;" "&amp;K158&amp;" "&amp;L158,S$2)</f>
        <v>#NAME?</v>
      </c>
      <c r="U158" s="307" t="s">
        <v>247</v>
      </c>
      <c r="V158" s="307">
        <v>1.496</v>
      </c>
      <c r="W158" s="307" t="s">
        <v>390</v>
      </c>
      <c r="X158" s="307" t="s">
        <v>460</v>
      </c>
    </row>
    <row r="159" spans="2:24" outlineLevel="2">
      <c r="B159" s="299" t="s">
        <v>374</v>
      </c>
      <c r="C159" s="299" t="s">
        <v>375</v>
      </c>
      <c r="D159" s="307" t="s">
        <v>663</v>
      </c>
      <c r="E159" s="307" t="s">
        <v>664</v>
      </c>
      <c r="F159" s="307" t="s">
        <v>376</v>
      </c>
      <c r="G159" s="299" t="s">
        <v>105</v>
      </c>
      <c r="H159" s="307" t="s">
        <v>697</v>
      </c>
      <c r="I159" s="307" t="s">
        <v>382</v>
      </c>
      <c r="J159" s="307" t="s">
        <v>716</v>
      </c>
      <c r="K159" s="299" t="s">
        <v>388</v>
      </c>
      <c r="L159" s="299" t="s">
        <v>389</v>
      </c>
      <c r="M159" s="299"/>
      <c r="N159" s="307"/>
      <c r="O159" s="307"/>
      <c r="P159" s="307" t="e">
        <f ca="1">_xll.BDP(J159&amp;" "&amp;K159&amp;" "&amp;L159,P$2)</f>
        <v>#NAME?</v>
      </c>
      <c r="Q159" s="307" t="e">
        <f ca="1">_xll.BDP(J159&amp;" "&amp;K159&amp;" "&amp;L159,Q$2)</f>
        <v>#NAME?</v>
      </c>
      <c r="R159" s="307" t="e">
        <f ca="1">_xll.BDP(J159&amp;" "&amp;K159&amp;" "&amp;L159,R$2)</f>
        <v>#NAME?</v>
      </c>
      <c r="S159" s="307" t="e">
        <f ca="1">_xll.BDP(J159&amp;" "&amp;K159&amp;" "&amp;L159,S$2)</f>
        <v>#NAME?</v>
      </c>
      <c r="U159" s="307" t="s">
        <v>248</v>
      </c>
      <c r="V159" s="307">
        <v>1.528</v>
      </c>
      <c r="W159" s="307" t="s">
        <v>390</v>
      </c>
      <c r="X159" s="307" t="s">
        <v>460</v>
      </c>
    </row>
    <row r="160" spans="2:24" outlineLevel="2">
      <c r="B160" s="299" t="s">
        <v>374</v>
      </c>
      <c r="C160" s="299" t="s">
        <v>375</v>
      </c>
      <c r="D160" s="307" t="s">
        <v>663</v>
      </c>
      <c r="E160" s="307" t="s">
        <v>664</v>
      </c>
      <c r="F160" s="307" t="s">
        <v>376</v>
      </c>
      <c r="G160" s="299" t="s">
        <v>106</v>
      </c>
      <c r="H160" s="307" t="s">
        <v>697</v>
      </c>
      <c r="I160" s="307" t="s">
        <v>382</v>
      </c>
      <c r="J160" s="307" t="s">
        <v>717</v>
      </c>
      <c r="K160" s="299" t="s">
        <v>388</v>
      </c>
      <c r="L160" s="299" t="s">
        <v>389</v>
      </c>
      <c r="M160" s="299"/>
      <c r="N160" s="307"/>
      <c r="O160" s="307"/>
      <c r="P160" s="307" t="e">
        <f ca="1">_xll.BDP(J160&amp;" "&amp;K160&amp;" "&amp;L160,P$2)</f>
        <v>#NAME?</v>
      </c>
      <c r="Q160" s="307" t="e">
        <f ca="1">_xll.BDP(J160&amp;" "&amp;K160&amp;" "&amp;L160,Q$2)</f>
        <v>#NAME?</v>
      </c>
      <c r="R160" s="307" t="e">
        <f ca="1">_xll.BDP(J160&amp;" "&amp;K160&amp;" "&amp;L160,R$2)</f>
        <v>#NAME?</v>
      </c>
      <c r="S160" s="307" t="e">
        <f ca="1">_xll.BDP(J160&amp;" "&amp;K160&amp;" "&amp;L160,S$2)</f>
        <v>#NAME?</v>
      </c>
      <c r="U160" s="307" t="s">
        <v>249</v>
      </c>
      <c r="V160" s="307">
        <v>1.5369999999999999</v>
      </c>
      <c r="W160" s="307" t="s">
        <v>390</v>
      </c>
      <c r="X160" s="307" t="s">
        <v>460</v>
      </c>
    </row>
    <row r="161" spans="2:24" outlineLevel="2">
      <c r="B161" s="299" t="s">
        <v>374</v>
      </c>
      <c r="C161" s="299" t="s">
        <v>375</v>
      </c>
      <c r="D161" s="307" t="s">
        <v>663</v>
      </c>
      <c r="E161" s="307" t="s">
        <v>664</v>
      </c>
      <c r="F161" s="307" t="s">
        <v>376</v>
      </c>
      <c r="G161" s="299" t="s">
        <v>159</v>
      </c>
      <c r="H161" s="307" t="s">
        <v>697</v>
      </c>
      <c r="I161" s="307" t="s">
        <v>382</v>
      </c>
      <c r="J161" s="307" t="s">
        <v>718</v>
      </c>
      <c r="K161" s="299" t="s">
        <v>388</v>
      </c>
      <c r="L161" s="299" t="s">
        <v>389</v>
      </c>
      <c r="M161" s="299"/>
      <c r="N161" s="307"/>
      <c r="O161" s="307"/>
      <c r="P161" s="307" t="e">
        <f ca="1">_xll.BDP(J161&amp;" "&amp;K161&amp;" "&amp;L161,P$2)</f>
        <v>#NAME?</v>
      </c>
      <c r="Q161" s="307" t="e">
        <f ca="1">_xll.BDP(J161&amp;" "&amp;K161&amp;" "&amp;L161,Q$2)</f>
        <v>#NAME?</v>
      </c>
      <c r="R161" s="307" t="e">
        <f ca="1">_xll.BDP(J161&amp;" "&amp;K161&amp;" "&amp;L161,R$2)</f>
        <v>#NAME?</v>
      </c>
      <c r="S161" s="307" t="e">
        <f ca="1">_xll.BDP(J161&amp;" "&amp;K161&amp;" "&amp;L161,S$2)</f>
        <v>#NAME?</v>
      </c>
      <c r="U161" s="307" t="s">
        <v>250</v>
      </c>
      <c r="V161" s="307">
        <v>1.554</v>
      </c>
      <c r="W161" s="307" t="s">
        <v>390</v>
      </c>
      <c r="X161" s="307" t="s">
        <v>460</v>
      </c>
    </row>
    <row r="162" spans="2:24" outlineLevel="2">
      <c r="B162" s="299" t="s">
        <v>374</v>
      </c>
      <c r="C162" s="299" t="s">
        <v>375</v>
      </c>
      <c r="D162" s="307" t="s">
        <v>663</v>
      </c>
      <c r="E162" s="307" t="s">
        <v>664</v>
      </c>
      <c r="F162" s="307" t="s">
        <v>376</v>
      </c>
      <c r="G162" s="299" t="s">
        <v>160</v>
      </c>
      <c r="H162" s="307" t="s">
        <v>697</v>
      </c>
      <c r="I162" s="307" t="s">
        <v>382</v>
      </c>
      <c r="J162" s="307" t="s">
        <v>719</v>
      </c>
      <c r="K162" s="299" t="s">
        <v>388</v>
      </c>
      <c r="L162" s="299" t="s">
        <v>389</v>
      </c>
      <c r="M162" s="299"/>
      <c r="N162" s="307"/>
      <c r="O162" s="307"/>
      <c r="P162" s="307" t="e">
        <f ca="1">_xll.BDP(J162&amp;" "&amp;K162&amp;" "&amp;L162,P$2)</f>
        <v>#NAME?</v>
      </c>
      <c r="Q162" s="307" t="e">
        <f ca="1">_xll.BDP(J162&amp;" "&amp;K162&amp;" "&amp;L162,Q$2)</f>
        <v>#NAME?</v>
      </c>
      <c r="R162" s="307" t="e">
        <f ca="1">_xll.BDP(J162&amp;" "&amp;K162&amp;" "&amp;L162,R$2)</f>
        <v>#NAME?</v>
      </c>
      <c r="S162" s="307" t="e">
        <f ca="1">_xll.BDP(J162&amp;" "&amp;K162&amp;" "&amp;L162,S$2)</f>
        <v>#NAME?</v>
      </c>
      <c r="U162" s="307" t="s">
        <v>251</v>
      </c>
      <c r="V162" s="307">
        <v>1.518</v>
      </c>
      <c r="W162" s="307" t="s">
        <v>390</v>
      </c>
      <c r="X162" s="307" t="s">
        <v>460</v>
      </c>
    </row>
    <row r="163" spans="2:24" outlineLevel="2">
      <c r="B163" s="299" t="s">
        <v>374</v>
      </c>
      <c r="C163" s="299" t="s">
        <v>375</v>
      </c>
      <c r="D163" s="323" t="s">
        <v>663</v>
      </c>
      <c r="E163" s="323" t="s">
        <v>664</v>
      </c>
      <c r="F163" s="323" t="s">
        <v>376</v>
      </c>
      <c r="G163" s="324" t="s">
        <v>566</v>
      </c>
      <c r="H163" s="323" t="s">
        <v>697</v>
      </c>
      <c r="I163" s="323" t="s">
        <v>382</v>
      </c>
      <c r="J163" s="323" t="s">
        <v>720</v>
      </c>
      <c r="K163" s="324" t="s">
        <v>388</v>
      </c>
      <c r="L163" s="324" t="s">
        <v>389</v>
      </c>
      <c r="M163" s="324"/>
      <c r="N163" s="323"/>
      <c r="O163" s="323"/>
      <c r="P163" s="307" t="e">
        <f ca="1">_xll.BDP(J163&amp;" "&amp;K163&amp;" "&amp;L163,P$2)</f>
        <v>#NAME?</v>
      </c>
      <c r="Q163" s="307" t="e">
        <f ca="1">_xll.BDP(J163&amp;" "&amp;K163&amp;" "&amp;L163,Q$2)</f>
        <v>#NAME?</v>
      </c>
      <c r="R163" s="307" t="e">
        <f ca="1">_xll.BDP(J163&amp;" "&amp;K163&amp;" "&amp;L163,R$2)</f>
        <v>#NAME?</v>
      </c>
      <c r="S163" s="307" t="e">
        <f ca="1">_xll.BDP(J163&amp;" "&amp;K163&amp;" "&amp;L163,S$2)</f>
        <v>#NAME?</v>
      </c>
      <c r="U163" s="307" t="s">
        <v>721</v>
      </c>
      <c r="V163" s="307">
        <v>1.5029999999999999</v>
      </c>
      <c r="W163" s="307" t="s">
        <v>390</v>
      </c>
      <c r="X163" s="307" t="s">
        <v>460</v>
      </c>
    </row>
    <row r="164" spans="2:24" outlineLevel="1">
      <c r="B164" s="299" t="s">
        <v>374</v>
      </c>
      <c r="C164" s="299" t="s">
        <v>375</v>
      </c>
      <c r="D164" s="331" t="s">
        <v>722</v>
      </c>
      <c r="E164" s="332" t="s">
        <v>723</v>
      </c>
      <c r="F164" s="332" t="s">
        <v>376</v>
      </c>
      <c r="G164" s="308"/>
      <c r="H164" s="302"/>
      <c r="I164" s="302"/>
      <c r="J164" s="302"/>
      <c r="K164" s="303"/>
      <c r="L164" s="303"/>
      <c r="M164" s="319"/>
      <c r="N164" s="322" t="s">
        <v>724</v>
      </c>
      <c r="O164" s="321"/>
      <c r="P164" s="302"/>
      <c r="Q164" s="302"/>
      <c r="R164" s="302"/>
      <c r="S164" s="322"/>
      <c r="U164" s="302"/>
      <c r="V164" s="302"/>
      <c r="W164" s="302"/>
      <c r="X164" s="322"/>
    </row>
    <row r="165" spans="2:24" outlineLevel="2">
      <c r="B165" s="299" t="s">
        <v>374</v>
      </c>
      <c r="C165" s="299" t="s">
        <v>375</v>
      </c>
      <c r="D165" s="307" t="s">
        <v>722</v>
      </c>
      <c r="E165" s="307" t="s">
        <v>723</v>
      </c>
      <c r="F165" s="307" t="s">
        <v>376</v>
      </c>
      <c r="G165" s="299" t="s">
        <v>725</v>
      </c>
      <c r="H165" s="307" t="s">
        <v>475</v>
      </c>
      <c r="I165" s="307" t="s">
        <v>382</v>
      </c>
      <c r="J165" s="307" t="s">
        <v>726</v>
      </c>
      <c r="K165" s="299"/>
      <c r="L165" s="299" t="s">
        <v>383</v>
      </c>
      <c r="M165" s="299"/>
      <c r="N165" s="307"/>
      <c r="O165" s="307"/>
      <c r="P165" s="307" t="e">
        <f ca="1">_xll.BDP(J165&amp;" "&amp;K165&amp;" "&amp;L165,P$2)</f>
        <v>#NAME?</v>
      </c>
      <c r="Q165" s="307" t="e">
        <f ca="1">_xll.BDP(J165&amp;" "&amp;K165&amp;" "&amp;L165,Q$2)</f>
        <v>#NAME?</v>
      </c>
      <c r="R165" s="307" t="e">
        <f ca="1">_xll.BDP(J165&amp;" "&amp;K165&amp;" "&amp;L165,R$2)</f>
        <v>#NAME?</v>
      </c>
      <c r="S165" s="307" t="e">
        <f ca="1">_xll.BDP(J165&amp;" "&amp;K165&amp;" "&amp;L165,S$2)</f>
        <v>#NAME?</v>
      </c>
      <c r="U165" s="307" t="s">
        <v>727</v>
      </c>
      <c r="V165" s="307">
        <v>0.158</v>
      </c>
      <c r="W165" s="307" t="s">
        <v>384</v>
      </c>
      <c r="X165" s="307" t="s">
        <v>384</v>
      </c>
    </row>
    <row r="166" spans="2:24" outlineLevel="2">
      <c r="B166" s="299" t="s">
        <v>374</v>
      </c>
      <c r="C166" s="299" t="s">
        <v>375</v>
      </c>
      <c r="D166" s="307" t="s">
        <v>722</v>
      </c>
      <c r="E166" s="307" t="s">
        <v>723</v>
      </c>
      <c r="F166" s="307" t="s">
        <v>728</v>
      </c>
      <c r="G166" s="329" t="s">
        <v>725</v>
      </c>
      <c r="H166" s="330" t="s">
        <v>729</v>
      </c>
      <c r="I166" s="330" t="s">
        <v>382</v>
      </c>
      <c r="J166" s="330" t="s">
        <v>730</v>
      </c>
      <c r="K166" s="299" t="s">
        <v>388</v>
      </c>
      <c r="L166" s="299" t="s">
        <v>389</v>
      </c>
      <c r="M166" s="299"/>
      <c r="N166" s="307"/>
      <c r="O166" s="307"/>
      <c r="P166" s="307" t="e">
        <f ca="1">_xll.BDP(J166&amp;" "&amp;K166&amp;" "&amp;L166,P$2)</f>
        <v>#NAME?</v>
      </c>
      <c r="Q166" s="307" t="e">
        <f ca="1">_xll.BDP(J166&amp;" "&amp;K166&amp;" "&amp;L166,Q$2)</f>
        <v>#NAME?</v>
      </c>
      <c r="R166" s="307" t="e">
        <f ca="1">_xll.BDP(J166&amp;" "&amp;K166&amp;" "&amp;L166,R$2)</f>
        <v>#NAME?</v>
      </c>
      <c r="S166" s="307" t="e">
        <f ca="1">_xll.BDP(J166&amp;" "&amp;K166&amp;" "&amp;L166,S$2)</f>
        <v>#NAME?</v>
      </c>
      <c r="U166" s="307" t="s">
        <v>731</v>
      </c>
      <c r="V166" s="307" t="s">
        <v>423</v>
      </c>
      <c r="W166" s="307" t="s">
        <v>423</v>
      </c>
      <c r="X166" s="307" t="s">
        <v>423</v>
      </c>
    </row>
    <row r="167" spans="2:24" outlineLevel="2">
      <c r="B167" s="299" t="s">
        <v>374</v>
      </c>
      <c r="C167" s="299" t="s">
        <v>375</v>
      </c>
      <c r="D167" s="307" t="s">
        <v>722</v>
      </c>
      <c r="E167" s="307" t="s">
        <v>723</v>
      </c>
      <c r="F167" s="307" t="s">
        <v>728</v>
      </c>
      <c r="G167" s="312" t="s">
        <v>416</v>
      </c>
      <c r="H167" s="313" t="s">
        <v>732</v>
      </c>
      <c r="I167" s="313" t="s">
        <v>382</v>
      </c>
      <c r="J167" s="313" t="s">
        <v>733</v>
      </c>
      <c r="K167" s="299" t="s">
        <v>388</v>
      </c>
      <c r="L167" s="299" t="s">
        <v>389</v>
      </c>
      <c r="M167" s="299"/>
      <c r="N167" s="307"/>
      <c r="O167" s="307"/>
      <c r="P167" s="307" t="e">
        <f ca="1">_xll.BDP(J167&amp;" "&amp;K167&amp;" "&amp;L167,P$2)</f>
        <v>#NAME?</v>
      </c>
      <c r="Q167" s="307" t="e">
        <f ca="1">_xll.BDP(J167&amp;" "&amp;K167&amp;" "&amp;L167,Q$2)</f>
        <v>#NAME?</v>
      </c>
      <c r="R167" s="307" t="e">
        <f ca="1">_xll.BDP(J167&amp;" "&amp;K167&amp;" "&amp;L167,R$2)</f>
        <v>#NAME?</v>
      </c>
      <c r="S167" s="307" t="e">
        <f ca="1">_xll.BDP(J167&amp;" "&amp;K167&amp;" "&amp;L167,S$2)</f>
        <v>#NAME?</v>
      </c>
      <c r="U167" s="307" t="s">
        <v>734</v>
      </c>
      <c r="V167" s="307">
        <v>0.155</v>
      </c>
      <c r="W167" s="307" t="s">
        <v>390</v>
      </c>
      <c r="X167" s="307" t="s">
        <v>683</v>
      </c>
    </row>
    <row r="168" spans="2:24" outlineLevel="2">
      <c r="B168" s="299" t="s">
        <v>374</v>
      </c>
      <c r="C168" s="333" t="s">
        <v>375</v>
      </c>
      <c r="D168" s="307" t="s">
        <v>722</v>
      </c>
      <c r="E168" s="307" t="s">
        <v>723</v>
      </c>
      <c r="F168" s="307" t="s">
        <v>728</v>
      </c>
      <c r="G168" s="312" t="s">
        <v>424</v>
      </c>
      <c r="H168" s="313" t="s">
        <v>735</v>
      </c>
      <c r="I168" s="313" t="s">
        <v>382</v>
      </c>
      <c r="J168" s="313" t="s">
        <v>736</v>
      </c>
      <c r="K168" s="299" t="s">
        <v>388</v>
      </c>
      <c r="L168" s="299" t="s">
        <v>389</v>
      </c>
      <c r="M168" s="299"/>
      <c r="N168" s="307"/>
      <c r="O168" s="307"/>
      <c r="P168" s="307" t="e">
        <f ca="1">_xll.BDP(J168&amp;" "&amp;K168&amp;" "&amp;L168,P$2)</f>
        <v>#NAME?</v>
      </c>
      <c r="Q168" s="307" t="e">
        <f ca="1">_xll.BDP(J168&amp;" "&amp;K168&amp;" "&amp;L168,Q$2)</f>
        <v>#NAME?</v>
      </c>
      <c r="R168" s="307" t="e">
        <f ca="1">_xll.BDP(J168&amp;" "&amp;K168&amp;" "&amp;L168,R$2)</f>
        <v>#NAME?</v>
      </c>
      <c r="S168" s="307" t="e">
        <f ca="1">_xll.BDP(J168&amp;" "&amp;K168&amp;" "&amp;L168,S$2)</f>
        <v>#NAME?</v>
      </c>
      <c r="U168" s="307" t="s">
        <v>737</v>
      </c>
      <c r="V168" s="307">
        <v>0.159</v>
      </c>
      <c r="W168" s="307" t="s">
        <v>390</v>
      </c>
      <c r="X168" s="307" t="s">
        <v>587</v>
      </c>
    </row>
    <row r="169" spans="2:24" outlineLevel="2">
      <c r="B169" s="299" t="s">
        <v>374</v>
      </c>
      <c r="C169" s="333" t="s">
        <v>375</v>
      </c>
      <c r="D169" s="307" t="s">
        <v>722</v>
      </c>
      <c r="E169" s="307" t="s">
        <v>723</v>
      </c>
      <c r="F169" s="307" t="s">
        <v>728</v>
      </c>
      <c r="G169" s="312" t="s">
        <v>153</v>
      </c>
      <c r="H169" s="313" t="s">
        <v>738</v>
      </c>
      <c r="I169" s="313" t="s">
        <v>382</v>
      </c>
      <c r="J169" s="313" t="s">
        <v>739</v>
      </c>
      <c r="K169" s="299" t="s">
        <v>388</v>
      </c>
      <c r="L169" s="299" t="s">
        <v>389</v>
      </c>
      <c r="M169" s="299"/>
      <c r="N169" s="307"/>
      <c r="O169" s="307"/>
      <c r="P169" s="307" t="e">
        <f ca="1">_xll.BDP(J169&amp;" "&amp;K169&amp;" "&amp;L169,P$2)</f>
        <v>#NAME?</v>
      </c>
      <c r="Q169" s="307" t="e">
        <f ca="1">_xll.BDP(J169&amp;" "&amp;K169&amp;" "&amp;L169,Q$2)</f>
        <v>#NAME?</v>
      </c>
      <c r="R169" s="307" t="e">
        <f ca="1">_xll.BDP(J169&amp;" "&amp;K169&amp;" "&amp;L169,R$2)</f>
        <v>#NAME?</v>
      </c>
      <c r="S169" s="307" t="e">
        <f ca="1">_xll.BDP(J169&amp;" "&amp;K169&amp;" "&amp;L169,S$2)</f>
        <v>#NAME?</v>
      </c>
      <c r="U169" s="307" t="s">
        <v>740</v>
      </c>
      <c r="V169" s="307">
        <v>0.16400000000000001</v>
      </c>
      <c r="W169" s="307" t="s">
        <v>390</v>
      </c>
      <c r="X169" s="307" t="s">
        <v>683</v>
      </c>
    </row>
    <row r="170" spans="2:24" outlineLevel="2">
      <c r="B170" s="299" t="s">
        <v>374</v>
      </c>
      <c r="C170" s="333" t="s">
        <v>375</v>
      </c>
      <c r="D170" s="307" t="s">
        <v>722</v>
      </c>
      <c r="E170" s="307" t="s">
        <v>723</v>
      </c>
      <c r="F170" s="307" t="s">
        <v>728</v>
      </c>
      <c r="G170" s="312" t="s">
        <v>429</v>
      </c>
      <c r="H170" s="313" t="s">
        <v>741</v>
      </c>
      <c r="I170" s="313" t="s">
        <v>382</v>
      </c>
      <c r="J170" s="313" t="s">
        <v>742</v>
      </c>
      <c r="K170" s="299" t="s">
        <v>388</v>
      </c>
      <c r="L170" s="299" t="s">
        <v>389</v>
      </c>
      <c r="M170" s="299"/>
      <c r="N170" s="307"/>
      <c r="O170" s="307"/>
      <c r="P170" s="307" t="e">
        <f ca="1">_xll.BDP(J170&amp;" "&amp;K170&amp;" "&amp;L170,P$2)</f>
        <v>#NAME?</v>
      </c>
      <c r="Q170" s="307" t="e">
        <f ca="1">_xll.BDP(J170&amp;" "&amp;K170&amp;" "&amp;L170,Q$2)</f>
        <v>#NAME?</v>
      </c>
      <c r="R170" s="307" t="e">
        <f ca="1">_xll.BDP(J170&amp;" "&amp;K170&amp;" "&amp;L170,R$2)</f>
        <v>#NAME?</v>
      </c>
      <c r="S170" s="307" t="e">
        <f ca="1">_xll.BDP(J170&amp;" "&amp;K170&amp;" "&amp;L170,S$2)</f>
        <v>#NAME?</v>
      </c>
      <c r="U170" s="307" t="s">
        <v>743</v>
      </c>
      <c r="V170" s="307">
        <v>0.17</v>
      </c>
      <c r="W170" s="307" t="s">
        <v>390</v>
      </c>
      <c r="X170" s="307" t="s">
        <v>498</v>
      </c>
    </row>
    <row r="171" spans="2:24" outlineLevel="2">
      <c r="B171" s="299" t="s">
        <v>374</v>
      </c>
      <c r="C171" s="333" t="s">
        <v>375</v>
      </c>
      <c r="D171" s="307" t="s">
        <v>722</v>
      </c>
      <c r="E171" s="307" t="s">
        <v>723</v>
      </c>
      <c r="F171" s="307" t="s">
        <v>728</v>
      </c>
      <c r="G171" s="312" t="s">
        <v>432</v>
      </c>
      <c r="H171" s="313" t="s">
        <v>744</v>
      </c>
      <c r="I171" s="313" t="s">
        <v>382</v>
      </c>
      <c r="J171" s="313" t="s">
        <v>745</v>
      </c>
      <c r="K171" s="299" t="s">
        <v>388</v>
      </c>
      <c r="L171" s="299" t="s">
        <v>389</v>
      </c>
      <c r="M171" s="299"/>
      <c r="N171" s="307"/>
      <c r="O171" s="307"/>
      <c r="P171" s="307" t="e">
        <f ca="1">_xll.BDP(J171&amp;" "&amp;K171&amp;" "&amp;L171,P$2)</f>
        <v>#NAME?</v>
      </c>
      <c r="Q171" s="307" t="e">
        <f ca="1">_xll.BDP(J171&amp;" "&amp;K171&amp;" "&amp;L171,Q$2)</f>
        <v>#NAME?</v>
      </c>
      <c r="R171" s="307" t="e">
        <f ca="1">_xll.BDP(J171&amp;" "&amp;K171&amp;" "&amp;L171,R$2)</f>
        <v>#NAME?</v>
      </c>
      <c r="S171" s="307" t="e">
        <f ca="1">_xll.BDP(J171&amp;" "&amp;K171&amp;" "&amp;L171,S$2)</f>
        <v>#NAME?</v>
      </c>
      <c r="U171" s="307" t="s">
        <v>746</v>
      </c>
      <c r="V171" s="307">
        <v>0.17599999999999999</v>
      </c>
      <c r="W171" s="307" t="s">
        <v>390</v>
      </c>
      <c r="X171" s="307" t="s">
        <v>696</v>
      </c>
    </row>
    <row r="172" spans="2:24" outlineLevel="2">
      <c r="B172" s="299" t="s">
        <v>374</v>
      </c>
      <c r="C172" s="333" t="s">
        <v>375</v>
      </c>
      <c r="D172" s="307" t="s">
        <v>722</v>
      </c>
      <c r="E172" s="307" t="s">
        <v>723</v>
      </c>
      <c r="F172" s="307" t="s">
        <v>728</v>
      </c>
      <c r="G172" s="312" t="s">
        <v>154</v>
      </c>
      <c r="H172" s="313" t="s">
        <v>747</v>
      </c>
      <c r="I172" s="313" t="s">
        <v>382</v>
      </c>
      <c r="J172" s="313" t="s">
        <v>748</v>
      </c>
      <c r="K172" s="299" t="s">
        <v>388</v>
      </c>
      <c r="L172" s="299" t="s">
        <v>389</v>
      </c>
      <c r="M172" s="299"/>
      <c r="N172" s="307"/>
      <c r="O172" s="307"/>
      <c r="P172" s="307" t="e">
        <f ca="1">_xll.BDP(J172&amp;" "&amp;K172&amp;" "&amp;L172,P$2)</f>
        <v>#NAME?</v>
      </c>
      <c r="Q172" s="307" t="e">
        <f ca="1">_xll.BDP(J172&amp;" "&amp;K172&amp;" "&amp;L172,Q$2)</f>
        <v>#NAME?</v>
      </c>
      <c r="R172" s="307" t="e">
        <f ca="1">_xll.BDP(J172&amp;" "&amp;K172&amp;" "&amp;L172,R$2)</f>
        <v>#NAME?</v>
      </c>
      <c r="S172" s="307" t="e">
        <f ca="1">_xll.BDP(J172&amp;" "&amp;K172&amp;" "&amp;L172,S$2)</f>
        <v>#NAME?</v>
      </c>
      <c r="U172" s="307" t="s">
        <v>749</v>
      </c>
      <c r="V172" s="307">
        <v>0.182</v>
      </c>
      <c r="W172" s="307" t="s">
        <v>390</v>
      </c>
      <c r="X172" s="307" t="s">
        <v>498</v>
      </c>
    </row>
    <row r="173" spans="2:24" outlineLevel="2">
      <c r="B173" s="299" t="s">
        <v>374</v>
      </c>
      <c r="C173" s="333" t="s">
        <v>375</v>
      </c>
      <c r="D173" s="307" t="s">
        <v>722</v>
      </c>
      <c r="E173" s="307" t="s">
        <v>723</v>
      </c>
      <c r="F173" s="307" t="s">
        <v>728</v>
      </c>
      <c r="G173" s="312" t="s">
        <v>437</v>
      </c>
      <c r="H173" s="313" t="s">
        <v>750</v>
      </c>
      <c r="I173" s="313" t="s">
        <v>382</v>
      </c>
      <c r="J173" s="313" t="s">
        <v>751</v>
      </c>
      <c r="K173" s="299" t="s">
        <v>388</v>
      </c>
      <c r="L173" s="299" t="s">
        <v>389</v>
      </c>
      <c r="M173" s="299"/>
      <c r="N173" s="307"/>
      <c r="O173" s="307"/>
      <c r="P173" s="307" t="e">
        <f ca="1">_xll.BDP(J173&amp;" "&amp;K173&amp;" "&amp;L173,P$2)</f>
        <v>#NAME?</v>
      </c>
      <c r="Q173" s="307" t="e">
        <f ca="1">_xll.BDP(J173&amp;" "&amp;K173&amp;" "&amp;L173,Q$2)</f>
        <v>#NAME?</v>
      </c>
      <c r="R173" s="307" t="e">
        <f ca="1">_xll.BDP(J173&amp;" "&amp;K173&amp;" "&amp;L173,R$2)</f>
        <v>#NAME?</v>
      </c>
      <c r="S173" s="307" t="e">
        <f ca="1">_xll.BDP(J173&amp;" "&amp;K173&amp;" "&amp;L173,S$2)</f>
        <v>#NAME?</v>
      </c>
      <c r="U173" s="307" t="s">
        <v>752</v>
      </c>
      <c r="V173" s="307">
        <v>0.192</v>
      </c>
      <c r="W173" s="307" t="s">
        <v>390</v>
      </c>
      <c r="X173" s="307" t="s">
        <v>683</v>
      </c>
    </row>
    <row r="174" spans="2:24" outlineLevel="2">
      <c r="B174" s="299" t="s">
        <v>374</v>
      </c>
      <c r="C174" s="333" t="s">
        <v>375</v>
      </c>
      <c r="D174" s="307" t="s">
        <v>722</v>
      </c>
      <c r="E174" s="307" t="s">
        <v>723</v>
      </c>
      <c r="F174" s="307" t="s">
        <v>728</v>
      </c>
      <c r="G174" s="312" t="s">
        <v>440</v>
      </c>
      <c r="H174" s="313" t="s">
        <v>753</v>
      </c>
      <c r="I174" s="313" t="s">
        <v>382</v>
      </c>
      <c r="J174" s="313" t="s">
        <v>754</v>
      </c>
      <c r="K174" s="299" t="s">
        <v>388</v>
      </c>
      <c r="L174" s="299" t="s">
        <v>389</v>
      </c>
      <c r="M174" s="299"/>
      <c r="N174" s="307"/>
      <c r="O174" s="307"/>
      <c r="P174" s="307" t="e">
        <f ca="1">_xll.BDP(J174&amp;" "&amp;K174&amp;" "&amp;L174,P$2)</f>
        <v>#NAME?</v>
      </c>
      <c r="Q174" s="307" t="e">
        <f ca="1">_xll.BDP(J174&amp;" "&amp;K174&amp;" "&amp;L174,Q$2)</f>
        <v>#NAME?</v>
      </c>
      <c r="R174" s="307" t="e">
        <f ca="1">_xll.BDP(J174&amp;" "&amp;K174&amp;" "&amp;L174,R$2)</f>
        <v>#NAME?</v>
      </c>
      <c r="S174" s="307" t="e">
        <f ca="1">_xll.BDP(J174&amp;" "&amp;K174&amp;" "&amp;L174,S$2)</f>
        <v>#NAME?</v>
      </c>
      <c r="U174" s="307" t="s">
        <v>755</v>
      </c>
      <c r="V174" s="307">
        <v>0.2</v>
      </c>
      <c r="W174" s="307" t="s">
        <v>390</v>
      </c>
      <c r="X174" s="307" t="s">
        <v>756</v>
      </c>
    </row>
    <row r="175" spans="2:24" outlineLevel="2">
      <c r="B175" s="299" t="s">
        <v>374</v>
      </c>
      <c r="C175" s="333" t="s">
        <v>375</v>
      </c>
      <c r="D175" s="307" t="s">
        <v>722</v>
      </c>
      <c r="E175" s="307" t="s">
        <v>723</v>
      </c>
      <c r="F175" s="307" t="s">
        <v>728</v>
      </c>
      <c r="G175" s="312" t="s">
        <v>156</v>
      </c>
      <c r="H175" s="313" t="s">
        <v>757</v>
      </c>
      <c r="I175" s="313" t="s">
        <v>382</v>
      </c>
      <c r="J175" s="313" t="s">
        <v>758</v>
      </c>
      <c r="K175" s="299" t="s">
        <v>388</v>
      </c>
      <c r="L175" s="299" t="s">
        <v>389</v>
      </c>
      <c r="M175" s="299"/>
      <c r="N175" s="307"/>
      <c r="O175" s="307"/>
      <c r="P175" s="307" t="e">
        <f ca="1">_xll.BDP(J175&amp;" "&amp;K175&amp;" "&amp;L175,P$2)</f>
        <v>#NAME?</v>
      </c>
      <c r="Q175" s="307" t="e">
        <f ca="1">_xll.BDP(J175&amp;" "&amp;K175&amp;" "&amp;L175,Q$2)</f>
        <v>#NAME?</v>
      </c>
      <c r="R175" s="307" t="e">
        <f ca="1">_xll.BDP(J175&amp;" "&amp;K175&amp;" "&amp;L175,R$2)</f>
        <v>#NAME?</v>
      </c>
      <c r="S175" s="307" t="e">
        <f ca="1">_xll.BDP(J175&amp;" "&amp;K175&amp;" "&amp;L175,S$2)</f>
        <v>#NAME?</v>
      </c>
      <c r="U175" s="307" t="s">
        <v>759</v>
      </c>
      <c r="V175" s="307">
        <v>0.21</v>
      </c>
      <c r="W175" s="307" t="s">
        <v>390</v>
      </c>
      <c r="X175" s="307" t="s">
        <v>696</v>
      </c>
    </row>
    <row r="176" spans="2:24" outlineLevel="2">
      <c r="B176" s="299" t="s">
        <v>374</v>
      </c>
      <c r="C176" s="333" t="s">
        <v>375</v>
      </c>
      <c r="D176" s="307" t="s">
        <v>722</v>
      </c>
      <c r="E176" s="307" t="s">
        <v>723</v>
      </c>
      <c r="F176" s="307" t="s">
        <v>728</v>
      </c>
      <c r="G176" s="312" t="s">
        <v>445</v>
      </c>
      <c r="H176" s="313" t="s">
        <v>760</v>
      </c>
      <c r="I176" s="313" t="s">
        <v>382</v>
      </c>
      <c r="J176" s="313" t="s">
        <v>761</v>
      </c>
      <c r="K176" s="299" t="s">
        <v>388</v>
      </c>
      <c r="L176" s="299" t="s">
        <v>389</v>
      </c>
      <c r="M176" s="299"/>
      <c r="N176" s="307"/>
      <c r="O176" s="307"/>
      <c r="P176" s="307" t="e">
        <f ca="1">_xll.BDP(J176&amp;" "&amp;K176&amp;" "&amp;L176,P$2)</f>
        <v>#NAME?</v>
      </c>
      <c r="Q176" s="307" t="e">
        <f ca="1">_xll.BDP(J176&amp;" "&amp;K176&amp;" "&amp;L176,Q$2)</f>
        <v>#NAME?</v>
      </c>
      <c r="R176" s="307" t="e">
        <f ca="1">_xll.BDP(J176&amp;" "&amp;K176&amp;" "&amp;L176,R$2)</f>
        <v>#NAME?</v>
      </c>
      <c r="S176" s="307" t="e">
        <f ca="1">_xll.BDP(J176&amp;" "&amp;K176&amp;" "&amp;L176,S$2)</f>
        <v>#NAME?</v>
      </c>
      <c r="U176" s="307" t="s">
        <v>762</v>
      </c>
      <c r="V176" s="307">
        <v>0.222</v>
      </c>
      <c r="W176" s="307" t="s">
        <v>390</v>
      </c>
      <c r="X176" s="307" t="s">
        <v>498</v>
      </c>
    </row>
    <row r="177" spans="2:24" outlineLevel="2">
      <c r="B177" s="299" t="s">
        <v>374</v>
      </c>
      <c r="C177" s="333" t="s">
        <v>375</v>
      </c>
      <c r="D177" s="307" t="s">
        <v>722</v>
      </c>
      <c r="E177" s="307" t="s">
        <v>723</v>
      </c>
      <c r="F177" s="307" t="s">
        <v>728</v>
      </c>
      <c r="G177" s="312" t="s">
        <v>443</v>
      </c>
      <c r="H177" s="313" t="s">
        <v>763</v>
      </c>
      <c r="I177" s="313" t="s">
        <v>382</v>
      </c>
      <c r="J177" s="313" t="s">
        <v>764</v>
      </c>
      <c r="K177" s="299" t="s">
        <v>388</v>
      </c>
      <c r="L177" s="299" t="s">
        <v>389</v>
      </c>
      <c r="M177" s="299"/>
      <c r="N177" s="307"/>
      <c r="O177" s="307"/>
      <c r="P177" s="307" t="e">
        <f ca="1">_xll.BDP(J177&amp;" "&amp;K177&amp;" "&amp;L177,P$2)</f>
        <v>#NAME?</v>
      </c>
      <c r="Q177" s="307" t="e">
        <f ca="1">_xll.BDP(J177&amp;" "&amp;K177&amp;" "&amp;L177,Q$2)</f>
        <v>#NAME?</v>
      </c>
      <c r="R177" s="307" t="e">
        <f ca="1">_xll.BDP(J177&amp;" "&amp;K177&amp;" "&amp;L177,R$2)</f>
        <v>#NAME?</v>
      </c>
      <c r="S177" s="307" t="e">
        <f ca="1">_xll.BDP(J177&amp;" "&amp;K177&amp;" "&amp;L177,S$2)</f>
        <v>#NAME?</v>
      </c>
      <c r="U177" s="307" t="s">
        <v>765</v>
      </c>
      <c r="V177" s="307">
        <v>0.23300000000000001</v>
      </c>
      <c r="W177" s="307" t="s">
        <v>390</v>
      </c>
      <c r="X177" s="307" t="s">
        <v>696</v>
      </c>
    </row>
    <row r="178" spans="2:24" outlineLevel="2">
      <c r="B178" s="299" t="s">
        <v>374</v>
      </c>
      <c r="C178" s="333" t="s">
        <v>375</v>
      </c>
      <c r="D178" s="307" t="s">
        <v>722</v>
      </c>
      <c r="E178" s="307" t="s">
        <v>723</v>
      </c>
      <c r="F178" s="307" t="s">
        <v>728</v>
      </c>
      <c r="G178" s="312" t="s">
        <v>766</v>
      </c>
      <c r="H178" s="313" t="s">
        <v>767</v>
      </c>
      <c r="I178" s="313" t="s">
        <v>382</v>
      </c>
      <c r="J178" s="313" t="s">
        <v>768</v>
      </c>
      <c r="K178" s="299" t="s">
        <v>388</v>
      </c>
      <c r="L178" s="299" t="s">
        <v>389</v>
      </c>
      <c r="M178" s="299"/>
      <c r="N178" s="307"/>
      <c r="O178" s="307"/>
      <c r="P178" s="307" t="e">
        <f ca="1">_xll.BDP(J178&amp;" "&amp;K178&amp;" "&amp;L178,P$2)</f>
        <v>#NAME?</v>
      </c>
      <c r="Q178" s="307" t="e">
        <f ca="1">_xll.BDP(J178&amp;" "&amp;K178&amp;" "&amp;L178,Q$2)</f>
        <v>#NAME?</v>
      </c>
      <c r="R178" s="307" t="e">
        <f ca="1">_xll.BDP(J178&amp;" "&amp;K178&amp;" "&amp;L178,R$2)</f>
        <v>#NAME?</v>
      </c>
      <c r="S178" s="307" t="e">
        <f ca="1">_xll.BDP(J178&amp;" "&amp;K178&amp;" "&amp;L178,S$2)</f>
        <v>#NAME?</v>
      </c>
      <c r="U178" s="307" t="s">
        <v>769</v>
      </c>
      <c r="V178" s="307">
        <v>0.245</v>
      </c>
      <c r="W178" s="307" t="s">
        <v>390</v>
      </c>
      <c r="X178" s="307" t="s">
        <v>756</v>
      </c>
    </row>
    <row r="179" spans="2:24" outlineLevel="2">
      <c r="B179" s="299" t="s">
        <v>374</v>
      </c>
      <c r="C179" s="333" t="s">
        <v>375</v>
      </c>
      <c r="D179" s="307" t="s">
        <v>722</v>
      </c>
      <c r="E179" s="307" t="s">
        <v>723</v>
      </c>
      <c r="F179" s="307" t="s">
        <v>376</v>
      </c>
      <c r="G179" s="299" t="s">
        <v>8</v>
      </c>
      <c r="H179" s="307" t="s">
        <v>770</v>
      </c>
      <c r="I179" s="307" t="s">
        <v>382</v>
      </c>
      <c r="J179" s="307" t="s">
        <v>771</v>
      </c>
      <c r="K179" s="299" t="s">
        <v>388</v>
      </c>
      <c r="L179" s="299" t="s">
        <v>389</v>
      </c>
      <c r="M179" s="299"/>
      <c r="N179" s="307"/>
      <c r="O179" s="307"/>
      <c r="P179" s="307" t="e">
        <f ca="1">_xll.BDP(J179&amp;" "&amp;K179&amp;" "&amp;L179,P$2)</f>
        <v>#NAME?</v>
      </c>
      <c r="Q179" s="307" t="e">
        <f ca="1">_xll.BDP(J179&amp;" "&amp;K179&amp;" "&amp;L179,Q$2)</f>
        <v>#NAME?</v>
      </c>
      <c r="R179" s="307" t="e">
        <f ca="1">_xll.BDP(J179&amp;" "&amp;K179&amp;" "&amp;L179,R$2)</f>
        <v>#NAME?</v>
      </c>
      <c r="S179" s="307" t="e">
        <f ca="1">_xll.BDP(J179&amp;" "&amp;K179&amp;" "&amp;L179,S$2)</f>
        <v>#NAME?</v>
      </c>
      <c r="U179" s="307" t="s">
        <v>772</v>
      </c>
      <c r="V179" s="307">
        <v>12.7</v>
      </c>
      <c r="W179" s="307" t="s">
        <v>390</v>
      </c>
      <c r="X179" s="307" t="s">
        <v>773</v>
      </c>
    </row>
    <row r="180" spans="2:24" outlineLevel="2">
      <c r="B180" s="299" t="s">
        <v>374</v>
      </c>
      <c r="C180" s="333" t="s">
        <v>375</v>
      </c>
      <c r="D180" s="307" t="s">
        <v>722</v>
      </c>
      <c r="E180" s="307" t="s">
        <v>723</v>
      </c>
      <c r="F180" s="307" t="s">
        <v>376</v>
      </c>
      <c r="G180" s="299" t="s">
        <v>9</v>
      </c>
      <c r="H180" s="307" t="s">
        <v>770</v>
      </c>
      <c r="I180" s="307" t="s">
        <v>382</v>
      </c>
      <c r="J180" s="307" t="s">
        <v>774</v>
      </c>
      <c r="K180" s="299" t="s">
        <v>388</v>
      </c>
      <c r="L180" s="299" t="s">
        <v>389</v>
      </c>
      <c r="M180" s="299"/>
      <c r="N180" s="307"/>
      <c r="O180" s="307"/>
      <c r="P180" s="307" t="e">
        <f ca="1">_xll.BDP(J180&amp;" "&amp;K180&amp;" "&amp;L180,P$2)</f>
        <v>#NAME?</v>
      </c>
      <c r="Q180" s="307" t="e">
        <f ca="1">_xll.BDP(J180&amp;" "&amp;K180&amp;" "&amp;L180,Q$2)</f>
        <v>#NAME?</v>
      </c>
      <c r="R180" s="307" t="e">
        <f ca="1">_xll.BDP(J180&amp;" "&amp;K180&amp;" "&amp;L180,R$2)</f>
        <v>#NAME?</v>
      </c>
      <c r="S180" s="307" t="e">
        <f ca="1">_xll.BDP(J180&amp;" "&amp;K180&amp;" "&amp;L180,S$2)</f>
        <v>#NAME?</v>
      </c>
      <c r="U180" s="307" t="s">
        <v>775</v>
      </c>
      <c r="V180" s="307">
        <v>13.5</v>
      </c>
      <c r="W180" s="307" t="s">
        <v>390</v>
      </c>
      <c r="X180" s="307" t="s">
        <v>776</v>
      </c>
    </row>
    <row r="181" spans="2:24" outlineLevel="2">
      <c r="B181" s="299" t="s">
        <v>374</v>
      </c>
      <c r="C181" s="333" t="s">
        <v>375</v>
      </c>
      <c r="D181" s="307" t="s">
        <v>722</v>
      </c>
      <c r="E181" s="307" t="s">
        <v>723</v>
      </c>
      <c r="F181" s="307" t="s">
        <v>376</v>
      </c>
      <c r="G181" s="299" t="s">
        <v>10</v>
      </c>
      <c r="H181" s="307" t="s">
        <v>770</v>
      </c>
      <c r="I181" s="307" t="s">
        <v>382</v>
      </c>
      <c r="J181" s="307" t="s">
        <v>777</v>
      </c>
      <c r="K181" s="299" t="s">
        <v>388</v>
      </c>
      <c r="L181" s="299" t="s">
        <v>389</v>
      </c>
      <c r="M181" s="299"/>
      <c r="N181" s="307"/>
      <c r="O181" s="307"/>
      <c r="P181" s="307" t="e">
        <f ca="1">_xll.BDP(J181&amp;" "&amp;K181&amp;" "&amp;L181,P$2)</f>
        <v>#NAME?</v>
      </c>
      <c r="Q181" s="307" t="e">
        <f ca="1">_xll.BDP(J181&amp;" "&amp;K181&amp;" "&amp;L181,Q$2)</f>
        <v>#NAME?</v>
      </c>
      <c r="R181" s="307" t="e">
        <f ca="1">_xll.BDP(J181&amp;" "&amp;K181&amp;" "&amp;L181,R$2)</f>
        <v>#NAME?</v>
      </c>
      <c r="S181" s="307" t="e">
        <f ca="1">_xll.BDP(J181&amp;" "&amp;K181&amp;" "&amp;L181,S$2)</f>
        <v>#NAME?</v>
      </c>
      <c r="U181" s="307" t="s">
        <v>778</v>
      </c>
      <c r="V181" s="307">
        <v>13.7</v>
      </c>
      <c r="W181" s="307" t="s">
        <v>390</v>
      </c>
      <c r="X181" s="307" t="s">
        <v>776</v>
      </c>
    </row>
    <row r="182" spans="2:24" outlineLevel="2">
      <c r="B182" s="299" t="s">
        <v>374</v>
      </c>
      <c r="C182" s="333" t="s">
        <v>375</v>
      </c>
      <c r="D182" s="307" t="s">
        <v>722</v>
      </c>
      <c r="E182" s="307" t="s">
        <v>723</v>
      </c>
      <c r="F182" s="307" t="s">
        <v>376</v>
      </c>
      <c r="G182" s="299" t="s">
        <v>11</v>
      </c>
      <c r="H182" s="307" t="s">
        <v>770</v>
      </c>
      <c r="I182" s="307" t="s">
        <v>382</v>
      </c>
      <c r="J182" s="307" t="s">
        <v>779</v>
      </c>
      <c r="K182" s="299" t="s">
        <v>388</v>
      </c>
      <c r="L182" s="299" t="s">
        <v>389</v>
      </c>
      <c r="M182" s="299"/>
      <c r="N182" s="307"/>
      <c r="O182" s="307"/>
      <c r="P182" s="307" t="e">
        <f ca="1">_xll.BDP(J182&amp;" "&amp;K182&amp;" "&amp;L182,P$2)</f>
        <v>#NAME?</v>
      </c>
      <c r="Q182" s="307" t="e">
        <f ca="1">_xll.BDP(J182&amp;" "&amp;K182&amp;" "&amp;L182,Q$2)</f>
        <v>#NAME?</v>
      </c>
      <c r="R182" s="307" t="e">
        <f ca="1">_xll.BDP(J182&amp;" "&amp;K182&amp;" "&amp;L182,R$2)</f>
        <v>#NAME?</v>
      </c>
      <c r="S182" s="307" t="e">
        <f ca="1">_xll.BDP(J182&amp;" "&amp;K182&amp;" "&amp;L182,S$2)</f>
        <v>#NAME?</v>
      </c>
      <c r="U182" s="307" t="s">
        <v>780</v>
      </c>
      <c r="V182" s="307">
        <v>13.8</v>
      </c>
      <c r="W182" s="307" t="s">
        <v>390</v>
      </c>
      <c r="X182" s="307" t="s">
        <v>781</v>
      </c>
    </row>
    <row r="183" spans="2:24" outlineLevel="2">
      <c r="B183" s="299" t="s">
        <v>374</v>
      </c>
      <c r="C183" s="333" t="s">
        <v>375</v>
      </c>
      <c r="D183" s="307" t="s">
        <v>722</v>
      </c>
      <c r="E183" s="307" t="s">
        <v>723</v>
      </c>
      <c r="F183" s="307" t="s">
        <v>376</v>
      </c>
      <c r="G183" s="299" t="s">
        <v>12</v>
      </c>
      <c r="H183" s="307" t="s">
        <v>770</v>
      </c>
      <c r="I183" s="307" t="s">
        <v>382</v>
      </c>
      <c r="J183" s="307" t="s">
        <v>782</v>
      </c>
      <c r="K183" s="299" t="s">
        <v>388</v>
      </c>
      <c r="L183" s="299" t="s">
        <v>389</v>
      </c>
      <c r="M183" s="299"/>
      <c r="N183" s="307"/>
      <c r="O183" s="307"/>
      <c r="P183" s="307" t="e">
        <f ca="1">_xll.BDP(J183&amp;" "&amp;K183&amp;" "&amp;L183,P$2)</f>
        <v>#NAME?</v>
      </c>
      <c r="Q183" s="307" t="e">
        <f ca="1">_xll.BDP(J183&amp;" "&amp;K183&amp;" "&amp;L183,Q$2)</f>
        <v>#NAME?</v>
      </c>
      <c r="R183" s="307" t="e">
        <f ca="1">_xll.BDP(J183&amp;" "&amp;K183&amp;" "&amp;L183,R$2)</f>
        <v>#NAME?</v>
      </c>
      <c r="S183" s="307" t="e">
        <f ca="1">_xll.BDP(J183&amp;" "&amp;K183&amp;" "&amp;L183,S$2)</f>
        <v>#NAME?</v>
      </c>
      <c r="U183" s="307" t="s">
        <v>783</v>
      </c>
      <c r="V183" s="307">
        <v>13.8</v>
      </c>
      <c r="W183" s="307" t="s">
        <v>390</v>
      </c>
      <c r="X183" s="307" t="s">
        <v>784</v>
      </c>
    </row>
    <row r="184" spans="2:24" outlineLevel="2">
      <c r="B184" s="299" t="s">
        <v>374</v>
      </c>
      <c r="C184" s="333" t="s">
        <v>375</v>
      </c>
      <c r="D184" s="307" t="s">
        <v>722</v>
      </c>
      <c r="E184" s="307" t="s">
        <v>723</v>
      </c>
      <c r="F184" s="307" t="s">
        <v>376</v>
      </c>
      <c r="G184" s="299" t="s">
        <v>13</v>
      </c>
      <c r="H184" s="307" t="s">
        <v>770</v>
      </c>
      <c r="I184" s="307" t="s">
        <v>382</v>
      </c>
      <c r="J184" s="307" t="s">
        <v>785</v>
      </c>
      <c r="K184" s="299" t="s">
        <v>388</v>
      </c>
      <c r="L184" s="299" t="s">
        <v>389</v>
      </c>
      <c r="M184" s="299"/>
      <c r="N184" s="307"/>
      <c r="O184" s="307"/>
      <c r="P184" s="307" t="e">
        <f ca="1">_xll.BDP(J184&amp;" "&amp;K184&amp;" "&amp;L184,P$2)</f>
        <v>#NAME?</v>
      </c>
      <c r="Q184" s="307" t="e">
        <f ca="1">_xll.BDP(J184&amp;" "&amp;K184&amp;" "&amp;L184,Q$2)</f>
        <v>#NAME?</v>
      </c>
      <c r="R184" s="307" t="e">
        <f ca="1">_xll.BDP(J184&amp;" "&amp;K184&amp;" "&amp;L184,R$2)</f>
        <v>#NAME?</v>
      </c>
      <c r="S184" s="307" t="e">
        <f ca="1">_xll.BDP(J184&amp;" "&amp;K184&amp;" "&amp;L184,S$2)</f>
        <v>#NAME?</v>
      </c>
      <c r="U184" s="307" t="s">
        <v>786</v>
      </c>
      <c r="V184" s="307">
        <v>13.7</v>
      </c>
      <c r="W184" s="307" t="s">
        <v>390</v>
      </c>
      <c r="X184" s="307" t="s">
        <v>391</v>
      </c>
    </row>
    <row r="185" spans="2:24" outlineLevel="2">
      <c r="B185" s="299" t="s">
        <v>374</v>
      </c>
      <c r="C185" s="333" t="s">
        <v>375</v>
      </c>
      <c r="D185" s="307" t="s">
        <v>722</v>
      </c>
      <c r="E185" s="307" t="s">
        <v>723</v>
      </c>
      <c r="F185" s="307" t="s">
        <v>376</v>
      </c>
      <c r="G185" s="299" t="s">
        <v>14</v>
      </c>
      <c r="H185" s="307" t="s">
        <v>770</v>
      </c>
      <c r="I185" s="307" t="s">
        <v>382</v>
      </c>
      <c r="J185" s="307" t="s">
        <v>787</v>
      </c>
      <c r="K185" s="299" t="s">
        <v>388</v>
      </c>
      <c r="L185" s="299" t="s">
        <v>389</v>
      </c>
      <c r="M185" s="299"/>
      <c r="N185" s="307"/>
      <c r="O185" s="307"/>
      <c r="P185" s="307" t="e">
        <f ca="1">_xll.BDP(J185&amp;" "&amp;K185&amp;" "&amp;L185,P$2)</f>
        <v>#NAME?</v>
      </c>
      <c r="Q185" s="307" t="e">
        <f ca="1">_xll.BDP(J185&amp;" "&amp;K185&amp;" "&amp;L185,Q$2)</f>
        <v>#NAME?</v>
      </c>
      <c r="R185" s="307" t="e">
        <f ca="1">_xll.BDP(J185&amp;" "&amp;K185&amp;" "&amp;L185,R$2)</f>
        <v>#NAME?</v>
      </c>
      <c r="S185" s="307" t="e">
        <f ca="1">_xll.BDP(J185&amp;" "&amp;K185&amp;" "&amp;L185,S$2)</f>
        <v>#NAME?</v>
      </c>
      <c r="U185" s="307" t="s">
        <v>788</v>
      </c>
      <c r="V185" s="307">
        <v>13.6</v>
      </c>
      <c r="W185" s="307" t="s">
        <v>390</v>
      </c>
      <c r="X185" s="307" t="s">
        <v>391</v>
      </c>
    </row>
    <row r="186" spans="2:24" outlineLevel="2">
      <c r="B186" s="299" t="s">
        <v>374</v>
      </c>
      <c r="C186" s="333" t="s">
        <v>375</v>
      </c>
      <c r="D186" s="307" t="s">
        <v>722</v>
      </c>
      <c r="E186" s="307" t="s">
        <v>723</v>
      </c>
      <c r="F186" s="307" t="s">
        <v>376</v>
      </c>
      <c r="G186" s="299" t="s">
        <v>15</v>
      </c>
      <c r="H186" s="307" t="s">
        <v>770</v>
      </c>
      <c r="I186" s="307" t="s">
        <v>382</v>
      </c>
      <c r="J186" s="307" t="s">
        <v>789</v>
      </c>
      <c r="K186" s="299" t="s">
        <v>388</v>
      </c>
      <c r="L186" s="299" t="s">
        <v>389</v>
      </c>
      <c r="M186" s="299"/>
      <c r="N186" s="307"/>
      <c r="O186" s="307"/>
      <c r="P186" s="307" t="e">
        <f ca="1">_xll.BDP(J186&amp;" "&amp;K186&amp;" "&amp;L186,P$2)</f>
        <v>#NAME?</v>
      </c>
      <c r="Q186" s="307" t="e">
        <f ca="1">_xll.BDP(J186&amp;" "&amp;K186&amp;" "&amp;L186,Q$2)</f>
        <v>#NAME?</v>
      </c>
      <c r="R186" s="307" t="e">
        <f ca="1">_xll.BDP(J186&amp;" "&amp;K186&amp;" "&amp;L186,R$2)</f>
        <v>#NAME?</v>
      </c>
      <c r="S186" s="307" t="e">
        <f ca="1">_xll.BDP(J186&amp;" "&amp;K186&amp;" "&amp;L186,S$2)</f>
        <v>#NAME?</v>
      </c>
      <c r="U186" s="307" t="s">
        <v>790</v>
      </c>
      <c r="V186" s="307">
        <v>13.3</v>
      </c>
      <c r="W186" s="307" t="s">
        <v>390</v>
      </c>
      <c r="X186" s="307" t="s">
        <v>391</v>
      </c>
    </row>
    <row r="187" spans="2:24" outlineLevel="2">
      <c r="B187" s="299" t="s">
        <v>374</v>
      </c>
      <c r="C187" s="333" t="s">
        <v>375</v>
      </c>
      <c r="D187" s="307" t="s">
        <v>722</v>
      </c>
      <c r="E187" s="307" t="s">
        <v>723</v>
      </c>
      <c r="F187" s="307" t="s">
        <v>376</v>
      </c>
      <c r="G187" s="299" t="s">
        <v>16</v>
      </c>
      <c r="H187" s="307" t="s">
        <v>770</v>
      </c>
      <c r="I187" s="307" t="s">
        <v>382</v>
      </c>
      <c r="J187" s="307" t="s">
        <v>791</v>
      </c>
      <c r="K187" s="299" t="s">
        <v>388</v>
      </c>
      <c r="L187" s="299" t="s">
        <v>389</v>
      </c>
      <c r="M187" s="299"/>
      <c r="N187" s="307"/>
      <c r="O187" s="307"/>
      <c r="P187" s="307" t="e">
        <f ca="1">_xll.BDP(J187&amp;" "&amp;K187&amp;" "&amp;L187,P$2)</f>
        <v>#NAME?</v>
      </c>
      <c r="Q187" s="307" t="e">
        <f ca="1">_xll.BDP(J187&amp;" "&amp;K187&amp;" "&amp;L187,Q$2)</f>
        <v>#NAME?</v>
      </c>
      <c r="R187" s="307" t="e">
        <f ca="1">_xll.BDP(J187&amp;" "&amp;K187&amp;" "&amp;L187,R$2)</f>
        <v>#NAME?</v>
      </c>
      <c r="S187" s="307" t="e">
        <f ca="1">_xll.BDP(J187&amp;" "&amp;K187&amp;" "&amp;L187,S$2)</f>
        <v>#NAME?</v>
      </c>
      <c r="U187" s="307" t="s">
        <v>792</v>
      </c>
      <c r="V187" s="307">
        <v>12.9</v>
      </c>
      <c r="W187" s="307" t="s">
        <v>390</v>
      </c>
      <c r="X187" s="307" t="s">
        <v>391</v>
      </c>
    </row>
    <row r="188" spans="2:24" outlineLevel="2">
      <c r="B188" s="299" t="s">
        <v>374</v>
      </c>
      <c r="C188" s="333" t="s">
        <v>375</v>
      </c>
      <c r="D188" s="307" t="s">
        <v>722</v>
      </c>
      <c r="E188" s="307" t="s">
        <v>723</v>
      </c>
      <c r="F188" s="307" t="s">
        <v>376</v>
      </c>
      <c r="G188" s="299" t="s">
        <v>543</v>
      </c>
      <c r="H188" s="307" t="s">
        <v>770</v>
      </c>
      <c r="I188" s="307" t="s">
        <v>382</v>
      </c>
      <c r="J188" s="307" t="s">
        <v>793</v>
      </c>
      <c r="K188" s="299" t="s">
        <v>388</v>
      </c>
      <c r="L188" s="299" t="s">
        <v>389</v>
      </c>
      <c r="M188" s="299"/>
      <c r="N188" s="307"/>
      <c r="O188" s="307"/>
      <c r="P188" s="307" t="e">
        <f ca="1">_xll.BDP(J188&amp;" "&amp;K188&amp;" "&amp;L188,P$2)</f>
        <v>#NAME?</v>
      </c>
      <c r="Q188" s="307" t="e">
        <f ca="1">_xll.BDP(J188&amp;" "&amp;K188&amp;" "&amp;L188,Q$2)</f>
        <v>#NAME?</v>
      </c>
      <c r="R188" s="307" t="e">
        <f ca="1">_xll.BDP(J188&amp;" "&amp;K188&amp;" "&amp;L188,R$2)</f>
        <v>#NAME?</v>
      </c>
      <c r="S188" s="307" t="e">
        <f ca="1">_xll.BDP(J188&amp;" "&amp;K188&amp;" "&amp;L188,S$2)</f>
        <v>#NAME?</v>
      </c>
      <c r="U188" s="307" t="s">
        <v>794</v>
      </c>
      <c r="V188" s="307">
        <v>12.4</v>
      </c>
      <c r="W188" s="307" t="s">
        <v>390</v>
      </c>
      <c r="X188" s="307" t="s">
        <v>781</v>
      </c>
    </row>
    <row r="189" spans="2:24" outlineLevel="2">
      <c r="B189" s="299" t="s">
        <v>374</v>
      </c>
      <c r="C189" s="333" t="s">
        <v>375</v>
      </c>
      <c r="D189" s="307" t="s">
        <v>722</v>
      </c>
      <c r="E189" s="307" t="s">
        <v>723</v>
      </c>
      <c r="F189" s="307" t="s">
        <v>376</v>
      </c>
      <c r="G189" s="299" t="s">
        <v>27</v>
      </c>
      <c r="H189" s="307" t="s">
        <v>770</v>
      </c>
      <c r="I189" s="307" t="s">
        <v>382</v>
      </c>
      <c r="J189" s="307" t="s">
        <v>795</v>
      </c>
      <c r="K189" s="299" t="s">
        <v>388</v>
      </c>
      <c r="L189" s="299" t="s">
        <v>389</v>
      </c>
      <c r="M189" s="299"/>
      <c r="N189" s="307"/>
      <c r="O189" s="307"/>
      <c r="P189" s="307" t="e">
        <f ca="1">_xll.BDP(J189&amp;" "&amp;K189&amp;" "&amp;L189,P$2)</f>
        <v>#NAME?</v>
      </c>
      <c r="Q189" s="307" t="e">
        <f ca="1">_xll.BDP(J189&amp;" "&amp;K189&amp;" "&amp;L189,Q$2)</f>
        <v>#NAME?</v>
      </c>
      <c r="R189" s="307" t="e">
        <f ca="1">_xll.BDP(J189&amp;" "&amp;K189&amp;" "&amp;L189,R$2)</f>
        <v>#NAME?</v>
      </c>
      <c r="S189" s="307" t="e">
        <f ca="1">_xll.BDP(J189&amp;" "&amp;K189&amp;" "&amp;L189,S$2)</f>
        <v>#NAME?</v>
      </c>
      <c r="U189" s="307" t="s">
        <v>796</v>
      </c>
      <c r="V189" s="307">
        <v>11.9</v>
      </c>
      <c r="W189" s="307" t="s">
        <v>390</v>
      </c>
      <c r="X189" s="307" t="s">
        <v>784</v>
      </c>
    </row>
    <row r="190" spans="2:24" outlineLevel="2">
      <c r="B190" s="299" t="s">
        <v>374</v>
      </c>
      <c r="C190" s="333" t="s">
        <v>375</v>
      </c>
      <c r="D190" s="307" t="s">
        <v>722</v>
      </c>
      <c r="E190" s="307" t="s">
        <v>723</v>
      </c>
      <c r="F190" s="307" t="s">
        <v>376</v>
      </c>
      <c r="G190" s="299" t="s">
        <v>548</v>
      </c>
      <c r="H190" s="307" t="s">
        <v>770</v>
      </c>
      <c r="I190" s="307" t="s">
        <v>382</v>
      </c>
      <c r="J190" s="307" t="s">
        <v>797</v>
      </c>
      <c r="K190" s="299" t="s">
        <v>388</v>
      </c>
      <c r="L190" s="299" t="s">
        <v>389</v>
      </c>
      <c r="M190" s="299"/>
      <c r="N190" s="307"/>
      <c r="O190" s="307"/>
      <c r="P190" s="307" t="e">
        <f ca="1">_xll.BDP(J190&amp;" "&amp;K190&amp;" "&amp;L190,P$2)</f>
        <v>#NAME?</v>
      </c>
      <c r="Q190" s="307" t="e">
        <f ca="1">_xll.BDP(J190&amp;" "&amp;K190&amp;" "&amp;L190,Q$2)</f>
        <v>#NAME?</v>
      </c>
      <c r="R190" s="307" t="e">
        <f ca="1">_xll.BDP(J190&amp;" "&amp;K190&amp;" "&amp;L190,R$2)</f>
        <v>#NAME?</v>
      </c>
      <c r="S190" s="307" t="e">
        <f ca="1">_xll.BDP(J190&amp;" "&amp;K190&amp;" "&amp;L190,S$2)</f>
        <v>#NAME?</v>
      </c>
      <c r="U190" s="307" t="s">
        <v>798</v>
      </c>
      <c r="V190" s="307" t="s">
        <v>423</v>
      </c>
      <c r="W190" s="307" t="s">
        <v>423</v>
      </c>
      <c r="X190" s="307" t="s">
        <v>423</v>
      </c>
    </row>
    <row r="191" spans="2:24" outlineLevel="2">
      <c r="B191" s="299" t="s">
        <v>374</v>
      </c>
      <c r="C191" s="333" t="s">
        <v>375</v>
      </c>
      <c r="D191" s="307" t="s">
        <v>722</v>
      </c>
      <c r="E191" s="307" t="s">
        <v>723</v>
      </c>
      <c r="F191" s="307" t="s">
        <v>376</v>
      </c>
      <c r="G191" s="299" t="s">
        <v>551</v>
      </c>
      <c r="H191" s="307" t="s">
        <v>770</v>
      </c>
      <c r="I191" s="307" t="s">
        <v>382</v>
      </c>
      <c r="J191" s="307" t="s">
        <v>799</v>
      </c>
      <c r="K191" s="299" t="s">
        <v>388</v>
      </c>
      <c r="L191" s="299" t="s">
        <v>389</v>
      </c>
      <c r="M191" s="299"/>
      <c r="N191" s="307"/>
      <c r="O191" s="307"/>
      <c r="P191" s="307" t="e">
        <f ca="1">_xll.BDP(J191&amp;" "&amp;K191&amp;" "&amp;L191,P$2)</f>
        <v>#NAME?</v>
      </c>
      <c r="Q191" s="307" t="e">
        <f ca="1">_xll.BDP(J191&amp;" "&amp;K191&amp;" "&amp;L191,Q$2)</f>
        <v>#NAME?</v>
      </c>
      <c r="R191" s="307" t="e">
        <f ca="1">_xll.BDP(J191&amp;" "&amp;K191&amp;" "&amp;L191,R$2)</f>
        <v>#NAME?</v>
      </c>
      <c r="S191" s="307" t="e">
        <f ca="1">_xll.BDP(J191&amp;" "&amp;K191&amp;" "&amp;L191,S$2)</f>
        <v>#NAME?</v>
      </c>
      <c r="U191" s="307" t="s">
        <v>800</v>
      </c>
      <c r="V191" s="307" t="s">
        <v>423</v>
      </c>
      <c r="W191" s="307" t="s">
        <v>423</v>
      </c>
      <c r="X191" s="307" t="s">
        <v>423</v>
      </c>
    </row>
    <row r="192" spans="2:24" outlineLevel="2">
      <c r="B192" s="299" t="s">
        <v>374</v>
      </c>
      <c r="C192" s="333" t="s">
        <v>375</v>
      </c>
      <c r="D192" s="307" t="s">
        <v>722</v>
      </c>
      <c r="E192" s="307" t="s">
        <v>723</v>
      </c>
      <c r="F192" s="307" t="s">
        <v>376</v>
      </c>
      <c r="G192" s="299" t="s">
        <v>17</v>
      </c>
      <c r="H192" s="307" t="s">
        <v>770</v>
      </c>
      <c r="I192" s="307" t="s">
        <v>382</v>
      </c>
      <c r="J192" s="307" t="s">
        <v>801</v>
      </c>
      <c r="K192" s="299" t="s">
        <v>388</v>
      </c>
      <c r="L192" s="299" t="s">
        <v>389</v>
      </c>
      <c r="M192" s="299"/>
      <c r="N192" s="307"/>
      <c r="O192" s="307"/>
      <c r="P192" s="307" t="e">
        <f ca="1">_xll.BDP(J192&amp;" "&amp;K192&amp;" "&amp;L192,P$2)</f>
        <v>#NAME?</v>
      </c>
      <c r="Q192" s="307" t="e">
        <f ca="1">_xll.BDP(J192&amp;" "&amp;K192&amp;" "&amp;L192,Q$2)</f>
        <v>#NAME?</v>
      </c>
      <c r="R192" s="307" t="e">
        <f ca="1">_xll.BDP(J192&amp;" "&amp;K192&amp;" "&amp;L192,R$2)</f>
        <v>#NAME?</v>
      </c>
      <c r="S192" s="307" t="e">
        <f ca="1">_xll.BDP(J192&amp;" "&amp;K192&amp;" "&amp;L192,S$2)</f>
        <v>#NAME?</v>
      </c>
      <c r="U192" s="307" t="s">
        <v>802</v>
      </c>
      <c r="V192" s="307">
        <v>10.5</v>
      </c>
      <c r="W192" s="307" t="s">
        <v>390</v>
      </c>
      <c r="X192" s="307" t="s">
        <v>391</v>
      </c>
    </row>
    <row r="193" spans="2:24" outlineLevel="2">
      <c r="B193" s="299" t="s">
        <v>374</v>
      </c>
      <c r="C193" s="333" t="s">
        <v>375</v>
      </c>
      <c r="D193" s="307" t="s">
        <v>722</v>
      </c>
      <c r="E193" s="307" t="s">
        <v>723</v>
      </c>
      <c r="F193" s="307" t="s">
        <v>376</v>
      </c>
      <c r="G193" s="299" t="s">
        <v>104</v>
      </c>
      <c r="H193" s="307" t="s">
        <v>770</v>
      </c>
      <c r="I193" s="307" t="s">
        <v>382</v>
      </c>
      <c r="J193" s="307" t="s">
        <v>803</v>
      </c>
      <c r="K193" s="299" t="s">
        <v>388</v>
      </c>
      <c r="L193" s="299" t="s">
        <v>389</v>
      </c>
      <c r="M193" s="299"/>
      <c r="N193" s="307"/>
      <c r="O193" s="307"/>
      <c r="P193" s="307" t="e">
        <f ca="1">_xll.BDP(J193&amp;" "&amp;K193&amp;" "&amp;L193,P$2)</f>
        <v>#NAME?</v>
      </c>
      <c r="Q193" s="307" t="e">
        <f ca="1">_xll.BDP(J193&amp;" "&amp;K193&amp;" "&amp;L193,Q$2)</f>
        <v>#NAME?</v>
      </c>
      <c r="R193" s="307" t="e">
        <f ca="1">_xll.BDP(J193&amp;" "&amp;K193&amp;" "&amp;L193,R$2)</f>
        <v>#NAME?</v>
      </c>
      <c r="S193" s="307" t="e">
        <f ca="1">_xll.BDP(J193&amp;" "&amp;K193&amp;" "&amp;L193,S$2)</f>
        <v>#NAME?</v>
      </c>
      <c r="U193" s="307" t="s">
        <v>804</v>
      </c>
      <c r="V193" s="307">
        <v>9.1</v>
      </c>
      <c r="W193" s="307" t="s">
        <v>390</v>
      </c>
      <c r="X193" s="307" t="s">
        <v>391</v>
      </c>
    </row>
    <row r="194" spans="2:24" outlineLevel="2">
      <c r="B194" s="299" t="s">
        <v>374</v>
      </c>
      <c r="C194" s="333" t="s">
        <v>375</v>
      </c>
      <c r="D194" s="307" t="s">
        <v>722</v>
      </c>
      <c r="E194" s="307" t="s">
        <v>723</v>
      </c>
      <c r="F194" s="307" t="s">
        <v>376</v>
      </c>
      <c r="G194" s="299" t="s">
        <v>105</v>
      </c>
      <c r="H194" s="307" t="s">
        <v>770</v>
      </c>
      <c r="I194" s="307" t="s">
        <v>382</v>
      </c>
      <c r="J194" s="307" t="s">
        <v>805</v>
      </c>
      <c r="K194" s="299" t="s">
        <v>388</v>
      </c>
      <c r="L194" s="299" t="s">
        <v>389</v>
      </c>
      <c r="M194" s="299"/>
      <c r="N194" s="307"/>
      <c r="O194" s="307"/>
      <c r="P194" s="307" t="e">
        <f ca="1">_xll.BDP(J194&amp;" "&amp;K194&amp;" "&amp;L194,P$2)</f>
        <v>#NAME?</v>
      </c>
      <c r="Q194" s="307" t="e">
        <f ca="1">_xll.BDP(J194&amp;" "&amp;K194&amp;" "&amp;L194,Q$2)</f>
        <v>#NAME?</v>
      </c>
      <c r="R194" s="307" t="e">
        <f ca="1">_xll.BDP(J194&amp;" "&amp;K194&amp;" "&amp;L194,R$2)</f>
        <v>#NAME?</v>
      </c>
      <c r="S194" s="307" t="e">
        <f ca="1">_xll.BDP(J194&amp;" "&amp;K194&amp;" "&amp;L194,S$2)</f>
        <v>#NAME?</v>
      </c>
      <c r="U194" s="307" t="s">
        <v>806</v>
      </c>
      <c r="V194" s="307">
        <v>8.3000000000000007</v>
      </c>
      <c r="W194" s="307" t="s">
        <v>390</v>
      </c>
      <c r="X194" s="307" t="s">
        <v>807</v>
      </c>
    </row>
    <row r="195" spans="2:24" outlineLevel="2">
      <c r="B195" s="299" t="s">
        <v>374</v>
      </c>
      <c r="C195" s="333" t="s">
        <v>375</v>
      </c>
      <c r="D195" s="307" t="s">
        <v>722</v>
      </c>
      <c r="E195" s="307" t="s">
        <v>723</v>
      </c>
      <c r="F195" s="307" t="s">
        <v>376</v>
      </c>
      <c r="G195" s="299" t="s">
        <v>106</v>
      </c>
      <c r="H195" s="307" t="s">
        <v>770</v>
      </c>
      <c r="I195" s="307" t="s">
        <v>382</v>
      </c>
      <c r="J195" s="307" t="s">
        <v>808</v>
      </c>
      <c r="K195" s="299" t="s">
        <v>388</v>
      </c>
      <c r="L195" s="299" t="s">
        <v>389</v>
      </c>
      <c r="M195" s="299"/>
      <c r="N195" s="307"/>
      <c r="O195" s="307"/>
      <c r="P195" s="307" t="e">
        <f ca="1">_xll.BDP(J195&amp;" "&amp;K195&amp;" "&amp;L195,P$2)</f>
        <v>#NAME?</v>
      </c>
      <c r="Q195" s="307" t="e">
        <f ca="1">_xll.BDP(J195&amp;" "&amp;K195&amp;" "&amp;L195,Q$2)</f>
        <v>#NAME?</v>
      </c>
      <c r="R195" s="307" t="e">
        <f ca="1">_xll.BDP(J195&amp;" "&amp;K195&amp;" "&amp;L195,R$2)</f>
        <v>#NAME?</v>
      </c>
      <c r="S195" s="307" t="e">
        <f ca="1">_xll.BDP(J195&amp;" "&amp;K195&amp;" "&amp;L195,S$2)</f>
        <v>#NAME?</v>
      </c>
      <c r="U195" s="307" t="s">
        <v>809</v>
      </c>
      <c r="V195" s="307">
        <v>7.7</v>
      </c>
      <c r="W195" s="307" t="s">
        <v>390</v>
      </c>
      <c r="X195" s="307" t="s">
        <v>391</v>
      </c>
    </row>
    <row r="196" spans="2:24" outlineLevel="2">
      <c r="B196" s="299" t="s">
        <v>374</v>
      </c>
      <c r="C196" s="333" t="s">
        <v>375</v>
      </c>
      <c r="D196" s="307" t="s">
        <v>722</v>
      </c>
      <c r="E196" s="307" t="s">
        <v>723</v>
      </c>
      <c r="F196" s="307" t="s">
        <v>376</v>
      </c>
      <c r="G196" s="299" t="s">
        <v>159</v>
      </c>
      <c r="H196" s="307" t="s">
        <v>770</v>
      </c>
      <c r="I196" s="307" t="s">
        <v>382</v>
      </c>
      <c r="J196" s="307" t="s">
        <v>810</v>
      </c>
      <c r="K196" s="299" t="s">
        <v>388</v>
      </c>
      <c r="L196" s="299" t="s">
        <v>389</v>
      </c>
      <c r="M196" s="299"/>
      <c r="N196" s="307"/>
      <c r="O196" s="307"/>
      <c r="P196" s="307" t="e">
        <f ca="1">_xll.BDP(J196&amp;" "&amp;K196&amp;" "&amp;L196,P$2)</f>
        <v>#NAME?</v>
      </c>
      <c r="Q196" s="307" t="e">
        <f ca="1">_xll.BDP(J196&amp;" "&amp;K196&amp;" "&amp;L196,Q$2)</f>
        <v>#NAME?</v>
      </c>
      <c r="R196" s="307" t="e">
        <f ca="1">_xll.BDP(J196&amp;" "&amp;K196&amp;" "&amp;L196,R$2)</f>
        <v>#NAME?</v>
      </c>
      <c r="S196" s="307" t="e">
        <f ca="1">_xll.BDP(J196&amp;" "&amp;K196&amp;" "&amp;L196,S$2)</f>
        <v>#NAME?</v>
      </c>
      <c r="U196" s="307" t="s">
        <v>811</v>
      </c>
      <c r="V196" s="307">
        <v>6.9</v>
      </c>
      <c r="W196" s="307" t="s">
        <v>390</v>
      </c>
      <c r="X196" s="307" t="s">
        <v>812</v>
      </c>
    </row>
    <row r="197" spans="2:24" outlineLevel="2">
      <c r="B197" s="299" t="s">
        <v>374</v>
      </c>
      <c r="C197" s="333" t="s">
        <v>375</v>
      </c>
      <c r="D197" s="307" t="s">
        <v>722</v>
      </c>
      <c r="E197" s="307" t="s">
        <v>723</v>
      </c>
      <c r="F197" s="307" t="s">
        <v>376</v>
      </c>
      <c r="G197" s="299" t="s">
        <v>160</v>
      </c>
      <c r="H197" s="307" t="s">
        <v>770</v>
      </c>
      <c r="I197" s="307" t="s">
        <v>382</v>
      </c>
      <c r="J197" s="307" t="s">
        <v>813</v>
      </c>
      <c r="K197" s="299" t="s">
        <v>388</v>
      </c>
      <c r="L197" s="299" t="s">
        <v>389</v>
      </c>
      <c r="M197" s="299"/>
      <c r="N197" s="307"/>
      <c r="O197" s="307"/>
      <c r="P197" s="307" t="e">
        <f ca="1">_xll.BDP(J197&amp;" "&amp;K197&amp;" "&amp;L197,P$2)</f>
        <v>#NAME?</v>
      </c>
      <c r="Q197" s="307" t="e">
        <f ca="1">_xll.BDP(J197&amp;" "&amp;K197&amp;" "&amp;L197,Q$2)</f>
        <v>#NAME?</v>
      </c>
      <c r="R197" s="307" t="e">
        <f ca="1">_xll.BDP(J197&amp;" "&amp;K197&amp;" "&amp;L197,R$2)</f>
        <v>#NAME?</v>
      </c>
      <c r="S197" s="307" t="e">
        <f ca="1">_xll.BDP(J197&amp;" "&amp;K197&amp;" "&amp;L197,S$2)</f>
        <v>#NAME?</v>
      </c>
      <c r="U197" s="307" t="s">
        <v>814</v>
      </c>
      <c r="V197" s="307">
        <v>6.4</v>
      </c>
      <c r="W197" s="307" t="s">
        <v>390</v>
      </c>
      <c r="X197" s="307" t="s">
        <v>812</v>
      </c>
    </row>
    <row r="198" spans="2:24" outlineLevel="2">
      <c r="B198" s="299" t="s">
        <v>374</v>
      </c>
      <c r="C198" s="328" t="s">
        <v>375</v>
      </c>
      <c r="D198" s="323" t="s">
        <v>722</v>
      </c>
      <c r="E198" s="323" t="s">
        <v>723</v>
      </c>
      <c r="F198" s="323" t="s">
        <v>376</v>
      </c>
      <c r="G198" s="324" t="s">
        <v>566</v>
      </c>
      <c r="H198" s="323" t="s">
        <v>770</v>
      </c>
      <c r="I198" s="323" t="s">
        <v>382</v>
      </c>
      <c r="J198" s="307" t="s">
        <v>815</v>
      </c>
      <c r="K198" s="324" t="s">
        <v>388</v>
      </c>
      <c r="L198" s="324" t="s">
        <v>389</v>
      </c>
      <c r="M198" s="324"/>
      <c r="N198" s="323"/>
      <c r="O198" s="323"/>
      <c r="P198" s="307" t="e">
        <f ca="1">_xll.BDP(J198&amp;" "&amp;K198&amp;" "&amp;L198,P$2)</f>
        <v>#NAME?</v>
      </c>
      <c r="Q198" s="307" t="e">
        <f ca="1">_xll.BDP(J198&amp;" "&amp;K198&amp;" "&amp;L198,Q$2)</f>
        <v>#NAME?</v>
      </c>
      <c r="R198" s="307" t="e">
        <f ca="1">_xll.BDP(J198&amp;" "&amp;K198&amp;" "&amp;L198,R$2)</f>
        <v>#NAME?</v>
      </c>
      <c r="S198" s="307" t="e">
        <f ca="1">_xll.BDP(J198&amp;" "&amp;K198&amp;" "&amp;L198,S$2)</f>
        <v>#NAME?</v>
      </c>
      <c r="U198" s="307" t="s">
        <v>816</v>
      </c>
      <c r="V198" s="307">
        <v>6</v>
      </c>
      <c r="W198" s="307" t="s">
        <v>390</v>
      </c>
      <c r="X198" s="307" t="s">
        <v>812</v>
      </c>
    </row>
  </sheetData>
  <conditionalFormatting sqref="N1:N4 N93:N94 N147 N149 N152 N157:N163 N100 N103 N106 N109:N128 N179:N180 N6:N48 N130:N145 N199:N1048576">
    <cfRule type="cellIs" dxfId="67" priority="68" operator="equal">
      <formula>"No index"</formula>
    </cfRule>
  </conditionalFormatting>
  <conditionalFormatting sqref="N5">
    <cfRule type="cellIs" dxfId="66" priority="67" operator="equal">
      <formula>"No index"</formula>
    </cfRule>
  </conditionalFormatting>
  <conditionalFormatting sqref="N148">
    <cfRule type="cellIs" dxfId="65" priority="65" operator="equal">
      <formula>"No index"</formula>
    </cfRule>
  </conditionalFormatting>
  <conditionalFormatting sqref="N188">
    <cfRule type="cellIs" dxfId="64" priority="50" operator="equal">
      <formula>"No index"</formula>
    </cfRule>
  </conditionalFormatting>
  <conditionalFormatting sqref="N108">
    <cfRule type="cellIs" dxfId="63" priority="39" operator="equal">
      <formula>"No index"</formula>
    </cfRule>
  </conditionalFormatting>
  <conditionalFormatting sqref="N146">
    <cfRule type="cellIs" dxfId="62" priority="66" operator="equal">
      <formula>"No index"</formula>
    </cfRule>
  </conditionalFormatting>
  <conditionalFormatting sqref="N151">
    <cfRule type="cellIs" dxfId="61" priority="64" operator="equal">
      <formula>"No index"</formula>
    </cfRule>
  </conditionalFormatting>
  <conditionalFormatting sqref="N150">
    <cfRule type="cellIs" dxfId="60" priority="63" operator="equal">
      <formula>"No index"</formula>
    </cfRule>
  </conditionalFormatting>
  <conditionalFormatting sqref="N156">
    <cfRule type="cellIs" dxfId="59" priority="62" operator="equal">
      <formula>"No index"</formula>
    </cfRule>
  </conditionalFormatting>
  <conditionalFormatting sqref="N155">
    <cfRule type="cellIs" dxfId="58" priority="61" operator="equal">
      <formula>"No index"</formula>
    </cfRule>
  </conditionalFormatting>
  <conditionalFormatting sqref="N154">
    <cfRule type="cellIs" dxfId="57" priority="60" operator="equal">
      <formula>"No index"</formula>
    </cfRule>
  </conditionalFormatting>
  <conditionalFormatting sqref="N153">
    <cfRule type="cellIs" dxfId="56" priority="59" operator="equal">
      <formula>"No index"</formula>
    </cfRule>
  </conditionalFormatting>
  <conditionalFormatting sqref="N164:N165 N182 N184 N187 N192:N198">
    <cfRule type="cellIs" dxfId="55" priority="58" operator="equal">
      <formula>"No index"</formula>
    </cfRule>
  </conditionalFormatting>
  <conditionalFormatting sqref="N181">
    <cfRule type="cellIs" dxfId="54" priority="57" operator="equal">
      <formula>"No index"</formula>
    </cfRule>
  </conditionalFormatting>
  <conditionalFormatting sqref="N183">
    <cfRule type="cellIs" dxfId="53" priority="56" operator="equal">
      <formula>"No index"</formula>
    </cfRule>
  </conditionalFormatting>
  <conditionalFormatting sqref="N186">
    <cfRule type="cellIs" dxfId="52" priority="55" operator="equal">
      <formula>"No index"</formula>
    </cfRule>
  </conditionalFormatting>
  <conditionalFormatting sqref="N185">
    <cfRule type="cellIs" dxfId="51" priority="54" operator="equal">
      <formula>"No index"</formula>
    </cfRule>
  </conditionalFormatting>
  <conditionalFormatting sqref="N191">
    <cfRule type="cellIs" dxfId="50" priority="53" operator="equal">
      <formula>"No index"</formula>
    </cfRule>
  </conditionalFormatting>
  <conditionalFormatting sqref="N190">
    <cfRule type="cellIs" dxfId="49" priority="52" operator="equal">
      <formula>"No index"</formula>
    </cfRule>
  </conditionalFormatting>
  <conditionalFormatting sqref="N189">
    <cfRule type="cellIs" dxfId="48" priority="51" operator="equal">
      <formula>"No index"</formula>
    </cfRule>
  </conditionalFormatting>
  <conditionalFormatting sqref="N107">
    <cfRule type="cellIs" dxfId="47" priority="40" operator="equal">
      <formula>"No index"</formula>
    </cfRule>
  </conditionalFormatting>
  <conditionalFormatting sqref="N97">
    <cfRule type="cellIs" dxfId="46" priority="49" operator="equal">
      <formula>"No index"</formula>
    </cfRule>
  </conditionalFormatting>
  <conditionalFormatting sqref="N96">
    <cfRule type="cellIs" dxfId="45" priority="48" operator="equal">
      <formula>"No index"</formula>
    </cfRule>
  </conditionalFormatting>
  <conditionalFormatting sqref="N95">
    <cfRule type="cellIs" dxfId="44" priority="47" operator="equal">
      <formula>"No index"</formula>
    </cfRule>
  </conditionalFormatting>
  <conditionalFormatting sqref="N99">
    <cfRule type="cellIs" dxfId="43" priority="46" operator="equal">
      <formula>"No index"</formula>
    </cfRule>
  </conditionalFormatting>
  <conditionalFormatting sqref="N98">
    <cfRule type="cellIs" dxfId="42" priority="45" operator="equal">
      <formula>"No index"</formula>
    </cfRule>
  </conditionalFormatting>
  <conditionalFormatting sqref="N102">
    <cfRule type="cellIs" dxfId="41" priority="44" operator="equal">
      <formula>"No index"</formula>
    </cfRule>
  </conditionalFormatting>
  <conditionalFormatting sqref="N101">
    <cfRule type="cellIs" dxfId="40" priority="43" operator="equal">
      <formula>"No index"</formula>
    </cfRule>
  </conditionalFormatting>
  <conditionalFormatting sqref="N105">
    <cfRule type="cellIs" dxfId="39" priority="42" operator="equal">
      <formula>"No index"</formula>
    </cfRule>
  </conditionalFormatting>
  <conditionalFormatting sqref="N104">
    <cfRule type="cellIs" dxfId="38" priority="41" operator="equal">
      <formula>"No index"</formula>
    </cfRule>
  </conditionalFormatting>
  <conditionalFormatting sqref="N50 N72:N91">
    <cfRule type="cellIs" dxfId="37" priority="38" operator="equal">
      <formula>"No index"</formula>
    </cfRule>
  </conditionalFormatting>
  <conditionalFormatting sqref="N71">
    <cfRule type="cellIs" dxfId="36" priority="37" operator="equal">
      <formula>"No index"</formula>
    </cfRule>
  </conditionalFormatting>
  <conditionalFormatting sqref="N59">
    <cfRule type="cellIs" dxfId="35" priority="36" operator="equal">
      <formula>"No index"</formula>
    </cfRule>
  </conditionalFormatting>
  <conditionalFormatting sqref="N57">
    <cfRule type="cellIs" dxfId="34" priority="35" operator="equal">
      <formula>"No index"</formula>
    </cfRule>
  </conditionalFormatting>
  <conditionalFormatting sqref="N56">
    <cfRule type="cellIs" dxfId="33" priority="34" operator="equal">
      <formula>"No index"</formula>
    </cfRule>
  </conditionalFormatting>
  <conditionalFormatting sqref="N55">
    <cfRule type="cellIs" dxfId="32" priority="33" operator="equal">
      <formula>"No index"</formula>
    </cfRule>
  </conditionalFormatting>
  <conditionalFormatting sqref="N54">
    <cfRule type="cellIs" dxfId="31" priority="32" operator="equal">
      <formula>"No index"</formula>
    </cfRule>
  </conditionalFormatting>
  <conditionalFormatting sqref="N53">
    <cfRule type="cellIs" dxfId="30" priority="31" operator="equal">
      <formula>"No index"</formula>
    </cfRule>
  </conditionalFormatting>
  <conditionalFormatting sqref="N52">
    <cfRule type="cellIs" dxfId="29" priority="30" operator="equal">
      <formula>"No index"</formula>
    </cfRule>
  </conditionalFormatting>
  <conditionalFormatting sqref="N51">
    <cfRule type="cellIs" dxfId="28" priority="29" operator="equal">
      <formula>"No index"</formula>
    </cfRule>
  </conditionalFormatting>
  <conditionalFormatting sqref="N70">
    <cfRule type="cellIs" dxfId="27" priority="28" operator="equal">
      <formula>"No index"</formula>
    </cfRule>
  </conditionalFormatting>
  <conditionalFormatting sqref="N69">
    <cfRule type="cellIs" dxfId="26" priority="27" operator="equal">
      <formula>"No index"</formula>
    </cfRule>
  </conditionalFormatting>
  <conditionalFormatting sqref="N68">
    <cfRule type="cellIs" dxfId="25" priority="26" operator="equal">
      <formula>"No index"</formula>
    </cfRule>
  </conditionalFormatting>
  <conditionalFormatting sqref="N67">
    <cfRule type="cellIs" dxfId="24" priority="25" operator="equal">
      <formula>"No index"</formula>
    </cfRule>
  </conditionalFormatting>
  <conditionalFormatting sqref="N66">
    <cfRule type="cellIs" dxfId="23" priority="24" operator="equal">
      <formula>"No index"</formula>
    </cfRule>
  </conditionalFormatting>
  <conditionalFormatting sqref="N65">
    <cfRule type="cellIs" dxfId="22" priority="23" operator="equal">
      <formula>"No index"</formula>
    </cfRule>
  </conditionalFormatting>
  <conditionalFormatting sqref="N64">
    <cfRule type="cellIs" dxfId="21" priority="22" operator="equal">
      <formula>"No index"</formula>
    </cfRule>
  </conditionalFormatting>
  <conditionalFormatting sqref="N63">
    <cfRule type="cellIs" dxfId="20" priority="21" operator="equal">
      <formula>"No index"</formula>
    </cfRule>
  </conditionalFormatting>
  <conditionalFormatting sqref="N62">
    <cfRule type="cellIs" dxfId="19" priority="20" operator="equal">
      <formula>"No index"</formula>
    </cfRule>
  </conditionalFormatting>
  <conditionalFormatting sqref="N61">
    <cfRule type="cellIs" dxfId="18" priority="19" operator="equal">
      <formula>"No index"</formula>
    </cfRule>
  </conditionalFormatting>
  <conditionalFormatting sqref="N60">
    <cfRule type="cellIs" dxfId="17" priority="18" operator="equal">
      <formula>"No index"</formula>
    </cfRule>
  </conditionalFormatting>
  <conditionalFormatting sqref="N49">
    <cfRule type="cellIs" dxfId="16" priority="17" operator="equal">
      <formula>"No index"</formula>
    </cfRule>
  </conditionalFormatting>
  <conditionalFormatting sqref="N169">
    <cfRule type="cellIs" dxfId="15" priority="12" operator="equal">
      <formula>"No index"</formula>
    </cfRule>
  </conditionalFormatting>
  <conditionalFormatting sqref="N166">
    <cfRule type="cellIs" dxfId="14" priority="11" operator="equal">
      <formula>"No index"</formula>
    </cfRule>
  </conditionalFormatting>
  <conditionalFormatting sqref="N175">
    <cfRule type="cellIs" dxfId="13" priority="10" operator="equal">
      <formula>"No index"</formula>
    </cfRule>
  </conditionalFormatting>
  <conditionalFormatting sqref="N174">
    <cfRule type="cellIs" dxfId="12" priority="9" operator="equal">
      <formula>"No index"</formula>
    </cfRule>
  </conditionalFormatting>
  <conditionalFormatting sqref="N168">
    <cfRule type="cellIs" dxfId="11" priority="8" operator="equal">
      <formula>"No index"</formula>
    </cfRule>
  </conditionalFormatting>
  <conditionalFormatting sqref="N167">
    <cfRule type="cellIs" dxfId="10" priority="7" operator="equal">
      <formula>"No index"</formula>
    </cfRule>
  </conditionalFormatting>
  <conditionalFormatting sqref="N178">
    <cfRule type="cellIs" dxfId="9" priority="6" operator="equal">
      <formula>"No index"</formula>
    </cfRule>
  </conditionalFormatting>
  <conditionalFormatting sqref="N177">
    <cfRule type="cellIs" dxfId="8" priority="5" operator="equal">
      <formula>"No index"</formula>
    </cfRule>
  </conditionalFormatting>
  <conditionalFormatting sqref="N176">
    <cfRule type="cellIs" dxfId="7" priority="4" operator="equal">
      <formula>"No index"</formula>
    </cfRule>
  </conditionalFormatting>
  <conditionalFormatting sqref="N171">
    <cfRule type="cellIs" dxfId="6" priority="14" operator="equal">
      <formula>"No index"</formula>
    </cfRule>
  </conditionalFormatting>
  <conditionalFormatting sqref="N170">
    <cfRule type="cellIs" dxfId="5" priority="13" operator="equal">
      <formula>"No index"</formula>
    </cfRule>
  </conditionalFormatting>
  <conditionalFormatting sqref="N173">
    <cfRule type="cellIs" dxfId="4" priority="16" operator="equal">
      <formula>"No index"</formula>
    </cfRule>
  </conditionalFormatting>
  <conditionalFormatting sqref="N172">
    <cfRule type="cellIs" dxfId="3" priority="15" operator="equal">
      <formula>"No index"</formula>
    </cfRule>
  </conditionalFormatting>
  <conditionalFormatting sqref="N58">
    <cfRule type="cellIs" dxfId="2" priority="3" operator="equal">
      <formula>"No index"</formula>
    </cfRule>
  </conditionalFormatting>
  <conditionalFormatting sqref="N92">
    <cfRule type="cellIs" dxfId="1" priority="2" operator="equal">
      <formula>"No index"</formula>
    </cfRule>
  </conditionalFormatting>
  <conditionalFormatting sqref="N129">
    <cfRule type="cellIs" dxfId="0" priority="1" operator="equal">
      <formula>"No index"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  <outlinePr summaryBelow="0" summaryRight="0"/>
  </sheetPr>
  <dimension ref="A1:Y426"/>
  <sheetViews>
    <sheetView showGridLines="0" topLeftCell="D1" zoomScale="70" zoomScaleNormal="70" workbookViewId="0">
      <selection activeCell="G1" sqref="G1:H1048576"/>
    </sheetView>
  </sheetViews>
  <sheetFormatPr defaultColWidth="11.42578125" defaultRowHeight="15"/>
  <cols>
    <col min="1" max="1" width="6.5703125" style="335" customWidth="1"/>
    <col min="2" max="3" width="11.42578125" style="335"/>
    <col min="4" max="4" width="16.28515625" style="335" customWidth="1"/>
    <col min="5" max="5" width="27.28515625" style="335" customWidth="1"/>
    <col min="6" max="6" width="19.140625" style="335" bestFit="1" customWidth="1"/>
    <col min="7" max="8" width="15" style="335" bestFit="1" customWidth="1"/>
    <col min="9" max="9" width="15" style="335" customWidth="1"/>
    <col min="10" max="10" width="19.140625" style="335" bestFit="1" customWidth="1"/>
    <col min="11" max="11" width="18.140625" style="335" bestFit="1" customWidth="1"/>
    <col min="12" max="12" width="11.42578125" style="335"/>
    <col min="13" max="15" width="19.85546875" style="335" customWidth="1"/>
    <col min="16" max="16" width="11.42578125" style="335"/>
    <col min="17" max="17" width="29" style="335" customWidth="1"/>
    <col min="18" max="18" width="11.42578125" style="335"/>
    <col min="19" max="19" width="14.7109375" style="335" bestFit="1" customWidth="1"/>
    <col min="20" max="20" width="17.85546875" style="335" bestFit="1" customWidth="1"/>
    <col min="21" max="21" width="11.42578125" style="335"/>
    <col min="22" max="22" width="29" style="335" customWidth="1"/>
    <col min="23" max="23" width="11.42578125" style="335"/>
    <col min="24" max="24" width="14.7109375" style="335" bestFit="1" customWidth="1"/>
    <col min="25" max="25" width="17.85546875" style="335" bestFit="1" customWidth="1"/>
    <col min="26" max="16384" width="11.42578125" style="335"/>
  </cols>
  <sheetData>
    <row r="1" spans="1:25">
      <c r="A1" s="295"/>
      <c r="B1" s="334"/>
      <c r="C1" s="334"/>
      <c r="D1" s="295"/>
      <c r="E1" s="295"/>
      <c r="F1" s="295"/>
      <c r="G1" s="334"/>
      <c r="H1" s="334"/>
      <c r="I1" s="334"/>
      <c r="J1" s="334"/>
      <c r="K1" s="295"/>
      <c r="L1" s="295"/>
      <c r="M1" s="295"/>
      <c r="N1" s="295"/>
      <c r="O1" s="295"/>
      <c r="P1" s="295"/>
    </row>
    <row r="2" spans="1:25">
      <c r="A2" s="295"/>
      <c r="B2" s="290" t="s">
        <v>357</v>
      </c>
      <c r="C2" s="290" t="s">
        <v>358</v>
      </c>
      <c r="D2" s="290" t="s">
        <v>817</v>
      </c>
      <c r="E2" s="290" t="s">
        <v>360</v>
      </c>
      <c r="F2" s="290" t="s">
        <v>361</v>
      </c>
      <c r="G2" s="290" t="s">
        <v>47</v>
      </c>
      <c r="H2" s="290" t="s">
        <v>818</v>
      </c>
      <c r="I2" s="290" t="s">
        <v>819</v>
      </c>
      <c r="J2" s="290" t="s">
        <v>383</v>
      </c>
      <c r="K2" s="290" t="s">
        <v>291</v>
      </c>
      <c r="L2" s="290" t="s">
        <v>363</v>
      </c>
      <c r="M2" s="290" t="s">
        <v>364</v>
      </c>
      <c r="N2" s="290" t="s">
        <v>365</v>
      </c>
      <c r="O2" s="290" t="s">
        <v>366</v>
      </c>
      <c r="P2" s="290" t="s">
        <v>367</v>
      </c>
      <c r="Q2" s="292" t="s">
        <v>370</v>
      </c>
      <c r="R2" s="292" t="s">
        <v>371</v>
      </c>
      <c r="S2" s="292" t="s">
        <v>372</v>
      </c>
      <c r="T2" s="292" t="s">
        <v>373</v>
      </c>
      <c r="V2" s="294" t="s">
        <v>370</v>
      </c>
      <c r="W2" s="294" t="s">
        <v>371</v>
      </c>
      <c r="X2" s="294" t="s">
        <v>372</v>
      </c>
      <c r="Y2" s="294" t="s">
        <v>373</v>
      </c>
    </row>
    <row r="3" spans="1:25">
      <c r="A3" s="295"/>
      <c r="B3" s="290" t="s">
        <v>374</v>
      </c>
      <c r="C3" s="296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8"/>
    </row>
    <row r="4" spans="1:25">
      <c r="B4" s="335" t="s">
        <v>374</v>
      </c>
      <c r="C4" s="335" t="s">
        <v>375</v>
      </c>
      <c r="Q4" s="307"/>
      <c r="R4" s="307"/>
      <c r="S4" s="307"/>
      <c r="T4" s="307"/>
      <c r="V4" s="307"/>
      <c r="W4" s="307"/>
      <c r="X4" s="307"/>
      <c r="Y4" s="307"/>
    </row>
    <row r="5" spans="1:25">
      <c r="B5" s="335" t="s">
        <v>374</v>
      </c>
      <c r="C5" s="335" t="s">
        <v>375</v>
      </c>
      <c r="K5" s="335" t="s">
        <v>820</v>
      </c>
      <c r="Q5" s="307"/>
      <c r="R5" s="307"/>
      <c r="S5" s="307"/>
      <c r="T5" s="307"/>
      <c r="V5" s="307"/>
      <c r="W5" s="307"/>
      <c r="X5" s="307"/>
      <c r="Y5" s="307"/>
    </row>
    <row r="6" spans="1:25">
      <c r="B6" s="335" t="s">
        <v>374</v>
      </c>
      <c r="C6" s="335" t="s">
        <v>375</v>
      </c>
      <c r="D6" s="335" t="s">
        <v>821</v>
      </c>
      <c r="E6" s="335" t="s">
        <v>822</v>
      </c>
      <c r="F6" s="335" t="s">
        <v>376</v>
      </c>
      <c r="G6" s="335" t="s">
        <v>7</v>
      </c>
      <c r="H6" s="335" t="s">
        <v>23</v>
      </c>
      <c r="I6" s="335">
        <v>0</v>
      </c>
      <c r="J6" s="335" t="s">
        <v>823</v>
      </c>
      <c r="K6" s="335" t="s">
        <v>820</v>
      </c>
      <c r="M6" s="335" t="s">
        <v>824</v>
      </c>
      <c r="N6" s="335" t="s">
        <v>388</v>
      </c>
      <c r="O6" s="335" t="s">
        <v>389</v>
      </c>
      <c r="Q6" s="307" t="e">
        <f ca="1">_xll.BDP(M6&amp;" "&amp;N6&amp;" "&amp;O6,Q$2)</f>
        <v>#NAME?</v>
      </c>
      <c r="R6" s="307" t="e">
        <f ca="1">_xll.BDP(M6&amp;" "&amp;N6&amp;" "&amp;O6,R$2)</f>
        <v>#NAME?</v>
      </c>
      <c r="S6" s="307" t="e">
        <f ca="1">_xll.BDP(M6&amp;" "&amp;N6&amp;" "&amp;O6,S$2)</f>
        <v>#NAME?</v>
      </c>
      <c r="T6" s="307" t="e">
        <f ca="1">_xll.BDP(M6&amp;" "&amp;N6&amp;" "&amp;O6,T$2)</f>
        <v>#NAME?</v>
      </c>
      <c r="V6" s="307" t="s">
        <v>825</v>
      </c>
      <c r="W6" s="307">
        <v>16</v>
      </c>
      <c r="X6" s="307" t="s">
        <v>390</v>
      </c>
      <c r="Y6" s="307" t="s">
        <v>826</v>
      </c>
    </row>
    <row r="7" spans="1:25">
      <c r="B7" s="335" t="s">
        <v>374</v>
      </c>
      <c r="C7" s="335" t="s">
        <v>375</v>
      </c>
      <c r="D7" s="335" t="s">
        <v>821</v>
      </c>
      <c r="E7" s="335" t="s">
        <v>822</v>
      </c>
      <c r="F7" s="335" t="s">
        <v>376</v>
      </c>
      <c r="G7" s="335" t="s">
        <v>7</v>
      </c>
      <c r="H7" s="335" t="s">
        <v>398</v>
      </c>
      <c r="I7" s="335">
        <v>0</v>
      </c>
      <c r="J7" s="335" t="s">
        <v>823</v>
      </c>
      <c r="K7" s="335" t="s">
        <v>820</v>
      </c>
      <c r="M7" s="335" t="s">
        <v>827</v>
      </c>
      <c r="N7" s="335" t="s">
        <v>388</v>
      </c>
      <c r="O7" s="335" t="s">
        <v>389</v>
      </c>
      <c r="Q7" s="307" t="e">
        <f ca="1">_xll.BDP(M7&amp;" "&amp;N7&amp;" "&amp;O7,Q$2)</f>
        <v>#NAME?</v>
      </c>
      <c r="R7" s="307" t="e">
        <f ca="1">_xll.BDP(M7&amp;" "&amp;N7&amp;" "&amp;O7,R$2)</f>
        <v>#NAME?</v>
      </c>
      <c r="S7" s="307" t="e">
        <f ca="1">_xll.BDP(M7&amp;" "&amp;N7&amp;" "&amp;O7,S$2)</f>
        <v>#NAME?</v>
      </c>
      <c r="T7" s="307" t="e">
        <f ca="1">_xll.BDP(M7&amp;" "&amp;N7&amp;" "&amp;O7,T$2)</f>
        <v>#NAME?</v>
      </c>
      <c r="V7" s="307" t="s">
        <v>828</v>
      </c>
      <c r="W7" s="307">
        <v>15.7</v>
      </c>
      <c r="X7" s="307" t="s">
        <v>390</v>
      </c>
      <c r="Y7" s="307" t="s">
        <v>829</v>
      </c>
    </row>
    <row r="8" spans="1:25">
      <c r="B8" s="335" t="s">
        <v>374</v>
      </c>
      <c r="C8" s="335" t="s">
        <v>375</v>
      </c>
      <c r="D8" s="335" t="s">
        <v>821</v>
      </c>
      <c r="E8" s="335" t="s">
        <v>822</v>
      </c>
      <c r="F8" s="335" t="s">
        <v>376</v>
      </c>
      <c r="G8" s="335" t="s">
        <v>7</v>
      </c>
      <c r="H8" s="336" t="s">
        <v>26</v>
      </c>
      <c r="I8" s="335">
        <v>0</v>
      </c>
      <c r="J8" s="335" t="s">
        <v>823</v>
      </c>
      <c r="K8" s="335" t="s">
        <v>820</v>
      </c>
      <c r="M8" s="335" t="s">
        <v>830</v>
      </c>
      <c r="N8" s="335" t="s">
        <v>388</v>
      </c>
      <c r="O8" s="335" t="s">
        <v>389</v>
      </c>
      <c r="Q8" s="307" t="e">
        <f ca="1">_xll.BDP(M8&amp;" "&amp;N8&amp;" "&amp;O8,Q$2)</f>
        <v>#NAME?</v>
      </c>
      <c r="R8" s="307" t="e">
        <f ca="1">_xll.BDP(M8&amp;" "&amp;N8&amp;" "&amp;O8,R$2)</f>
        <v>#NAME?</v>
      </c>
      <c r="S8" s="307" t="e">
        <f ca="1">_xll.BDP(M8&amp;" "&amp;N8&amp;" "&amp;O8,S$2)</f>
        <v>#NAME?</v>
      </c>
      <c r="T8" s="307" t="e">
        <f ca="1">_xll.BDP(M8&amp;" "&amp;N8&amp;" "&amp;O8,T$2)</f>
        <v>#NAME?</v>
      </c>
      <c r="V8" s="307" t="s">
        <v>831</v>
      </c>
      <c r="W8" s="307">
        <v>14.6</v>
      </c>
      <c r="X8" s="307" t="s">
        <v>390</v>
      </c>
      <c r="Y8" s="307" t="s">
        <v>829</v>
      </c>
    </row>
    <row r="9" spans="1:25">
      <c r="B9" s="335" t="s">
        <v>374</v>
      </c>
      <c r="C9" s="335" t="s">
        <v>375</v>
      </c>
      <c r="D9" s="335" t="s">
        <v>821</v>
      </c>
      <c r="E9" s="335" t="s">
        <v>822</v>
      </c>
      <c r="F9" s="335" t="s">
        <v>376</v>
      </c>
      <c r="G9" s="335" t="s">
        <v>7</v>
      </c>
      <c r="H9" s="336" t="s">
        <v>19</v>
      </c>
      <c r="I9" s="335">
        <v>0</v>
      </c>
      <c r="J9" s="335" t="s">
        <v>823</v>
      </c>
      <c r="K9" s="335" t="s">
        <v>820</v>
      </c>
      <c r="M9" s="335" t="s">
        <v>832</v>
      </c>
      <c r="N9" s="335" t="s">
        <v>388</v>
      </c>
      <c r="O9" s="335" t="s">
        <v>389</v>
      </c>
      <c r="Q9" s="307" t="e">
        <f ca="1">_xll.BDP(M9&amp;" "&amp;N9&amp;" "&amp;O9,Q$2)</f>
        <v>#NAME?</v>
      </c>
      <c r="R9" s="307" t="e">
        <f ca="1">_xll.BDP(M9&amp;" "&amp;N9&amp;" "&amp;O9,R$2)</f>
        <v>#NAME?</v>
      </c>
      <c r="S9" s="307" t="e">
        <f ca="1">_xll.BDP(M9&amp;" "&amp;N9&amp;" "&amp;O9,S$2)</f>
        <v>#NAME?</v>
      </c>
      <c r="T9" s="307" t="e">
        <f ca="1">_xll.BDP(M9&amp;" "&amp;N9&amp;" "&amp;O9,T$2)</f>
        <v>#NAME?</v>
      </c>
      <c r="V9" s="307" t="s">
        <v>833</v>
      </c>
      <c r="W9" s="307">
        <v>16.899999999999999</v>
      </c>
      <c r="X9" s="307" t="s">
        <v>390</v>
      </c>
      <c r="Y9" s="307" t="s">
        <v>829</v>
      </c>
    </row>
    <row r="10" spans="1:25">
      <c r="B10" s="335" t="s">
        <v>374</v>
      </c>
      <c r="C10" s="335" t="s">
        <v>375</v>
      </c>
      <c r="D10" s="335" t="s">
        <v>821</v>
      </c>
      <c r="E10" s="335" t="s">
        <v>822</v>
      </c>
      <c r="F10" s="335" t="s">
        <v>376</v>
      </c>
      <c r="G10" s="335" t="s">
        <v>7</v>
      </c>
      <c r="H10" s="336" t="s">
        <v>412</v>
      </c>
      <c r="I10" s="335">
        <v>0</v>
      </c>
      <c r="J10" s="335" t="s">
        <v>823</v>
      </c>
      <c r="K10" s="335" t="s">
        <v>820</v>
      </c>
      <c r="M10" s="335" t="s">
        <v>834</v>
      </c>
      <c r="N10" s="335" t="s">
        <v>388</v>
      </c>
      <c r="O10" s="335" t="s">
        <v>389</v>
      </c>
      <c r="Q10" s="307" t="e">
        <f ca="1">_xll.BDP(M10&amp;" "&amp;N10&amp;" "&amp;O10,Q$2)</f>
        <v>#NAME?</v>
      </c>
      <c r="R10" s="307" t="e">
        <f ca="1">_xll.BDP(M10&amp;" "&amp;N10&amp;" "&amp;O10,R$2)</f>
        <v>#NAME?</v>
      </c>
      <c r="S10" s="307" t="e">
        <f ca="1">_xll.BDP(M10&amp;" "&amp;N10&amp;" "&amp;O10,S$2)</f>
        <v>#NAME?</v>
      </c>
      <c r="T10" s="307" t="e">
        <f ca="1">_xll.BDP(M10&amp;" "&amp;N10&amp;" "&amp;O10,T$2)</f>
        <v>#NAME?</v>
      </c>
      <c r="V10" s="307" t="s">
        <v>835</v>
      </c>
      <c r="W10" s="307">
        <v>20.9</v>
      </c>
      <c r="X10" s="307" t="s">
        <v>390</v>
      </c>
      <c r="Y10" s="307" t="s">
        <v>836</v>
      </c>
    </row>
    <row r="11" spans="1:25">
      <c r="B11" s="335" t="s">
        <v>374</v>
      </c>
      <c r="C11" s="335" t="s">
        <v>375</v>
      </c>
      <c r="D11" s="335" t="s">
        <v>821</v>
      </c>
      <c r="E11" s="335" t="s">
        <v>822</v>
      </c>
      <c r="F11" s="335" t="s">
        <v>376</v>
      </c>
      <c r="G11" s="335" t="s">
        <v>7</v>
      </c>
      <c r="H11" s="336" t="s">
        <v>7</v>
      </c>
      <c r="I11" s="335">
        <v>0</v>
      </c>
      <c r="J11" s="335" t="s">
        <v>823</v>
      </c>
      <c r="K11" s="335" t="s">
        <v>820</v>
      </c>
      <c r="M11" s="335" t="s">
        <v>837</v>
      </c>
      <c r="N11" s="335" t="s">
        <v>388</v>
      </c>
      <c r="O11" s="335" t="s">
        <v>389</v>
      </c>
      <c r="Q11" s="307" t="e">
        <f ca="1">_xll.BDP(M11&amp;" "&amp;N11&amp;" "&amp;O11,Q$2)</f>
        <v>#NAME?</v>
      </c>
      <c r="R11" s="307" t="e">
        <f ca="1">_xll.BDP(M11&amp;" "&amp;N11&amp;" "&amp;O11,R$2)</f>
        <v>#NAME?</v>
      </c>
      <c r="S11" s="307" t="e">
        <f ca="1">_xll.BDP(M11&amp;" "&amp;N11&amp;" "&amp;O11,S$2)</f>
        <v>#NAME?</v>
      </c>
      <c r="T11" s="307" t="e">
        <f ca="1">_xll.BDP(M11&amp;" "&amp;N11&amp;" "&amp;O11,T$2)</f>
        <v>#NAME?</v>
      </c>
      <c r="V11" s="307" t="s">
        <v>838</v>
      </c>
      <c r="W11" s="307">
        <v>25.2</v>
      </c>
      <c r="X11" s="307" t="s">
        <v>390</v>
      </c>
      <c r="Y11" s="307" t="s">
        <v>836</v>
      </c>
    </row>
    <row r="12" spans="1:25">
      <c r="B12" s="335" t="s">
        <v>374</v>
      </c>
      <c r="C12" s="335" t="s">
        <v>375</v>
      </c>
      <c r="D12" s="335" t="s">
        <v>821</v>
      </c>
      <c r="E12" s="335" t="s">
        <v>822</v>
      </c>
      <c r="F12" s="335" t="s">
        <v>376</v>
      </c>
      <c r="G12" s="335" t="s">
        <v>7</v>
      </c>
      <c r="H12" s="336" t="s">
        <v>154</v>
      </c>
      <c r="I12" s="335">
        <v>0</v>
      </c>
      <c r="J12" s="335" t="s">
        <v>823</v>
      </c>
      <c r="K12" s="335" t="s">
        <v>820</v>
      </c>
      <c r="M12" s="335" t="s">
        <v>839</v>
      </c>
      <c r="N12" s="335" t="s">
        <v>388</v>
      </c>
      <c r="O12" s="335" t="s">
        <v>389</v>
      </c>
      <c r="Q12" s="307" t="e">
        <f ca="1">_xll.BDP(M12&amp;" "&amp;N12&amp;" "&amp;O12,Q$2)</f>
        <v>#NAME?</v>
      </c>
      <c r="R12" s="307" t="e">
        <f ca="1">_xll.BDP(M12&amp;" "&amp;N12&amp;" "&amp;O12,R$2)</f>
        <v>#NAME?</v>
      </c>
      <c r="S12" s="307" t="e">
        <f ca="1">_xll.BDP(M12&amp;" "&amp;N12&amp;" "&amp;O12,S$2)</f>
        <v>#NAME?</v>
      </c>
      <c r="T12" s="307" t="e">
        <f ca="1">_xll.BDP(M12&amp;" "&amp;N12&amp;" "&amp;O12,T$2)</f>
        <v>#NAME?</v>
      </c>
      <c r="V12" s="307" t="s">
        <v>840</v>
      </c>
      <c r="W12" s="307">
        <v>32.299999999999997</v>
      </c>
      <c r="X12" s="307" t="s">
        <v>390</v>
      </c>
      <c r="Y12" s="307" t="s">
        <v>836</v>
      </c>
    </row>
    <row r="13" spans="1:25">
      <c r="B13" s="335" t="s">
        <v>374</v>
      </c>
      <c r="C13" s="335" t="s">
        <v>375</v>
      </c>
      <c r="D13" s="335" t="s">
        <v>821</v>
      </c>
      <c r="E13" s="335" t="s">
        <v>822</v>
      </c>
      <c r="F13" s="335" t="s">
        <v>376</v>
      </c>
      <c r="G13" s="335" t="s">
        <v>7</v>
      </c>
      <c r="H13" s="336" t="s">
        <v>8</v>
      </c>
      <c r="I13" s="335">
        <v>0</v>
      </c>
      <c r="J13" s="335" t="s">
        <v>823</v>
      </c>
      <c r="K13" s="335" t="s">
        <v>820</v>
      </c>
      <c r="M13" s="335" t="s">
        <v>841</v>
      </c>
      <c r="N13" s="335" t="s">
        <v>388</v>
      </c>
      <c r="O13" s="335" t="s">
        <v>389</v>
      </c>
      <c r="Q13" s="307" t="e">
        <f ca="1">_xll.BDP(M13&amp;" "&amp;N13&amp;" "&amp;O13,Q$2)</f>
        <v>#NAME?</v>
      </c>
      <c r="R13" s="307" t="e">
        <f ca="1">_xll.BDP(M13&amp;" "&amp;N13&amp;" "&amp;O13,R$2)</f>
        <v>#NAME?</v>
      </c>
      <c r="S13" s="307" t="e">
        <f ca="1">_xll.BDP(M13&amp;" "&amp;N13&amp;" "&amp;O13,S$2)</f>
        <v>#NAME?</v>
      </c>
      <c r="T13" s="307" t="e">
        <f ca="1">_xll.BDP(M13&amp;" "&amp;N13&amp;" "&amp;O13,T$2)</f>
        <v>#NAME?</v>
      </c>
      <c r="V13" s="307" t="s">
        <v>842</v>
      </c>
      <c r="W13" s="307">
        <v>40</v>
      </c>
      <c r="X13" s="307" t="s">
        <v>390</v>
      </c>
      <c r="Y13" s="307" t="s">
        <v>829</v>
      </c>
    </row>
    <row r="14" spans="1:25">
      <c r="B14" s="335" t="s">
        <v>374</v>
      </c>
      <c r="C14" s="335" t="s">
        <v>375</v>
      </c>
      <c r="D14" s="335" t="s">
        <v>821</v>
      </c>
      <c r="E14" s="335" t="s">
        <v>822</v>
      </c>
      <c r="F14" s="335" t="s">
        <v>376</v>
      </c>
      <c r="G14" s="335" t="s">
        <v>7</v>
      </c>
      <c r="H14" s="336" t="s">
        <v>9</v>
      </c>
      <c r="I14" s="335">
        <v>0</v>
      </c>
      <c r="J14" s="335" t="s">
        <v>823</v>
      </c>
      <c r="K14" s="335" t="s">
        <v>820</v>
      </c>
      <c r="M14" s="335" t="s">
        <v>843</v>
      </c>
      <c r="N14" s="335" t="s">
        <v>388</v>
      </c>
      <c r="O14" s="335" t="s">
        <v>389</v>
      </c>
      <c r="Q14" s="307" t="e">
        <f ca="1">_xll.BDP(M14&amp;" "&amp;N14&amp;" "&amp;O14,Q$2)</f>
        <v>#NAME?</v>
      </c>
      <c r="R14" s="307" t="e">
        <f ca="1">_xll.BDP(M14&amp;" "&amp;N14&amp;" "&amp;O14,R$2)</f>
        <v>#NAME?</v>
      </c>
      <c r="S14" s="307" t="e">
        <f ca="1">_xll.BDP(M14&amp;" "&amp;N14&amp;" "&amp;O14,S$2)</f>
        <v>#NAME?</v>
      </c>
      <c r="T14" s="307" t="e">
        <f ca="1">_xll.BDP(M14&amp;" "&amp;N14&amp;" "&amp;O14,T$2)</f>
        <v>#NAME?</v>
      </c>
      <c r="V14" s="307" t="s">
        <v>844</v>
      </c>
      <c r="W14" s="307">
        <v>54.4</v>
      </c>
      <c r="X14" s="307" t="s">
        <v>390</v>
      </c>
      <c r="Y14" s="307" t="s">
        <v>829</v>
      </c>
    </row>
    <row r="15" spans="1:25">
      <c r="B15" s="335" t="s">
        <v>374</v>
      </c>
      <c r="C15" s="335" t="s">
        <v>375</v>
      </c>
      <c r="D15" s="335" t="s">
        <v>821</v>
      </c>
      <c r="E15" s="335" t="s">
        <v>822</v>
      </c>
      <c r="F15" s="335" t="s">
        <v>376</v>
      </c>
      <c r="G15" s="335" t="s">
        <v>7</v>
      </c>
      <c r="H15" s="336" t="s">
        <v>10</v>
      </c>
      <c r="I15" s="335">
        <v>0</v>
      </c>
      <c r="J15" s="335" t="s">
        <v>823</v>
      </c>
      <c r="K15" s="335" t="s">
        <v>820</v>
      </c>
      <c r="M15" s="335" t="s">
        <v>845</v>
      </c>
      <c r="N15" s="335" t="s">
        <v>388</v>
      </c>
      <c r="O15" s="335" t="s">
        <v>389</v>
      </c>
      <c r="Q15" s="307" t="e">
        <f ca="1">_xll.BDP(M15&amp;" "&amp;N15&amp;" "&amp;O15,Q$2)</f>
        <v>#NAME?</v>
      </c>
      <c r="R15" s="307" t="e">
        <f ca="1">_xll.BDP(M15&amp;" "&amp;N15&amp;" "&amp;O15,R$2)</f>
        <v>#NAME?</v>
      </c>
      <c r="S15" s="307" t="e">
        <f ca="1">_xll.BDP(M15&amp;" "&amp;N15&amp;" "&amp;O15,S$2)</f>
        <v>#NAME?</v>
      </c>
      <c r="T15" s="307" t="e">
        <f ca="1">_xll.BDP(M15&amp;" "&amp;N15&amp;" "&amp;O15,T$2)</f>
        <v>#NAME?</v>
      </c>
      <c r="V15" s="307" t="s">
        <v>846</v>
      </c>
      <c r="W15" s="307">
        <v>63.7</v>
      </c>
      <c r="X15" s="307" t="s">
        <v>390</v>
      </c>
      <c r="Y15" s="307" t="s">
        <v>847</v>
      </c>
    </row>
    <row r="16" spans="1:25">
      <c r="B16" s="335" t="s">
        <v>374</v>
      </c>
      <c r="C16" s="335" t="s">
        <v>375</v>
      </c>
      <c r="D16" s="335" t="s">
        <v>821</v>
      </c>
      <c r="E16" s="335" t="s">
        <v>822</v>
      </c>
      <c r="F16" s="335" t="s">
        <v>376</v>
      </c>
      <c r="G16" s="335" t="s">
        <v>7</v>
      </c>
      <c r="H16" s="336" t="s">
        <v>11</v>
      </c>
      <c r="I16" s="335">
        <v>0</v>
      </c>
      <c r="J16" s="335" t="s">
        <v>823</v>
      </c>
      <c r="K16" s="335" t="s">
        <v>820</v>
      </c>
      <c r="M16" s="335" t="s">
        <v>848</v>
      </c>
      <c r="N16" s="335" t="s">
        <v>388</v>
      </c>
      <c r="O16" s="335" t="s">
        <v>389</v>
      </c>
      <c r="Q16" s="307" t="e">
        <f ca="1">_xll.BDP(M16&amp;" "&amp;N16&amp;" "&amp;O16,Q$2)</f>
        <v>#NAME?</v>
      </c>
      <c r="R16" s="307" t="e">
        <f ca="1">_xll.BDP(M16&amp;" "&amp;N16&amp;" "&amp;O16,R$2)</f>
        <v>#NAME?</v>
      </c>
      <c r="S16" s="307" t="e">
        <f ca="1">_xll.BDP(M16&amp;" "&amp;N16&amp;" "&amp;O16,S$2)</f>
        <v>#NAME?</v>
      </c>
      <c r="T16" s="307" t="e">
        <f ca="1">_xll.BDP(M16&amp;" "&amp;N16&amp;" "&amp;O16,T$2)</f>
        <v>#NAME?</v>
      </c>
      <c r="V16" s="307" t="s">
        <v>849</v>
      </c>
      <c r="W16" s="307">
        <v>69.5</v>
      </c>
      <c r="X16" s="307" t="s">
        <v>390</v>
      </c>
      <c r="Y16" s="307" t="s">
        <v>847</v>
      </c>
    </row>
    <row r="17" spans="2:25">
      <c r="B17" s="335" t="s">
        <v>374</v>
      </c>
      <c r="C17" s="335" t="s">
        <v>375</v>
      </c>
      <c r="D17" s="335" t="s">
        <v>821</v>
      </c>
      <c r="E17" s="335" t="s">
        <v>822</v>
      </c>
      <c r="F17" s="335" t="s">
        <v>376</v>
      </c>
      <c r="G17" s="335" t="s">
        <v>7</v>
      </c>
      <c r="H17" s="336" t="s">
        <v>13</v>
      </c>
      <c r="I17" s="335">
        <v>0</v>
      </c>
      <c r="J17" s="335" t="s">
        <v>823</v>
      </c>
      <c r="K17" s="335" t="s">
        <v>820</v>
      </c>
      <c r="M17" s="335" t="s">
        <v>850</v>
      </c>
      <c r="N17" s="335" t="s">
        <v>388</v>
      </c>
      <c r="O17" s="335" t="s">
        <v>389</v>
      </c>
      <c r="Q17" s="307" t="e">
        <f ca="1">_xll.BDP(M17&amp;" "&amp;N17&amp;" "&amp;O17,Q$2)</f>
        <v>#NAME?</v>
      </c>
      <c r="R17" s="307" t="e">
        <f ca="1">_xll.BDP(M17&amp;" "&amp;N17&amp;" "&amp;O17,R$2)</f>
        <v>#NAME?</v>
      </c>
      <c r="S17" s="307" t="e">
        <f ca="1">_xll.BDP(M17&amp;" "&amp;N17&amp;" "&amp;O17,S$2)</f>
        <v>#NAME?</v>
      </c>
      <c r="T17" s="307" t="e">
        <f ca="1">_xll.BDP(M17&amp;" "&amp;N17&amp;" "&amp;O17,T$2)</f>
        <v>#NAME?</v>
      </c>
      <c r="V17" s="307" t="s">
        <v>851</v>
      </c>
      <c r="W17" s="307">
        <v>72.5</v>
      </c>
      <c r="X17" s="307" t="s">
        <v>390</v>
      </c>
      <c r="Y17" s="307" t="s">
        <v>847</v>
      </c>
    </row>
    <row r="18" spans="2:25">
      <c r="B18" s="335" t="s">
        <v>374</v>
      </c>
      <c r="C18" s="335" t="s">
        <v>375</v>
      </c>
      <c r="D18" s="335" t="s">
        <v>821</v>
      </c>
      <c r="E18" s="335" t="s">
        <v>822</v>
      </c>
      <c r="F18" s="335" t="s">
        <v>376</v>
      </c>
      <c r="G18" s="335" t="s">
        <v>7</v>
      </c>
      <c r="H18" s="336" t="s">
        <v>16</v>
      </c>
      <c r="I18" s="335">
        <v>0</v>
      </c>
      <c r="J18" s="335" t="s">
        <v>823</v>
      </c>
      <c r="K18" s="335" t="s">
        <v>820</v>
      </c>
      <c r="M18" s="335" t="s">
        <v>852</v>
      </c>
      <c r="N18" s="335" t="s">
        <v>388</v>
      </c>
      <c r="O18" s="335" t="s">
        <v>389</v>
      </c>
      <c r="Q18" s="307" t="e">
        <f ca="1">_xll.BDP(M18&amp;" "&amp;N18&amp;" "&amp;O18,Q$2)</f>
        <v>#NAME?</v>
      </c>
      <c r="R18" s="307" t="e">
        <f ca="1">_xll.BDP(M18&amp;" "&amp;N18&amp;" "&amp;O18,R$2)</f>
        <v>#NAME?</v>
      </c>
      <c r="S18" s="307" t="e">
        <f ca="1">_xll.BDP(M18&amp;" "&amp;N18&amp;" "&amp;O18,S$2)</f>
        <v>#NAME?</v>
      </c>
      <c r="T18" s="307" t="e">
        <f ca="1">_xll.BDP(M18&amp;" "&amp;N18&amp;" "&amp;O18,T$2)</f>
        <v>#NAME?</v>
      </c>
      <c r="V18" s="307" t="s">
        <v>853</v>
      </c>
      <c r="W18" s="307">
        <v>73</v>
      </c>
      <c r="X18" s="307" t="s">
        <v>390</v>
      </c>
      <c r="Y18" s="307" t="s">
        <v>847</v>
      </c>
    </row>
    <row r="19" spans="2:25">
      <c r="B19" s="335" t="s">
        <v>374</v>
      </c>
      <c r="C19" s="335" t="s">
        <v>375</v>
      </c>
      <c r="D19" s="335" t="s">
        <v>821</v>
      </c>
      <c r="E19" s="335" t="s">
        <v>822</v>
      </c>
      <c r="F19" s="335" t="s">
        <v>376</v>
      </c>
      <c r="G19" s="335" t="s">
        <v>7</v>
      </c>
      <c r="H19" s="336" t="s">
        <v>17</v>
      </c>
      <c r="I19" s="335">
        <v>0</v>
      </c>
      <c r="J19" s="335" t="s">
        <v>823</v>
      </c>
      <c r="K19" s="335" t="s">
        <v>820</v>
      </c>
      <c r="M19" s="335" t="s">
        <v>854</v>
      </c>
      <c r="N19" s="335" t="s">
        <v>388</v>
      </c>
      <c r="O19" s="335" t="s">
        <v>389</v>
      </c>
      <c r="Q19" s="307" t="e">
        <f ca="1">_xll.BDP(M19&amp;" "&amp;N19&amp;" "&amp;O19,Q$2)</f>
        <v>#NAME?</v>
      </c>
      <c r="R19" s="307" t="e">
        <f ca="1">_xll.BDP(M19&amp;" "&amp;N19&amp;" "&amp;O19,R$2)</f>
        <v>#NAME?</v>
      </c>
      <c r="S19" s="307" t="e">
        <f ca="1">_xll.BDP(M19&amp;" "&amp;N19&amp;" "&amp;O19,S$2)</f>
        <v>#NAME?</v>
      </c>
      <c r="T19" s="307" t="e">
        <f ca="1">_xll.BDP(M19&amp;" "&amp;N19&amp;" "&amp;O19,T$2)</f>
        <v>#NAME?</v>
      </c>
      <c r="V19" s="307" t="s">
        <v>855</v>
      </c>
      <c r="W19" s="307">
        <v>70.099999999999994</v>
      </c>
      <c r="X19" s="307" t="s">
        <v>390</v>
      </c>
      <c r="Y19" s="307" t="s">
        <v>856</v>
      </c>
    </row>
    <row r="20" spans="2:25">
      <c r="B20" s="335" t="s">
        <v>374</v>
      </c>
      <c r="C20" s="335" t="s">
        <v>375</v>
      </c>
      <c r="D20" s="335" t="s">
        <v>821</v>
      </c>
      <c r="E20" s="335" t="s">
        <v>822</v>
      </c>
      <c r="F20" s="335" t="s">
        <v>376</v>
      </c>
      <c r="G20" s="335" t="s">
        <v>7</v>
      </c>
      <c r="H20" s="336" t="s">
        <v>104</v>
      </c>
      <c r="I20" s="335">
        <v>0</v>
      </c>
      <c r="J20" s="335" t="s">
        <v>823</v>
      </c>
      <c r="K20" s="335" t="s">
        <v>820</v>
      </c>
      <c r="M20" s="335" t="s">
        <v>857</v>
      </c>
      <c r="N20" s="335" t="s">
        <v>388</v>
      </c>
      <c r="O20" s="335" t="s">
        <v>389</v>
      </c>
      <c r="Q20" s="307" t="e">
        <f ca="1">_xll.BDP(M20&amp;" "&amp;N20&amp;" "&amp;O20,Q$2)</f>
        <v>#NAME?</v>
      </c>
      <c r="R20" s="307" t="e">
        <f ca="1">_xll.BDP(M20&amp;" "&amp;N20&amp;" "&amp;O20,R$2)</f>
        <v>#NAME?</v>
      </c>
      <c r="S20" s="307" t="e">
        <f ca="1">_xll.BDP(M20&amp;" "&amp;N20&amp;" "&amp;O20,S$2)</f>
        <v>#NAME?</v>
      </c>
      <c r="T20" s="307" t="e">
        <f ca="1">_xll.BDP(M20&amp;" "&amp;N20&amp;" "&amp;O20,T$2)</f>
        <v>#NAME?</v>
      </c>
      <c r="V20" s="307" t="s">
        <v>858</v>
      </c>
      <c r="W20" s="307">
        <v>66.900000000000006</v>
      </c>
      <c r="X20" s="307" t="s">
        <v>390</v>
      </c>
      <c r="Y20" s="307" t="s">
        <v>859</v>
      </c>
    </row>
    <row r="21" spans="2:25">
      <c r="B21" s="335" t="s">
        <v>374</v>
      </c>
      <c r="C21" s="335" t="s">
        <v>375</v>
      </c>
      <c r="D21" s="335" t="s">
        <v>821</v>
      </c>
      <c r="E21" s="335" t="s">
        <v>822</v>
      </c>
      <c r="F21" s="335" t="s">
        <v>376</v>
      </c>
      <c r="G21" s="335" t="s">
        <v>8</v>
      </c>
      <c r="H21" s="335" t="s">
        <v>23</v>
      </c>
      <c r="I21" s="335">
        <v>0</v>
      </c>
      <c r="J21" s="335" t="s">
        <v>823</v>
      </c>
      <c r="K21" s="335" t="s">
        <v>820</v>
      </c>
      <c r="M21" s="335" t="s">
        <v>860</v>
      </c>
      <c r="N21" s="335" t="s">
        <v>388</v>
      </c>
      <c r="O21" s="335" t="s">
        <v>389</v>
      </c>
      <c r="Q21" s="307" t="e">
        <f ca="1">_xll.BDP(M21&amp;" "&amp;N21&amp;" "&amp;O21,Q$2)</f>
        <v>#NAME?</v>
      </c>
      <c r="R21" s="307" t="e">
        <f ca="1">_xll.BDP(M21&amp;" "&amp;N21&amp;" "&amp;O21,R$2)</f>
        <v>#NAME?</v>
      </c>
      <c r="S21" s="307" t="e">
        <f ca="1">_xll.BDP(M21&amp;" "&amp;N21&amp;" "&amp;O21,S$2)</f>
        <v>#NAME?</v>
      </c>
      <c r="T21" s="307" t="e">
        <f ca="1">_xll.BDP(M21&amp;" "&amp;N21&amp;" "&amp;O21,T$2)</f>
        <v>#NAME?</v>
      </c>
      <c r="V21" s="307" t="s">
        <v>861</v>
      </c>
      <c r="W21" s="307">
        <v>16.2</v>
      </c>
      <c r="X21" s="307" t="s">
        <v>390</v>
      </c>
      <c r="Y21" s="307" t="s">
        <v>826</v>
      </c>
    </row>
    <row r="22" spans="2:25">
      <c r="B22" s="335" t="s">
        <v>374</v>
      </c>
      <c r="C22" s="335" t="s">
        <v>375</v>
      </c>
      <c r="D22" s="335" t="s">
        <v>821</v>
      </c>
      <c r="E22" s="335" t="s">
        <v>822</v>
      </c>
      <c r="F22" s="335" t="s">
        <v>376</v>
      </c>
      <c r="G22" s="335" t="s">
        <v>8</v>
      </c>
      <c r="H22" s="335" t="s">
        <v>398</v>
      </c>
      <c r="I22" s="335">
        <v>0</v>
      </c>
      <c r="J22" s="335" t="s">
        <v>823</v>
      </c>
      <c r="K22" s="335" t="s">
        <v>820</v>
      </c>
      <c r="M22" s="335" t="s">
        <v>862</v>
      </c>
      <c r="N22" s="335" t="s">
        <v>388</v>
      </c>
      <c r="O22" s="335" t="s">
        <v>389</v>
      </c>
      <c r="Q22" s="307" t="e">
        <f ca="1">_xll.BDP(M22&amp;" "&amp;N22&amp;" "&amp;O22,Q$2)</f>
        <v>#NAME?</v>
      </c>
      <c r="R22" s="307" t="e">
        <f ca="1">_xll.BDP(M22&amp;" "&amp;N22&amp;" "&amp;O22,R$2)</f>
        <v>#NAME?</v>
      </c>
      <c r="S22" s="307" t="e">
        <f ca="1">_xll.BDP(M22&amp;" "&amp;N22&amp;" "&amp;O22,S$2)</f>
        <v>#NAME?</v>
      </c>
      <c r="T22" s="307" t="e">
        <f ca="1">_xll.BDP(M22&amp;" "&amp;N22&amp;" "&amp;O22,T$2)</f>
        <v>#NAME?</v>
      </c>
      <c r="V22" s="307" t="s">
        <v>863</v>
      </c>
      <c r="W22" s="307">
        <v>16.2</v>
      </c>
      <c r="X22" s="307" t="s">
        <v>390</v>
      </c>
      <c r="Y22" s="307" t="s">
        <v>826</v>
      </c>
    </row>
    <row r="23" spans="2:25">
      <c r="B23" s="335" t="s">
        <v>374</v>
      </c>
      <c r="C23" s="335" t="s">
        <v>375</v>
      </c>
      <c r="D23" s="335" t="s">
        <v>821</v>
      </c>
      <c r="E23" s="335" t="s">
        <v>822</v>
      </c>
      <c r="F23" s="335" t="s">
        <v>376</v>
      </c>
      <c r="G23" s="335" t="s">
        <v>8</v>
      </c>
      <c r="H23" s="336" t="s">
        <v>26</v>
      </c>
      <c r="I23" s="335">
        <v>0</v>
      </c>
      <c r="J23" s="335" t="s">
        <v>823</v>
      </c>
      <c r="K23" s="335" t="s">
        <v>820</v>
      </c>
      <c r="M23" s="335" t="s">
        <v>864</v>
      </c>
      <c r="N23" s="335" t="s">
        <v>388</v>
      </c>
      <c r="O23" s="335" t="s">
        <v>389</v>
      </c>
      <c r="Q23" s="307" t="e">
        <f ca="1">_xll.BDP(M23&amp;" "&amp;N23&amp;" "&amp;O23,Q$2)</f>
        <v>#NAME?</v>
      </c>
      <c r="R23" s="307" t="e">
        <f ca="1">_xll.BDP(M23&amp;" "&amp;N23&amp;" "&amp;O23,R$2)</f>
        <v>#NAME?</v>
      </c>
      <c r="S23" s="307" t="e">
        <f ca="1">_xll.BDP(M23&amp;" "&amp;N23&amp;" "&amp;O23,S$2)</f>
        <v>#NAME?</v>
      </c>
      <c r="T23" s="307" t="e">
        <f ca="1">_xll.BDP(M23&amp;" "&amp;N23&amp;" "&amp;O23,T$2)</f>
        <v>#NAME?</v>
      </c>
      <c r="V23" s="307" t="s">
        <v>865</v>
      </c>
      <c r="W23" s="307">
        <v>15.2</v>
      </c>
      <c r="X23" s="307" t="s">
        <v>390</v>
      </c>
      <c r="Y23" s="307" t="s">
        <v>829</v>
      </c>
    </row>
    <row r="24" spans="2:25">
      <c r="B24" s="335" t="s">
        <v>374</v>
      </c>
      <c r="C24" s="335" t="s">
        <v>375</v>
      </c>
      <c r="D24" s="335" t="s">
        <v>821</v>
      </c>
      <c r="E24" s="335" t="s">
        <v>822</v>
      </c>
      <c r="F24" s="335" t="s">
        <v>376</v>
      </c>
      <c r="G24" s="335" t="s">
        <v>8</v>
      </c>
      <c r="H24" s="336" t="s">
        <v>19</v>
      </c>
      <c r="I24" s="335">
        <v>0</v>
      </c>
      <c r="J24" s="335" t="s">
        <v>823</v>
      </c>
      <c r="K24" s="335" t="s">
        <v>820</v>
      </c>
      <c r="M24" s="335" t="s">
        <v>866</v>
      </c>
      <c r="N24" s="335" t="s">
        <v>388</v>
      </c>
      <c r="O24" s="335" t="s">
        <v>389</v>
      </c>
      <c r="Q24" s="307" t="e">
        <f ca="1">_xll.BDP(M24&amp;" "&amp;N24&amp;" "&amp;O24,Q$2)</f>
        <v>#NAME?</v>
      </c>
      <c r="R24" s="307" t="e">
        <f ca="1">_xll.BDP(M24&amp;" "&amp;N24&amp;" "&amp;O24,R$2)</f>
        <v>#NAME?</v>
      </c>
      <c r="S24" s="307" t="e">
        <f ca="1">_xll.BDP(M24&amp;" "&amp;N24&amp;" "&amp;O24,S$2)</f>
        <v>#NAME?</v>
      </c>
      <c r="T24" s="307" t="e">
        <f ca="1">_xll.BDP(M24&amp;" "&amp;N24&amp;" "&amp;O24,T$2)</f>
        <v>#NAME?</v>
      </c>
      <c r="V24" s="307" t="s">
        <v>867</v>
      </c>
      <c r="W24" s="307">
        <v>19.7</v>
      </c>
      <c r="X24" s="307" t="s">
        <v>390</v>
      </c>
      <c r="Y24" s="307" t="s">
        <v>829</v>
      </c>
    </row>
    <row r="25" spans="2:25">
      <c r="B25" s="335" t="s">
        <v>374</v>
      </c>
      <c r="C25" s="335" t="s">
        <v>375</v>
      </c>
      <c r="D25" s="335" t="s">
        <v>821</v>
      </c>
      <c r="E25" s="335" t="s">
        <v>822</v>
      </c>
      <c r="F25" s="335" t="s">
        <v>376</v>
      </c>
      <c r="G25" s="335" t="s">
        <v>8</v>
      </c>
      <c r="H25" s="336" t="s">
        <v>412</v>
      </c>
      <c r="I25" s="335">
        <v>0</v>
      </c>
      <c r="J25" s="335" t="s">
        <v>823</v>
      </c>
      <c r="K25" s="335" t="s">
        <v>820</v>
      </c>
      <c r="M25" s="335" t="s">
        <v>868</v>
      </c>
      <c r="N25" s="335" t="s">
        <v>388</v>
      </c>
      <c r="O25" s="335" t="s">
        <v>389</v>
      </c>
      <c r="Q25" s="307" t="e">
        <f ca="1">_xll.BDP(M25&amp;" "&amp;N25&amp;" "&amp;O25,Q$2)</f>
        <v>#NAME?</v>
      </c>
      <c r="R25" s="307" t="e">
        <f ca="1">_xll.BDP(M25&amp;" "&amp;N25&amp;" "&amp;O25,R$2)</f>
        <v>#NAME?</v>
      </c>
      <c r="S25" s="307" t="e">
        <f ca="1">_xll.BDP(M25&amp;" "&amp;N25&amp;" "&amp;O25,S$2)</f>
        <v>#NAME?</v>
      </c>
      <c r="T25" s="307" t="e">
        <f ca="1">_xll.BDP(M25&amp;" "&amp;N25&amp;" "&amp;O25,T$2)</f>
        <v>#NAME?</v>
      </c>
      <c r="V25" s="307" t="s">
        <v>869</v>
      </c>
      <c r="W25" s="307">
        <v>24.5</v>
      </c>
      <c r="X25" s="307" t="s">
        <v>390</v>
      </c>
      <c r="Y25" s="307" t="s">
        <v>870</v>
      </c>
    </row>
    <row r="26" spans="2:25">
      <c r="B26" s="335" t="s">
        <v>374</v>
      </c>
      <c r="C26" s="335" t="s">
        <v>375</v>
      </c>
      <c r="D26" s="335" t="s">
        <v>821</v>
      </c>
      <c r="E26" s="335" t="s">
        <v>822</v>
      </c>
      <c r="F26" s="335" t="s">
        <v>376</v>
      </c>
      <c r="G26" s="335" t="s">
        <v>8</v>
      </c>
      <c r="H26" s="336" t="s">
        <v>7</v>
      </c>
      <c r="I26" s="335">
        <v>0</v>
      </c>
      <c r="J26" s="335" t="s">
        <v>823</v>
      </c>
      <c r="K26" s="335" t="s">
        <v>820</v>
      </c>
      <c r="M26" s="335" t="s">
        <v>871</v>
      </c>
      <c r="N26" s="335" t="s">
        <v>388</v>
      </c>
      <c r="O26" s="335" t="s">
        <v>389</v>
      </c>
      <c r="Q26" s="307" t="e">
        <f ca="1">_xll.BDP(M26&amp;" "&amp;N26&amp;" "&amp;O26,Q$2)</f>
        <v>#NAME?</v>
      </c>
      <c r="R26" s="307" t="e">
        <f ca="1">_xll.BDP(M26&amp;" "&amp;N26&amp;" "&amp;O26,R$2)</f>
        <v>#NAME?</v>
      </c>
      <c r="S26" s="307" t="e">
        <f ca="1">_xll.BDP(M26&amp;" "&amp;N26&amp;" "&amp;O26,S$2)</f>
        <v>#NAME?</v>
      </c>
      <c r="T26" s="307" t="e">
        <f ca="1">_xll.BDP(M26&amp;" "&amp;N26&amp;" "&amp;O26,T$2)</f>
        <v>#NAME?</v>
      </c>
      <c r="V26" s="307" t="s">
        <v>872</v>
      </c>
      <c r="W26" s="307">
        <v>29.3</v>
      </c>
      <c r="X26" s="307" t="s">
        <v>390</v>
      </c>
      <c r="Y26" s="307" t="s">
        <v>870</v>
      </c>
    </row>
    <row r="27" spans="2:25">
      <c r="B27" s="335" t="s">
        <v>374</v>
      </c>
      <c r="C27" s="335" t="s">
        <v>375</v>
      </c>
      <c r="D27" s="335" t="s">
        <v>821</v>
      </c>
      <c r="E27" s="335" t="s">
        <v>822</v>
      </c>
      <c r="F27" s="335" t="s">
        <v>376</v>
      </c>
      <c r="G27" s="335" t="s">
        <v>8</v>
      </c>
      <c r="H27" s="336" t="s">
        <v>154</v>
      </c>
      <c r="I27" s="335">
        <v>0</v>
      </c>
      <c r="J27" s="335" t="s">
        <v>823</v>
      </c>
      <c r="K27" s="335" t="s">
        <v>820</v>
      </c>
      <c r="M27" s="335" t="s">
        <v>873</v>
      </c>
      <c r="N27" s="335" t="s">
        <v>388</v>
      </c>
      <c r="O27" s="335" t="s">
        <v>389</v>
      </c>
      <c r="Q27" s="307" t="e">
        <f ca="1">_xll.BDP(M27&amp;" "&amp;N27&amp;" "&amp;O27,Q$2)</f>
        <v>#NAME?</v>
      </c>
      <c r="R27" s="307" t="e">
        <f ca="1">_xll.BDP(M27&amp;" "&amp;N27&amp;" "&amp;O27,R$2)</f>
        <v>#NAME?</v>
      </c>
      <c r="S27" s="307" t="e">
        <f ca="1">_xll.BDP(M27&amp;" "&amp;N27&amp;" "&amp;O27,S$2)</f>
        <v>#NAME?</v>
      </c>
      <c r="T27" s="307" t="e">
        <f ca="1">_xll.BDP(M27&amp;" "&amp;N27&amp;" "&amp;O27,T$2)</f>
        <v>#NAME?</v>
      </c>
      <c r="V27" s="307" t="s">
        <v>874</v>
      </c>
      <c r="W27" s="307">
        <v>37.6</v>
      </c>
      <c r="X27" s="307" t="s">
        <v>390</v>
      </c>
      <c r="Y27" s="307" t="s">
        <v>836</v>
      </c>
    </row>
    <row r="28" spans="2:25">
      <c r="B28" s="335" t="s">
        <v>374</v>
      </c>
      <c r="C28" s="335" t="s">
        <v>375</v>
      </c>
      <c r="D28" s="335" t="s">
        <v>821</v>
      </c>
      <c r="E28" s="335" t="s">
        <v>822</v>
      </c>
      <c r="F28" s="335" t="s">
        <v>376</v>
      </c>
      <c r="G28" s="335" t="s">
        <v>8</v>
      </c>
      <c r="H28" s="336" t="s">
        <v>8</v>
      </c>
      <c r="I28" s="335">
        <v>0</v>
      </c>
      <c r="J28" s="335" t="s">
        <v>823</v>
      </c>
      <c r="K28" s="335" t="s">
        <v>820</v>
      </c>
      <c r="M28" s="335" t="s">
        <v>875</v>
      </c>
      <c r="N28" s="335" t="s">
        <v>388</v>
      </c>
      <c r="O28" s="335" t="s">
        <v>389</v>
      </c>
      <c r="Q28" s="307" t="e">
        <f ca="1">_xll.BDP(M28&amp;" "&amp;N28&amp;" "&amp;O28,Q$2)</f>
        <v>#NAME?</v>
      </c>
      <c r="R28" s="307" t="e">
        <f ca="1">_xll.BDP(M28&amp;" "&amp;N28&amp;" "&amp;O28,R$2)</f>
        <v>#NAME?</v>
      </c>
      <c r="S28" s="307" t="e">
        <f ca="1">_xll.BDP(M28&amp;" "&amp;N28&amp;" "&amp;O28,S$2)</f>
        <v>#NAME?</v>
      </c>
      <c r="T28" s="307" t="e">
        <f ca="1">_xll.BDP(M28&amp;" "&amp;N28&amp;" "&amp;O28,T$2)</f>
        <v>#NAME?</v>
      </c>
      <c r="V28" s="307" t="s">
        <v>876</v>
      </c>
      <c r="W28" s="307">
        <v>44.9</v>
      </c>
      <c r="X28" s="307" t="s">
        <v>390</v>
      </c>
      <c r="Y28" s="307" t="s">
        <v>829</v>
      </c>
    </row>
    <row r="29" spans="2:25">
      <c r="B29" s="335" t="s">
        <v>374</v>
      </c>
      <c r="C29" s="335" t="s">
        <v>375</v>
      </c>
      <c r="D29" s="335" t="s">
        <v>821</v>
      </c>
      <c r="E29" s="335" t="s">
        <v>822</v>
      </c>
      <c r="F29" s="335" t="s">
        <v>376</v>
      </c>
      <c r="G29" s="335" t="s">
        <v>8</v>
      </c>
      <c r="H29" s="336" t="s">
        <v>9</v>
      </c>
      <c r="I29" s="335">
        <v>0</v>
      </c>
      <c r="J29" s="335" t="s">
        <v>823</v>
      </c>
      <c r="K29" s="335" t="s">
        <v>820</v>
      </c>
      <c r="M29" s="335" t="s">
        <v>877</v>
      </c>
      <c r="N29" s="335" t="s">
        <v>388</v>
      </c>
      <c r="O29" s="335" t="s">
        <v>389</v>
      </c>
      <c r="Q29" s="307" t="e">
        <f ca="1">_xll.BDP(M29&amp;" "&amp;N29&amp;" "&amp;O29,Q$2)</f>
        <v>#NAME?</v>
      </c>
      <c r="R29" s="307" t="e">
        <f ca="1">_xll.BDP(M29&amp;" "&amp;N29&amp;" "&amp;O29,R$2)</f>
        <v>#NAME?</v>
      </c>
      <c r="S29" s="307" t="e">
        <f ca="1">_xll.BDP(M29&amp;" "&amp;N29&amp;" "&amp;O29,S$2)</f>
        <v>#NAME?</v>
      </c>
      <c r="T29" s="307" t="e">
        <f ca="1">_xll.BDP(M29&amp;" "&amp;N29&amp;" "&amp;O29,T$2)</f>
        <v>#NAME?</v>
      </c>
      <c r="V29" s="307" t="s">
        <v>878</v>
      </c>
      <c r="W29" s="307">
        <v>57.5</v>
      </c>
      <c r="X29" s="307" t="s">
        <v>390</v>
      </c>
      <c r="Y29" s="307" t="s">
        <v>826</v>
      </c>
    </row>
    <row r="30" spans="2:25">
      <c r="B30" s="335" t="s">
        <v>374</v>
      </c>
      <c r="C30" s="335" t="s">
        <v>375</v>
      </c>
      <c r="D30" s="335" t="s">
        <v>821</v>
      </c>
      <c r="E30" s="335" t="s">
        <v>822</v>
      </c>
      <c r="F30" s="335" t="s">
        <v>376</v>
      </c>
      <c r="G30" s="335" t="s">
        <v>8</v>
      </c>
      <c r="H30" s="336" t="s">
        <v>10</v>
      </c>
      <c r="I30" s="335">
        <v>0</v>
      </c>
      <c r="J30" s="335" t="s">
        <v>823</v>
      </c>
      <c r="K30" s="335" t="s">
        <v>820</v>
      </c>
      <c r="M30" s="335" t="s">
        <v>879</v>
      </c>
      <c r="N30" s="335" t="s">
        <v>388</v>
      </c>
      <c r="O30" s="335" t="s">
        <v>389</v>
      </c>
      <c r="Q30" s="307" t="e">
        <f ca="1">_xll.BDP(M30&amp;" "&amp;N30&amp;" "&amp;O30,Q$2)</f>
        <v>#NAME?</v>
      </c>
      <c r="R30" s="307" t="e">
        <f ca="1">_xll.BDP(M30&amp;" "&amp;N30&amp;" "&amp;O30,R$2)</f>
        <v>#NAME?</v>
      </c>
      <c r="S30" s="307" t="e">
        <f ca="1">_xll.BDP(M30&amp;" "&amp;N30&amp;" "&amp;O30,S$2)</f>
        <v>#NAME?</v>
      </c>
      <c r="T30" s="307" t="e">
        <f ca="1">_xll.BDP(M30&amp;" "&amp;N30&amp;" "&amp;O30,T$2)</f>
        <v>#NAME?</v>
      </c>
      <c r="V30" s="307" t="s">
        <v>880</v>
      </c>
      <c r="W30" s="307">
        <v>65.400000000000006</v>
      </c>
      <c r="X30" s="307" t="s">
        <v>390</v>
      </c>
      <c r="Y30" s="307" t="s">
        <v>847</v>
      </c>
    </row>
    <row r="31" spans="2:25">
      <c r="B31" s="335" t="s">
        <v>374</v>
      </c>
      <c r="C31" s="335" t="s">
        <v>375</v>
      </c>
      <c r="D31" s="335" t="s">
        <v>821</v>
      </c>
      <c r="E31" s="335" t="s">
        <v>822</v>
      </c>
      <c r="F31" s="335" t="s">
        <v>376</v>
      </c>
      <c r="G31" s="335" t="s">
        <v>8</v>
      </c>
      <c r="H31" s="336" t="s">
        <v>11</v>
      </c>
      <c r="I31" s="335">
        <v>0</v>
      </c>
      <c r="J31" s="335" t="s">
        <v>823</v>
      </c>
      <c r="K31" s="335" t="s">
        <v>820</v>
      </c>
      <c r="M31" s="335" t="s">
        <v>881</v>
      </c>
      <c r="N31" s="335" t="s">
        <v>388</v>
      </c>
      <c r="O31" s="335" t="s">
        <v>389</v>
      </c>
      <c r="Q31" s="307" t="e">
        <f ca="1">_xll.BDP(M31&amp;" "&amp;N31&amp;" "&amp;O31,Q$2)</f>
        <v>#NAME?</v>
      </c>
      <c r="R31" s="307" t="e">
        <f ca="1">_xll.BDP(M31&amp;" "&amp;N31&amp;" "&amp;O31,R$2)</f>
        <v>#NAME?</v>
      </c>
      <c r="S31" s="307" t="e">
        <f ca="1">_xll.BDP(M31&amp;" "&amp;N31&amp;" "&amp;O31,S$2)</f>
        <v>#NAME?</v>
      </c>
      <c r="T31" s="307" t="e">
        <f ca="1">_xll.BDP(M31&amp;" "&amp;N31&amp;" "&amp;O31,T$2)</f>
        <v>#NAME?</v>
      </c>
      <c r="V31" s="307" t="s">
        <v>882</v>
      </c>
      <c r="W31" s="307">
        <v>70</v>
      </c>
      <c r="X31" s="307" t="s">
        <v>390</v>
      </c>
      <c r="Y31" s="307" t="s">
        <v>847</v>
      </c>
    </row>
    <row r="32" spans="2:25">
      <c r="B32" s="335" t="s">
        <v>374</v>
      </c>
      <c r="C32" s="335" t="s">
        <v>375</v>
      </c>
      <c r="D32" s="335" t="s">
        <v>821</v>
      </c>
      <c r="E32" s="335" t="s">
        <v>822</v>
      </c>
      <c r="F32" s="335" t="s">
        <v>376</v>
      </c>
      <c r="G32" s="335" t="s">
        <v>8</v>
      </c>
      <c r="H32" s="336" t="s">
        <v>13</v>
      </c>
      <c r="I32" s="335">
        <v>0</v>
      </c>
      <c r="J32" s="335" t="s">
        <v>823</v>
      </c>
      <c r="K32" s="335" t="s">
        <v>820</v>
      </c>
      <c r="M32" s="335" t="s">
        <v>883</v>
      </c>
      <c r="N32" s="335" t="s">
        <v>388</v>
      </c>
      <c r="O32" s="335" t="s">
        <v>389</v>
      </c>
      <c r="Q32" s="307" t="e">
        <f ca="1">_xll.BDP(M32&amp;" "&amp;N32&amp;" "&amp;O32,Q$2)</f>
        <v>#NAME?</v>
      </c>
      <c r="R32" s="307" t="e">
        <f ca="1">_xll.BDP(M32&amp;" "&amp;N32&amp;" "&amp;O32,R$2)</f>
        <v>#NAME?</v>
      </c>
      <c r="S32" s="307" t="e">
        <f ca="1">_xll.BDP(M32&amp;" "&amp;N32&amp;" "&amp;O32,S$2)</f>
        <v>#NAME?</v>
      </c>
      <c r="T32" s="307" t="e">
        <f ca="1">_xll.BDP(M32&amp;" "&amp;N32&amp;" "&amp;O32,T$2)</f>
        <v>#NAME?</v>
      </c>
      <c r="V32" s="307" t="s">
        <v>884</v>
      </c>
      <c r="W32" s="307">
        <v>72.7</v>
      </c>
      <c r="X32" s="307" t="s">
        <v>390</v>
      </c>
      <c r="Y32" s="307" t="s">
        <v>847</v>
      </c>
    </row>
    <row r="33" spans="2:25">
      <c r="B33" s="335" t="s">
        <v>374</v>
      </c>
      <c r="C33" s="335" t="s">
        <v>375</v>
      </c>
      <c r="D33" s="335" t="s">
        <v>821</v>
      </c>
      <c r="E33" s="335" t="s">
        <v>822</v>
      </c>
      <c r="F33" s="335" t="s">
        <v>376</v>
      </c>
      <c r="G33" s="335" t="s">
        <v>8</v>
      </c>
      <c r="H33" s="336" t="s">
        <v>16</v>
      </c>
      <c r="I33" s="335">
        <v>0</v>
      </c>
      <c r="J33" s="335" t="s">
        <v>823</v>
      </c>
      <c r="K33" s="335" t="s">
        <v>820</v>
      </c>
      <c r="M33" s="335" t="s">
        <v>885</v>
      </c>
      <c r="N33" s="335" t="s">
        <v>388</v>
      </c>
      <c r="O33" s="335" t="s">
        <v>389</v>
      </c>
      <c r="Q33" s="307" t="e">
        <f ca="1">_xll.BDP(M33&amp;" "&amp;N33&amp;" "&amp;O33,Q$2)</f>
        <v>#NAME?</v>
      </c>
      <c r="R33" s="307" t="e">
        <f ca="1">_xll.BDP(M33&amp;" "&amp;N33&amp;" "&amp;O33,R$2)</f>
        <v>#NAME?</v>
      </c>
      <c r="S33" s="307" t="e">
        <f ca="1">_xll.BDP(M33&amp;" "&amp;N33&amp;" "&amp;O33,S$2)</f>
        <v>#NAME?</v>
      </c>
      <c r="T33" s="307" t="e">
        <f ca="1">_xll.BDP(M33&amp;" "&amp;N33&amp;" "&amp;O33,T$2)</f>
        <v>#NAME?</v>
      </c>
      <c r="V33" s="307" t="s">
        <v>886</v>
      </c>
      <c r="W33" s="307">
        <v>73.5</v>
      </c>
      <c r="X33" s="307" t="s">
        <v>390</v>
      </c>
      <c r="Y33" s="307" t="s">
        <v>847</v>
      </c>
    </row>
    <row r="34" spans="2:25">
      <c r="B34" s="335" t="s">
        <v>374</v>
      </c>
      <c r="C34" s="335" t="s">
        <v>375</v>
      </c>
      <c r="D34" s="335" t="s">
        <v>821</v>
      </c>
      <c r="E34" s="335" t="s">
        <v>822</v>
      </c>
      <c r="F34" s="335" t="s">
        <v>376</v>
      </c>
      <c r="G34" s="335" t="s">
        <v>8</v>
      </c>
      <c r="H34" s="336" t="s">
        <v>17</v>
      </c>
      <c r="I34" s="335">
        <v>0</v>
      </c>
      <c r="J34" s="335" t="s">
        <v>823</v>
      </c>
      <c r="K34" s="335" t="s">
        <v>820</v>
      </c>
      <c r="M34" s="335" t="s">
        <v>887</v>
      </c>
      <c r="N34" s="335" t="s">
        <v>388</v>
      </c>
      <c r="O34" s="335" t="s">
        <v>389</v>
      </c>
      <c r="Q34" s="307" t="e">
        <f ca="1">_xll.BDP(M34&amp;" "&amp;N34&amp;" "&amp;O34,Q$2)</f>
        <v>#NAME?</v>
      </c>
      <c r="R34" s="307" t="e">
        <f ca="1">_xll.BDP(M34&amp;" "&amp;N34&amp;" "&amp;O34,R$2)</f>
        <v>#NAME?</v>
      </c>
      <c r="S34" s="307" t="e">
        <f ca="1">_xll.BDP(M34&amp;" "&amp;N34&amp;" "&amp;O34,S$2)</f>
        <v>#NAME?</v>
      </c>
      <c r="T34" s="307" t="e">
        <f ca="1">_xll.BDP(M34&amp;" "&amp;N34&amp;" "&amp;O34,T$2)</f>
        <v>#NAME?</v>
      </c>
      <c r="V34" s="307" t="s">
        <v>888</v>
      </c>
      <c r="W34" s="307">
        <v>70.8</v>
      </c>
      <c r="X34" s="307" t="s">
        <v>390</v>
      </c>
      <c r="Y34" s="307" t="s">
        <v>847</v>
      </c>
    </row>
    <row r="35" spans="2:25">
      <c r="B35" s="335" t="s">
        <v>374</v>
      </c>
      <c r="C35" s="335" t="s">
        <v>375</v>
      </c>
      <c r="D35" s="335" t="s">
        <v>821</v>
      </c>
      <c r="E35" s="335" t="s">
        <v>822</v>
      </c>
      <c r="F35" s="335" t="s">
        <v>376</v>
      </c>
      <c r="G35" s="335" t="s">
        <v>8</v>
      </c>
      <c r="H35" s="336" t="s">
        <v>104</v>
      </c>
      <c r="I35" s="335">
        <v>0</v>
      </c>
      <c r="J35" s="335" t="s">
        <v>823</v>
      </c>
      <c r="K35" s="335" t="s">
        <v>820</v>
      </c>
      <c r="M35" s="335" t="s">
        <v>889</v>
      </c>
      <c r="N35" s="335" t="s">
        <v>388</v>
      </c>
      <c r="O35" s="335" t="s">
        <v>389</v>
      </c>
      <c r="Q35" s="307" t="e">
        <f ca="1">_xll.BDP(M35&amp;" "&amp;N35&amp;" "&amp;O35,Q$2)</f>
        <v>#NAME?</v>
      </c>
      <c r="R35" s="307" t="e">
        <f ca="1">_xll.BDP(M35&amp;" "&amp;N35&amp;" "&amp;O35,R$2)</f>
        <v>#NAME?</v>
      </c>
      <c r="S35" s="307" t="e">
        <f ca="1">_xll.BDP(M35&amp;" "&amp;N35&amp;" "&amp;O35,S$2)</f>
        <v>#NAME?</v>
      </c>
      <c r="T35" s="307" t="e">
        <f ca="1">_xll.BDP(M35&amp;" "&amp;N35&amp;" "&amp;O35,T$2)</f>
        <v>#NAME?</v>
      </c>
      <c r="V35" s="307" t="s">
        <v>890</v>
      </c>
      <c r="W35" s="307">
        <v>67.7</v>
      </c>
      <c r="X35" s="307" t="s">
        <v>390</v>
      </c>
      <c r="Y35" s="307" t="s">
        <v>859</v>
      </c>
    </row>
    <row r="36" spans="2:25">
      <c r="B36" s="335" t="s">
        <v>374</v>
      </c>
      <c r="C36" s="335" t="s">
        <v>375</v>
      </c>
      <c r="D36" s="335" t="s">
        <v>821</v>
      </c>
      <c r="E36" s="335" t="s">
        <v>822</v>
      </c>
      <c r="F36" s="335" t="s">
        <v>376</v>
      </c>
      <c r="G36" s="335" t="s">
        <v>9</v>
      </c>
      <c r="H36" s="335" t="s">
        <v>23</v>
      </c>
      <c r="I36" s="335">
        <v>0</v>
      </c>
      <c r="J36" s="335" t="s">
        <v>823</v>
      </c>
      <c r="K36" s="335" t="s">
        <v>820</v>
      </c>
      <c r="M36" s="335" t="s">
        <v>891</v>
      </c>
      <c r="N36" s="335" t="s">
        <v>388</v>
      </c>
      <c r="O36" s="335" t="s">
        <v>389</v>
      </c>
      <c r="Q36" s="307" t="e">
        <f ca="1">_xll.BDP(M36&amp;" "&amp;N36&amp;" "&amp;O36,Q$2)</f>
        <v>#NAME?</v>
      </c>
      <c r="R36" s="307" t="e">
        <f ca="1">_xll.BDP(M36&amp;" "&amp;N36&amp;" "&amp;O36,R$2)</f>
        <v>#NAME?</v>
      </c>
      <c r="S36" s="307" t="e">
        <f ca="1">_xll.BDP(M36&amp;" "&amp;N36&amp;" "&amp;O36,S$2)</f>
        <v>#NAME?</v>
      </c>
      <c r="T36" s="307" t="e">
        <f ca="1">_xll.BDP(M36&amp;" "&amp;N36&amp;" "&amp;O36,T$2)</f>
        <v>#NAME?</v>
      </c>
      <c r="V36" s="307" t="s">
        <v>892</v>
      </c>
      <c r="W36" s="307">
        <v>20.8</v>
      </c>
      <c r="X36" s="307" t="s">
        <v>390</v>
      </c>
      <c r="Y36" s="307" t="s">
        <v>893</v>
      </c>
    </row>
    <row r="37" spans="2:25">
      <c r="B37" s="335" t="s">
        <v>374</v>
      </c>
      <c r="C37" s="335" t="s">
        <v>375</v>
      </c>
      <c r="D37" s="335" t="s">
        <v>821</v>
      </c>
      <c r="E37" s="335" t="s">
        <v>822</v>
      </c>
      <c r="F37" s="335" t="s">
        <v>376</v>
      </c>
      <c r="G37" s="335" t="s">
        <v>9</v>
      </c>
      <c r="H37" s="335" t="s">
        <v>398</v>
      </c>
      <c r="I37" s="335">
        <v>0</v>
      </c>
      <c r="J37" s="335" t="s">
        <v>823</v>
      </c>
      <c r="K37" s="335" t="s">
        <v>820</v>
      </c>
      <c r="M37" s="335" t="s">
        <v>894</v>
      </c>
      <c r="N37" s="335" t="s">
        <v>388</v>
      </c>
      <c r="O37" s="335" t="s">
        <v>389</v>
      </c>
      <c r="Q37" s="307" t="e">
        <f ca="1">_xll.BDP(M37&amp;" "&amp;N37&amp;" "&amp;O37,Q$2)</f>
        <v>#NAME?</v>
      </c>
      <c r="R37" s="307" t="e">
        <f ca="1">_xll.BDP(M37&amp;" "&amp;N37&amp;" "&amp;O37,R$2)</f>
        <v>#NAME?</v>
      </c>
      <c r="S37" s="307" t="e">
        <f ca="1">_xll.BDP(M37&amp;" "&amp;N37&amp;" "&amp;O37,S$2)</f>
        <v>#NAME?</v>
      </c>
      <c r="T37" s="307" t="e">
        <f ca="1">_xll.BDP(M37&amp;" "&amp;N37&amp;" "&amp;O37,T$2)</f>
        <v>#NAME?</v>
      </c>
      <c r="V37" s="307" t="s">
        <v>895</v>
      </c>
      <c r="W37" s="307">
        <v>21.4</v>
      </c>
      <c r="X37" s="307" t="s">
        <v>390</v>
      </c>
      <c r="Y37" s="307" t="s">
        <v>893</v>
      </c>
    </row>
    <row r="38" spans="2:25">
      <c r="B38" s="335" t="s">
        <v>374</v>
      </c>
      <c r="C38" s="335" t="s">
        <v>375</v>
      </c>
      <c r="D38" s="335" t="s">
        <v>821</v>
      </c>
      <c r="E38" s="335" t="s">
        <v>822</v>
      </c>
      <c r="F38" s="335" t="s">
        <v>376</v>
      </c>
      <c r="G38" s="335" t="s">
        <v>9</v>
      </c>
      <c r="H38" s="336" t="s">
        <v>26</v>
      </c>
      <c r="I38" s="335">
        <v>0</v>
      </c>
      <c r="J38" s="335" t="s">
        <v>823</v>
      </c>
      <c r="K38" s="335" t="s">
        <v>820</v>
      </c>
      <c r="M38" s="335" t="s">
        <v>896</v>
      </c>
      <c r="N38" s="335" t="s">
        <v>388</v>
      </c>
      <c r="O38" s="335" t="s">
        <v>389</v>
      </c>
      <c r="Q38" s="307" t="e">
        <f ca="1">_xll.BDP(M38&amp;" "&amp;N38&amp;" "&amp;O38,Q$2)</f>
        <v>#NAME?</v>
      </c>
      <c r="R38" s="307" t="e">
        <f ca="1">_xll.BDP(M38&amp;" "&amp;N38&amp;" "&amp;O38,R$2)</f>
        <v>#NAME?</v>
      </c>
      <c r="S38" s="307" t="e">
        <f ca="1">_xll.BDP(M38&amp;" "&amp;N38&amp;" "&amp;O38,S$2)</f>
        <v>#NAME?</v>
      </c>
      <c r="T38" s="307" t="e">
        <f ca="1">_xll.BDP(M38&amp;" "&amp;N38&amp;" "&amp;O38,T$2)</f>
        <v>#NAME?</v>
      </c>
      <c r="V38" s="307" t="s">
        <v>897</v>
      </c>
      <c r="W38" s="307">
        <v>21.4</v>
      </c>
      <c r="X38" s="307" t="s">
        <v>390</v>
      </c>
      <c r="Y38" s="307" t="s">
        <v>836</v>
      </c>
    </row>
    <row r="39" spans="2:25">
      <c r="B39" s="335" t="s">
        <v>374</v>
      </c>
      <c r="C39" s="335" t="s">
        <v>375</v>
      </c>
      <c r="D39" s="335" t="s">
        <v>821</v>
      </c>
      <c r="E39" s="335" t="s">
        <v>822</v>
      </c>
      <c r="F39" s="335" t="s">
        <v>376</v>
      </c>
      <c r="G39" s="335" t="s">
        <v>9</v>
      </c>
      <c r="H39" s="336" t="s">
        <v>19</v>
      </c>
      <c r="I39" s="335">
        <v>0</v>
      </c>
      <c r="J39" s="335" t="s">
        <v>823</v>
      </c>
      <c r="K39" s="335" t="s">
        <v>820</v>
      </c>
      <c r="M39" s="335" t="s">
        <v>898</v>
      </c>
      <c r="N39" s="335" t="s">
        <v>388</v>
      </c>
      <c r="O39" s="335" t="s">
        <v>389</v>
      </c>
      <c r="Q39" s="307" t="e">
        <f ca="1">_xll.BDP(M39&amp;" "&amp;N39&amp;" "&amp;O39,Q$2)</f>
        <v>#NAME?</v>
      </c>
      <c r="R39" s="307" t="e">
        <f ca="1">_xll.BDP(M39&amp;" "&amp;N39&amp;" "&amp;O39,R$2)</f>
        <v>#NAME?</v>
      </c>
      <c r="S39" s="307" t="e">
        <f ca="1">_xll.BDP(M39&amp;" "&amp;N39&amp;" "&amp;O39,S$2)</f>
        <v>#NAME?</v>
      </c>
      <c r="T39" s="307" t="e">
        <f ca="1">_xll.BDP(M39&amp;" "&amp;N39&amp;" "&amp;O39,T$2)</f>
        <v>#NAME?</v>
      </c>
      <c r="V39" s="307" t="s">
        <v>899</v>
      </c>
      <c r="W39" s="307">
        <v>26.3</v>
      </c>
      <c r="X39" s="307" t="s">
        <v>390</v>
      </c>
      <c r="Y39" s="307" t="s">
        <v>900</v>
      </c>
    </row>
    <row r="40" spans="2:25">
      <c r="B40" s="335" t="s">
        <v>374</v>
      </c>
      <c r="C40" s="335" t="s">
        <v>375</v>
      </c>
      <c r="D40" s="335" t="s">
        <v>821</v>
      </c>
      <c r="E40" s="335" t="s">
        <v>822</v>
      </c>
      <c r="F40" s="335" t="s">
        <v>376</v>
      </c>
      <c r="G40" s="335" t="s">
        <v>9</v>
      </c>
      <c r="H40" s="336" t="s">
        <v>412</v>
      </c>
      <c r="I40" s="335">
        <v>0</v>
      </c>
      <c r="J40" s="335" t="s">
        <v>823</v>
      </c>
      <c r="K40" s="335" t="s">
        <v>820</v>
      </c>
      <c r="M40" s="335" t="s">
        <v>901</v>
      </c>
      <c r="N40" s="335" t="s">
        <v>388</v>
      </c>
      <c r="O40" s="335" t="s">
        <v>389</v>
      </c>
      <c r="Q40" s="307" t="e">
        <f ca="1">_xll.BDP(M40&amp;" "&amp;N40&amp;" "&amp;O40,Q$2)</f>
        <v>#NAME?</v>
      </c>
      <c r="R40" s="307" t="e">
        <f ca="1">_xll.BDP(M40&amp;" "&amp;N40&amp;" "&amp;O40,R$2)</f>
        <v>#NAME?</v>
      </c>
      <c r="S40" s="307" t="e">
        <f ca="1">_xll.BDP(M40&amp;" "&amp;N40&amp;" "&amp;O40,S$2)</f>
        <v>#NAME?</v>
      </c>
      <c r="T40" s="307" t="e">
        <f ca="1">_xll.BDP(M40&amp;" "&amp;N40&amp;" "&amp;O40,T$2)</f>
        <v>#NAME?</v>
      </c>
      <c r="V40" s="307" t="s">
        <v>902</v>
      </c>
      <c r="W40" s="307">
        <v>30.8</v>
      </c>
      <c r="X40" s="307" t="s">
        <v>390</v>
      </c>
      <c r="Y40" s="307" t="s">
        <v>870</v>
      </c>
    </row>
    <row r="41" spans="2:25">
      <c r="B41" s="335" t="s">
        <v>374</v>
      </c>
      <c r="C41" s="335" t="s">
        <v>375</v>
      </c>
      <c r="D41" s="335" t="s">
        <v>821</v>
      </c>
      <c r="E41" s="335" t="s">
        <v>822</v>
      </c>
      <c r="F41" s="335" t="s">
        <v>376</v>
      </c>
      <c r="G41" s="335" t="s">
        <v>9</v>
      </c>
      <c r="H41" s="336" t="s">
        <v>7</v>
      </c>
      <c r="I41" s="335">
        <v>0</v>
      </c>
      <c r="J41" s="335" t="s">
        <v>823</v>
      </c>
      <c r="K41" s="335" t="s">
        <v>820</v>
      </c>
      <c r="M41" s="335" t="s">
        <v>903</v>
      </c>
      <c r="N41" s="335" t="s">
        <v>388</v>
      </c>
      <c r="O41" s="335" t="s">
        <v>389</v>
      </c>
      <c r="Q41" s="307" t="e">
        <f ca="1">_xll.BDP(M41&amp;" "&amp;N41&amp;" "&amp;O41,Q$2)</f>
        <v>#NAME?</v>
      </c>
      <c r="R41" s="307" t="e">
        <f ca="1">_xll.BDP(M41&amp;" "&amp;N41&amp;" "&amp;O41,R$2)</f>
        <v>#NAME?</v>
      </c>
      <c r="S41" s="307" t="e">
        <f ca="1">_xll.BDP(M41&amp;" "&amp;N41&amp;" "&amp;O41,S$2)</f>
        <v>#NAME?</v>
      </c>
      <c r="T41" s="307" t="e">
        <f ca="1">_xll.BDP(M41&amp;" "&amp;N41&amp;" "&amp;O41,T$2)</f>
        <v>#NAME?</v>
      </c>
      <c r="V41" s="307" t="s">
        <v>904</v>
      </c>
      <c r="W41" s="307">
        <v>35.1</v>
      </c>
      <c r="X41" s="307" t="s">
        <v>390</v>
      </c>
      <c r="Y41" s="307" t="s">
        <v>836</v>
      </c>
    </row>
    <row r="42" spans="2:25">
      <c r="B42" s="335" t="s">
        <v>374</v>
      </c>
      <c r="C42" s="335" t="s">
        <v>375</v>
      </c>
      <c r="D42" s="335" t="s">
        <v>821</v>
      </c>
      <c r="E42" s="335" t="s">
        <v>822</v>
      </c>
      <c r="F42" s="335" t="s">
        <v>376</v>
      </c>
      <c r="G42" s="335" t="s">
        <v>9</v>
      </c>
      <c r="H42" s="336" t="s">
        <v>154</v>
      </c>
      <c r="I42" s="335">
        <v>0</v>
      </c>
      <c r="J42" s="335" t="s">
        <v>823</v>
      </c>
      <c r="K42" s="335" t="s">
        <v>820</v>
      </c>
      <c r="M42" s="335" t="s">
        <v>905</v>
      </c>
      <c r="N42" s="335" t="s">
        <v>388</v>
      </c>
      <c r="O42" s="335" t="s">
        <v>389</v>
      </c>
      <c r="Q42" s="307" t="e">
        <f ca="1">_xll.BDP(M42&amp;" "&amp;N42&amp;" "&amp;O42,Q$2)</f>
        <v>#NAME?</v>
      </c>
      <c r="R42" s="307" t="e">
        <f ca="1">_xll.BDP(M42&amp;" "&amp;N42&amp;" "&amp;O42,R$2)</f>
        <v>#NAME?</v>
      </c>
      <c r="S42" s="307" t="e">
        <f ca="1">_xll.BDP(M42&amp;" "&amp;N42&amp;" "&amp;O42,S$2)</f>
        <v>#NAME?</v>
      </c>
      <c r="T42" s="307" t="e">
        <f ca="1">_xll.BDP(M42&amp;" "&amp;N42&amp;" "&amp;O42,T$2)</f>
        <v>#NAME?</v>
      </c>
      <c r="V42" s="307" t="s">
        <v>906</v>
      </c>
      <c r="W42" s="307">
        <v>43.5</v>
      </c>
      <c r="X42" s="307" t="s">
        <v>390</v>
      </c>
      <c r="Y42" s="307" t="s">
        <v>391</v>
      </c>
    </row>
    <row r="43" spans="2:25">
      <c r="B43" s="335" t="s">
        <v>374</v>
      </c>
      <c r="C43" s="335" t="s">
        <v>375</v>
      </c>
      <c r="D43" s="335" t="s">
        <v>821</v>
      </c>
      <c r="E43" s="335" t="s">
        <v>822</v>
      </c>
      <c r="F43" s="335" t="s">
        <v>376</v>
      </c>
      <c r="G43" s="335" t="s">
        <v>9</v>
      </c>
      <c r="H43" s="336" t="s">
        <v>8</v>
      </c>
      <c r="I43" s="335">
        <v>0</v>
      </c>
      <c r="J43" s="335" t="s">
        <v>823</v>
      </c>
      <c r="K43" s="335" t="s">
        <v>820</v>
      </c>
      <c r="M43" s="335" t="s">
        <v>907</v>
      </c>
      <c r="N43" s="335" t="s">
        <v>388</v>
      </c>
      <c r="O43" s="335" t="s">
        <v>389</v>
      </c>
      <c r="Q43" s="307" t="e">
        <f ca="1">_xll.BDP(M43&amp;" "&amp;N43&amp;" "&amp;O43,Q$2)</f>
        <v>#NAME?</v>
      </c>
      <c r="R43" s="307" t="e">
        <f ca="1">_xll.BDP(M43&amp;" "&amp;N43&amp;" "&amp;O43,R$2)</f>
        <v>#NAME?</v>
      </c>
      <c r="S43" s="307" t="e">
        <f ca="1">_xll.BDP(M43&amp;" "&amp;N43&amp;" "&amp;O43,S$2)</f>
        <v>#NAME?</v>
      </c>
      <c r="T43" s="307" t="e">
        <f ca="1">_xll.BDP(M43&amp;" "&amp;N43&amp;" "&amp;O43,T$2)</f>
        <v>#NAME?</v>
      </c>
      <c r="V43" s="307" t="s">
        <v>908</v>
      </c>
      <c r="W43" s="307">
        <v>50.1</v>
      </c>
      <c r="X43" s="307" t="s">
        <v>390</v>
      </c>
      <c r="Y43" s="307" t="s">
        <v>836</v>
      </c>
    </row>
    <row r="44" spans="2:25">
      <c r="B44" s="335" t="s">
        <v>374</v>
      </c>
      <c r="C44" s="335" t="s">
        <v>375</v>
      </c>
      <c r="D44" s="335" t="s">
        <v>821</v>
      </c>
      <c r="E44" s="335" t="s">
        <v>822</v>
      </c>
      <c r="F44" s="335" t="s">
        <v>376</v>
      </c>
      <c r="G44" s="335" t="s">
        <v>9</v>
      </c>
      <c r="H44" s="336" t="s">
        <v>9</v>
      </c>
      <c r="I44" s="335">
        <v>0</v>
      </c>
      <c r="J44" s="335" t="s">
        <v>823</v>
      </c>
      <c r="K44" s="335" t="s">
        <v>820</v>
      </c>
      <c r="M44" s="335" t="s">
        <v>909</v>
      </c>
      <c r="N44" s="335" t="s">
        <v>388</v>
      </c>
      <c r="O44" s="335" t="s">
        <v>389</v>
      </c>
      <c r="Q44" s="307" t="e">
        <f ca="1">_xll.BDP(M44&amp;" "&amp;N44&amp;" "&amp;O44,Q$2)</f>
        <v>#NAME?</v>
      </c>
      <c r="R44" s="307" t="e">
        <f ca="1">_xll.BDP(M44&amp;" "&amp;N44&amp;" "&amp;O44,R$2)</f>
        <v>#NAME?</v>
      </c>
      <c r="S44" s="307" t="e">
        <f ca="1">_xll.BDP(M44&amp;" "&amp;N44&amp;" "&amp;O44,S$2)</f>
        <v>#NAME?</v>
      </c>
      <c r="T44" s="307" t="e">
        <f ca="1">_xll.BDP(M44&amp;" "&amp;N44&amp;" "&amp;O44,T$2)</f>
        <v>#NAME?</v>
      </c>
      <c r="V44" s="307" t="s">
        <v>910</v>
      </c>
      <c r="W44" s="307">
        <v>60.7</v>
      </c>
      <c r="X44" s="307" t="s">
        <v>390</v>
      </c>
      <c r="Y44" s="307" t="s">
        <v>836</v>
      </c>
    </row>
    <row r="45" spans="2:25">
      <c r="B45" s="335" t="s">
        <v>374</v>
      </c>
      <c r="C45" s="335" t="s">
        <v>375</v>
      </c>
      <c r="D45" s="335" t="s">
        <v>821</v>
      </c>
      <c r="E45" s="335" t="s">
        <v>822</v>
      </c>
      <c r="F45" s="335" t="s">
        <v>376</v>
      </c>
      <c r="G45" s="335" t="s">
        <v>9</v>
      </c>
      <c r="H45" s="336" t="s">
        <v>10</v>
      </c>
      <c r="I45" s="335">
        <v>0</v>
      </c>
      <c r="J45" s="335" t="s">
        <v>823</v>
      </c>
      <c r="K45" s="335" t="s">
        <v>820</v>
      </c>
      <c r="M45" s="335" t="s">
        <v>911</v>
      </c>
      <c r="N45" s="335" t="s">
        <v>388</v>
      </c>
      <c r="O45" s="335" t="s">
        <v>389</v>
      </c>
      <c r="Q45" s="307" t="e">
        <f ca="1">_xll.BDP(M45&amp;" "&amp;N45&amp;" "&amp;O45,Q$2)</f>
        <v>#NAME?</v>
      </c>
      <c r="R45" s="307" t="e">
        <f ca="1">_xll.BDP(M45&amp;" "&amp;N45&amp;" "&amp;O45,R$2)</f>
        <v>#NAME?</v>
      </c>
      <c r="S45" s="307" t="e">
        <f ca="1">_xll.BDP(M45&amp;" "&amp;N45&amp;" "&amp;O45,S$2)</f>
        <v>#NAME?</v>
      </c>
      <c r="T45" s="307" t="e">
        <f ca="1">_xll.BDP(M45&amp;" "&amp;N45&amp;" "&amp;O45,T$2)</f>
        <v>#NAME?</v>
      </c>
      <c r="V45" s="307" t="s">
        <v>912</v>
      </c>
      <c r="W45" s="307">
        <v>66.5</v>
      </c>
      <c r="X45" s="307" t="s">
        <v>390</v>
      </c>
      <c r="Y45" s="307" t="s">
        <v>847</v>
      </c>
    </row>
    <row r="46" spans="2:25">
      <c r="B46" s="335" t="s">
        <v>374</v>
      </c>
      <c r="C46" s="335" t="s">
        <v>375</v>
      </c>
      <c r="D46" s="335" t="s">
        <v>821</v>
      </c>
      <c r="E46" s="335" t="s">
        <v>822</v>
      </c>
      <c r="F46" s="335" t="s">
        <v>376</v>
      </c>
      <c r="G46" s="335" t="s">
        <v>9</v>
      </c>
      <c r="H46" s="336" t="s">
        <v>11</v>
      </c>
      <c r="I46" s="335">
        <v>0</v>
      </c>
      <c r="J46" s="335" t="s">
        <v>823</v>
      </c>
      <c r="K46" s="335" t="s">
        <v>820</v>
      </c>
      <c r="M46" s="335" t="s">
        <v>913</v>
      </c>
      <c r="N46" s="335" t="s">
        <v>388</v>
      </c>
      <c r="O46" s="335" t="s">
        <v>389</v>
      </c>
      <c r="Q46" s="307" t="e">
        <f ca="1">_xll.BDP(M46&amp;" "&amp;N46&amp;" "&amp;O46,Q$2)</f>
        <v>#NAME?</v>
      </c>
      <c r="R46" s="307" t="e">
        <f ca="1">_xll.BDP(M46&amp;" "&amp;N46&amp;" "&amp;O46,R$2)</f>
        <v>#NAME?</v>
      </c>
      <c r="S46" s="307" t="e">
        <f ca="1">_xll.BDP(M46&amp;" "&amp;N46&amp;" "&amp;O46,S$2)</f>
        <v>#NAME?</v>
      </c>
      <c r="T46" s="307" t="e">
        <f ca="1">_xll.BDP(M46&amp;" "&amp;N46&amp;" "&amp;O46,T$2)</f>
        <v>#NAME?</v>
      </c>
      <c r="V46" s="307" t="s">
        <v>914</v>
      </c>
      <c r="W46" s="307">
        <v>70.900000000000006</v>
      </c>
      <c r="X46" s="307" t="s">
        <v>390</v>
      </c>
      <c r="Y46" s="307" t="s">
        <v>847</v>
      </c>
    </row>
    <row r="47" spans="2:25">
      <c r="B47" s="335" t="s">
        <v>374</v>
      </c>
      <c r="C47" s="335" t="s">
        <v>375</v>
      </c>
      <c r="D47" s="335" t="s">
        <v>821</v>
      </c>
      <c r="E47" s="335" t="s">
        <v>822</v>
      </c>
      <c r="F47" s="335" t="s">
        <v>376</v>
      </c>
      <c r="G47" s="335" t="s">
        <v>9</v>
      </c>
      <c r="H47" s="336" t="s">
        <v>13</v>
      </c>
      <c r="I47" s="335">
        <v>0</v>
      </c>
      <c r="J47" s="335" t="s">
        <v>823</v>
      </c>
      <c r="K47" s="335" t="s">
        <v>820</v>
      </c>
      <c r="M47" s="335" t="s">
        <v>915</v>
      </c>
      <c r="N47" s="335" t="s">
        <v>388</v>
      </c>
      <c r="O47" s="335" t="s">
        <v>389</v>
      </c>
      <c r="Q47" s="307" t="e">
        <f ca="1">_xll.BDP(M47&amp;" "&amp;N47&amp;" "&amp;O47,Q$2)</f>
        <v>#NAME?</v>
      </c>
      <c r="R47" s="307" t="e">
        <f ca="1">_xll.BDP(M47&amp;" "&amp;N47&amp;" "&amp;O47,R$2)</f>
        <v>#NAME?</v>
      </c>
      <c r="S47" s="307" t="e">
        <f ca="1">_xll.BDP(M47&amp;" "&amp;N47&amp;" "&amp;O47,S$2)</f>
        <v>#NAME?</v>
      </c>
      <c r="T47" s="307" t="e">
        <f ca="1">_xll.BDP(M47&amp;" "&amp;N47&amp;" "&amp;O47,T$2)</f>
        <v>#NAME?</v>
      </c>
      <c r="V47" s="307" t="s">
        <v>916</v>
      </c>
      <c r="W47" s="307">
        <v>73.2</v>
      </c>
      <c r="X47" s="307" t="s">
        <v>390</v>
      </c>
      <c r="Y47" s="307" t="s">
        <v>847</v>
      </c>
    </row>
    <row r="48" spans="2:25">
      <c r="B48" s="335" t="s">
        <v>374</v>
      </c>
      <c r="C48" s="335" t="s">
        <v>375</v>
      </c>
      <c r="D48" s="335" t="s">
        <v>821</v>
      </c>
      <c r="E48" s="335" t="s">
        <v>822</v>
      </c>
      <c r="F48" s="335" t="s">
        <v>376</v>
      </c>
      <c r="G48" s="335" t="s">
        <v>9</v>
      </c>
      <c r="H48" s="336" t="s">
        <v>16</v>
      </c>
      <c r="I48" s="335">
        <v>0</v>
      </c>
      <c r="J48" s="335" t="s">
        <v>823</v>
      </c>
      <c r="K48" s="335" t="s">
        <v>820</v>
      </c>
      <c r="M48" s="335" t="s">
        <v>917</v>
      </c>
      <c r="N48" s="335" t="s">
        <v>388</v>
      </c>
      <c r="O48" s="335" t="s">
        <v>389</v>
      </c>
      <c r="Q48" s="307" t="e">
        <f ca="1">_xll.BDP(M48&amp;" "&amp;N48&amp;" "&amp;O48,Q$2)</f>
        <v>#NAME?</v>
      </c>
      <c r="R48" s="307" t="e">
        <f ca="1">_xll.BDP(M48&amp;" "&amp;N48&amp;" "&amp;O48,R$2)</f>
        <v>#NAME?</v>
      </c>
      <c r="S48" s="307" t="e">
        <f ca="1">_xll.BDP(M48&amp;" "&amp;N48&amp;" "&amp;O48,S$2)</f>
        <v>#NAME?</v>
      </c>
      <c r="T48" s="307" t="e">
        <f ca="1">_xll.BDP(M48&amp;" "&amp;N48&amp;" "&amp;O48,T$2)</f>
        <v>#NAME?</v>
      </c>
      <c r="V48" s="307" t="s">
        <v>918</v>
      </c>
      <c r="W48" s="307">
        <v>73.8</v>
      </c>
      <c r="X48" s="307" t="s">
        <v>390</v>
      </c>
      <c r="Y48" s="307" t="s">
        <v>847</v>
      </c>
    </row>
    <row r="49" spans="2:25">
      <c r="B49" s="335" t="s">
        <v>374</v>
      </c>
      <c r="C49" s="335" t="s">
        <v>375</v>
      </c>
      <c r="D49" s="335" t="s">
        <v>821</v>
      </c>
      <c r="E49" s="335" t="s">
        <v>822</v>
      </c>
      <c r="F49" s="335" t="s">
        <v>376</v>
      </c>
      <c r="G49" s="335" t="s">
        <v>9</v>
      </c>
      <c r="H49" s="336" t="s">
        <v>17</v>
      </c>
      <c r="I49" s="335">
        <v>0</v>
      </c>
      <c r="J49" s="335" t="s">
        <v>823</v>
      </c>
      <c r="K49" s="335" t="s">
        <v>820</v>
      </c>
      <c r="M49" s="335" t="s">
        <v>919</v>
      </c>
      <c r="N49" s="335" t="s">
        <v>388</v>
      </c>
      <c r="O49" s="335" t="s">
        <v>389</v>
      </c>
      <c r="Q49" s="307" t="e">
        <f ca="1">_xll.BDP(M49&amp;" "&amp;N49&amp;" "&amp;O49,Q$2)</f>
        <v>#NAME?</v>
      </c>
      <c r="R49" s="307" t="e">
        <f ca="1">_xll.BDP(M49&amp;" "&amp;N49&amp;" "&amp;O49,R$2)</f>
        <v>#NAME?</v>
      </c>
      <c r="S49" s="307" t="e">
        <f ca="1">_xll.BDP(M49&amp;" "&amp;N49&amp;" "&amp;O49,S$2)</f>
        <v>#NAME?</v>
      </c>
      <c r="T49" s="307" t="e">
        <f ca="1">_xll.BDP(M49&amp;" "&amp;N49&amp;" "&amp;O49,T$2)</f>
        <v>#NAME?</v>
      </c>
      <c r="V49" s="307" t="s">
        <v>920</v>
      </c>
      <c r="W49" s="307">
        <v>70.8</v>
      </c>
      <c r="X49" s="307" t="s">
        <v>390</v>
      </c>
      <c r="Y49" s="307" t="s">
        <v>847</v>
      </c>
    </row>
    <row r="50" spans="2:25">
      <c r="B50" s="335" t="s">
        <v>374</v>
      </c>
      <c r="C50" s="335" t="s">
        <v>375</v>
      </c>
      <c r="D50" s="335" t="s">
        <v>821</v>
      </c>
      <c r="E50" s="335" t="s">
        <v>822</v>
      </c>
      <c r="F50" s="335" t="s">
        <v>376</v>
      </c>
      <c r="G50" s="335" t="s">
        <v>9</v>
      </c>
      <c r="H50" s="336" t="s">
        <v>104</v>
      </c>
      <c r="I50" s="335">
        <v>0</v>
      </c>
      <c r="J50" s="335" t="s">
        <v>823</v>
      </c>
      <c r="K50" s="335" t="s">
        <v>820</v>
      </c>
      <c r="M50" s="335" t="s">
        <v>921</v>
      </c>
      <c r="N50" s="335" t="s">
        <v>388</v>
      </c>
      <c r="O50" s="335" t="s">
        <v>389</v>
      </c>
      <c r="Q50" s="307" t="e">
        <f ca="1">_xll.BDP(M50&amp;" "&amp;N50&amp;" "&amp;O50,Q$2)</f>
        <v>#NAME?</v>
      </c>
      <c r="R50" s="307" t="e">
        <f ca="1">_xll.BDP(M50&amp;" "&amp;N50&amp;" "&amp;O50,R$2)</f>
        <v>#NAME?</v>
      </c>
      <c r="S50" s="307" t="e">
        <f ca="1">_xll.BDP(M50&amp;" "&amp;N50&amp;" "&amp;O50,S$2)</f>
        <v>#NAME?</v>
      </c>
      <c r="T50" s="307" t="e">
        <f ca="1">_xll.BDP(M50&amp;" "&amp;N50&amp;" "&amp;O50,T$2)</f>
        <v>#NAME?</v>
      </c>
      <c r="V50" s="307" t="s">
        <v>922</v>
      </c>
      <c r="W50" s="307">
        <v>67.2</v>
      </c>
      <c r="X50" s="307" t="s">
        <v>390</v>
      </c>
      <c r="Y50" s="307" t="s">
        <v>859</v>
      </c>
    </row>
    <row r="51" spans="2:25">
      <c r="B51" s="335" t="s">
        <v>374</v>
      </c>
      <c r="C51" s="335" t="s">
        <v>375</v>
      </c>
      <c r="D51" s="335" t="s">
        <v>821</v>
      </c>
      <c r="E51" s="335" t="s">
        <v>822</v>
      </c>
      <c r="F51" s="335" t="s">
        <v>376</v>
      </c>
      <c r="G51" s="335" t="s">
        <v>10</v>
      </c>
      <c r="H51" s="335" t="s">
        <v>23</v>
      </c>
      <c r="I51" s="335">
        <v>0</v>
      </c>
      <c r="J51" s="335" t="s">
        <v>823</v>
      </c>
      <c r="K51" s="335" t="s">
        <v>820</v>
      </c>
      <c r="M51" s="335" t="s">
        <v>923</v>
      </c>
      <c r="N51" s="335" t="s">
        <v>388</v>
      </c>
      <c r="O51" s="335" t="s">
        <v>389</v>
      </c>
      <c r="Q51" s="307" t="e">
        <f ca="1">_xll.BDP(M51&amp;" "&amp;N51&amp;" "&amp;O51,Q$2)</f>
        <v>#NAME?</v>
      </c>
      <c r="R51" s="307" t="e">
        <f ca="1">_xll.BDP(M51&amp;" "&amp;N51&amp;" "&amp;O51,R$2)</f>
        <v>#NAME?</v>
      </c>
      <c r="S51" s="307" t="e">
        <f ca="1">_xll.BDP(M51&amp;" "&amp;N51&amp;" "&amp;O51,S$2)</f>
        <v>#NAME?</v>
      </c>
      <c r="T51" s="307" t="e">
        <f ca="1">_xll.BDP(M51&amp;" "&amp;N51&amp;" "&amp;O51,T$2)</f>
        <v>#NAME?</v>
      </c>
      <c r="V51" s="307" t="s">
        <v>924</v>
      </c>
      <c r="W51" s="307">
        <v>30.5</v>
      </c>
      <c r="X51" s="307" t="s">
        <v>390</v>
      </c>
      <c r="Y51" s="307" t="s">
        <v>893</v>
      </c>
    </row>
    <row r="52" spans="2:25">
      <c r="B52" s="335" t="s">
        <v>374</v>
      </c>
      <c r="C52" s="335" t="s">
        <v>375</v>
      </c>
      <c r="D52" s="335" t="s">
        <v>821</v>
      </c>
      <c r="E52" s="335" t="s">
        <v>822</v>
      </c>
      <c r="F52" s="335" t="s">
        <v>376</v>
      </c>
      <c r="G52" s="335" t="s">
        <v>10</v>
      </c>
      <c r="H52" s="335" t="s">
        <v>398</v>
      </c>
      <c r="I52" s="335">
        <v>0</v>
      </c>
      <c r="J52" s="335" t="s">
        <v>823</v>
      </c>
      <c r="K52" s="335" t="s">
        <v>820</v>
      </c>
      <c r="M52" s="335" t="s">
        <v>925</v>
      </c>
      <c r="N52" s="335" t="s">
        <v>388</v>
      </c>
      <c r="O52" s="335" t="s">
        <v>389</v>
      </c>
      <c r="Q52" s="307" t="e">
        <f ca="1">_xll.BDP(M52&amp;" "&amp;N52&amp;" "&amp;O52,Q$2)</f>
        <v>#NAME?</v>
      </c>
      <c r="R52" s="307" t="e">
        <f ca="1">_xll.BDP(M52&amp;" "&amp;N52&amp;" "&amp;O52,R$2)</f>
        <v>#NAME?</v>
      </c>
      <c r="S52" s="307" t="e">
        <f ca="1">_xll.BDP(M52&amp;" "&amp;N52&amp;" "&amp;O52,S$2)</f>
        <v>#NAME?</v>
      </c>
      <c r="T52" s="307" t="e">
        <f ca="1">_xll.BDP(M52&amp;" "&amp;N52&amp;" "&amp;O52,T$2)</f>
        <v>#NAME?</v>
      </c>
      <c r="V52" s="307" t="s">
        <v>926</v>
      </c>
      <c r="W52" s="307">
        <v>31.4</v>
      </c>
      <c r="X52" s="307" t="s">
        <v>390</v>
      </c>
      <c r="Y52" s="307" t="s">
        <v>927</v>
      </c>
    </row>
    <row r="53" spans="2:25">
      <c r="B53" s="335" t="s">
        <v>374</v>
      </c>
      <c r="C53" s="335" t="s">
        <v>375</v>
      </c>
      <c r="D53" s="335" t="s">
        <v>821</v>
      </c>
      <c r="E53" s="335" t="s">
        <v>822</v>
      </c>
      <c r="F53" s="335" t="s">
        <v>376</v>
      </c>
      <c r="G53" s="335" t="s">
        <v>10</v>
      </c>
      <c r="H53" s="336" t="s">
        <v>26</v>
      </c>
      <c r="I53" s="335">
        <v>0</v>
      </c>
      <c r="J53" s="335" t="s">
        <v>823</v>
      </c>
      <c r="K53" s="335" t="s">
        <v>820</v>
      </c>
      <c r="M53" s="335" t="s">
        <v>928</v>
      </c>
      <c r="N53" s="335" t="s">
        <v>388</v>
      </c>
      <c r="O53" s="335" t="s">
        <v>389</v>
      </c>
      <c r="Q53" s="307" t="e">
        <f ca="1">_xll.BDP(M53&amp;" "&amp;N53&amp;" "&amp;O53,Q$2)</f>
        <v>#NAME?</v>
      </c>
      <c r="R53" s="307" t="e">
        <f ca="1">_xll.BDP(M53&amp;" "&amp;N53&amp;" "&amp;O53,R$2)</f>
        <v>#NAME?</v>
      </c>
      <c r="S53" s="307" t="e">
        <f ca="1">_xll.BDP(M53&amp;" "&amp;N53&amp;" "&amp;O53,S$2)</f>
        <v>#NAME?</v>
      </c>
      <c r="T53" s="307" t="e">
        <f ca="1">_xll.BDP(M53&amp;" "&amp;N53&amp;" "&amp;O53,T$2)</f>
        <v>#NAME?</v>
      </c>
      <c r="V53" s="307" t="s">
        <v>929</v>
      </c>
      <c r="W53" s="307">
        <v>31.1</v>
      </c>
      <c r="X53" s="307" t="s">
        <v>390</v>
      </c>
      <c r="Y53" s="307" t="s">
        <v>836</v>
      </c>
    </row>
    <row r="54" spans="2:25">
      <c r="B54" s="335" t="s">
        <v>374</v>
      </c>
      <c r="C54" s="335" t="s">
        <v>375</v>
      </c>
      <c r="D54" s="335" t="s">
        <v>821</v>
      </c>
      <c r="E54" s="335" t="s">
        <v>822</v>
      </c>
      <c r="F54" s="335" t="s">
        <v>376</v>
      </c>
      <c r="G54" s="335" t="s">
        <v>10</v>
      </c>
      <c r="H54" s="336" t="s">
        <v>19</v>
      </c>
      <c r="I54" s="335">
        <v>0</v>
      </c>
      <c r="J54" s="335" t="s">
        <v>823</v>
      </c>
      <c r="K54" s="335" t="s">
        <v>820</v>
      </c>
      <c r="M54" s="335" t="s">
        <v>930</v>
      </c>
      <c r="N54" s="335" t="s">
        <v>388</v>
      </c>
      <c r="O54" s="335" t="s">
        <v>389</v>
      </c>
      <c r="Q54" s="307" t="e">
        <f ca="1">_xll.BDP(M54&amp;" "&amp;N54&amp;" "&amp;O54,Q$2)</f>
        <v>#NAME?</v>
      </c>
      <c r="R54" s="307" t="e">
        <f ca="1">_xll.BDP(M54&amp;" "&amp;N54&amp;" "&amp;O54,R$2)</f>
        <v>#NAME?</v>
      </c>
      <c r="S54" s="307" t="e">
        <f ca="1">_xll.BDP(M54&amp;" "&amp;N54&amp;" "&amp;O54,S$2)</f>
        <v>#NAME?</v>
      </c>
      <c r="T54" s="307" t="e">
        <f ca="1">_xll.BDP(M54&amp;" "&amp;N54&amp;" "&amp;O54,T$2)</f>
        <v>#NAME?</v>
      </c>
      <c r="V54" s="307" t="s">
        <v>931</v>
      </c>
      <c r="W54" s="307">
        <v>33.9</v>
      </c>
      <c r="X54" s="307" t="s">
        <v>390</v>
      </c>
      <c r="Y54" s="307" t="s">
        <v>836</v>
      </c>
    </row>
    <row r="55" spans="2:25">
      <c r="B55" s="335" t="s">
        <v>374</v>
      </c>
      <c r="C55" s="335" t="s">
        <v>375</v>
      </c>
      <c r="D55" s="335" t="s">
        <v>821</v>
      </c>
      <c r="E55" s="335" t="s">
        <v>822</v>
      </c>
      <c r="F55" s="335" t="s">
        <v>376</v>
      </c>
      <c r="G55" s="335" t="s">
        <v>10</v>
      </c>
      <c r="H55" s="336" t="s">
        <v>412</v>
      </c>
      <c r="I55" s="335">
        <v>0</v>
      </c>
      <c r="J55" s="335" t="s">
        <v>823</v>
      </c>
      <c r="K55" s="335" t="s">
        <v>820</v>
      </c>
      <c r="M55" s="335" t="s">
        <v>932</v>
      </c>
      <c r="N55" s="335" t="s">
        <v>388</v>
      </c>
      <c r="O55" s="335" t="s">
        <v>389</v>
      </c>
      <c r="Q55" s="307" t="e">
        <f ca="1">_xll.BDP(M55&amp;" "&amp;N55&amp;" "&amp;O55,Q$2)</f>
        <v>#NAME?</v>
      </c>
      <c r="R55" s="307" t="e">
        <f ca="1">_xll.BDP(M55&amp;" "&amp;N55&amp;" "&amp;O55,R$2)</f>
        <v>#NAME?</v>
      </c>
      <c r="S55" s="307" t="e">
        <f ca="1">_xll.BDP(M55&amp;" "&amp;N55&amp;" "&amp;O55,S$2)</f>
        <v>#NAME?</v>
      </c>
      <c r="T55" s="307" t="e">
        <f ca="1">_xll.BDP(M55&amp;" "&amp;N55&amp;" "&amp;O55,T$2)</f>
        <v>#NAME?</v>
      </c>
      <c r="V55" s="307" t="s">
        <v>933</v>
      </c>
      <c r="W55" s="307">
        <v>37.4</v>
      </c>
      <c r="X55" s="307" t="s">
        <v>390</v>
      </c>
      <c r="Y55" s="307" t="s">
        <v>836</v>
      </c>
    </row>
    <row r="56" spans="2:25">
      <c r="B56" s="335" t="s">
        <v>374</v>
      </c>
      <c r="C56" s="335" t="s">
        <v>375</v>
      </c>
      <c r="D56" s="335" t="s">
        <v>821</v>
      </c>
      <c r="E56" s="335" t="s">
        <v>822</v>
      </c>
      <c r="F56" s="335" t="s">
        <v>376</v>
      </c>
      <c r="G56" s="335" t="s">
        <v>10</v>
      </c>
      <c r="H56" s="336" t="s">
        <v>7</v>
      </c>
      <c r="I56" s="335">
        <v>0</v>
      </c>
      <c r="J56" s="335" t="s">
        <v>823</v>
      </c>
      <c r="K56" s="335" t="s">
        <v>820</v>
      </c>
      <c r="M56" s="335" t="s">
        <v>934</v>
      </c>
      <c r="N56" s="335" t="s">
        <v>388</v>
      </c>
      <c r="O56" s="335" t="s">
        <v>389</v>
      </c>
      <c r="Q56" s="307" t="e">
        <f ca="1">_xll.BDP(M56&amp;" "&amp;N56&amp;" "&amp;O56,Q$2)</f>
        <v>#NAME?</v>
      </c>
      <c r="R56" s="307" t="e">
        <f ca="1">_xll.BDP(M56&amp;" "&amp;N56&amp;" "&amp;O56,R$2)</f>
        <v>#NAME?</v>
      </c>
      <c r="S56" s="307" t="e">
        <f ca="1">_xll.BDP(M56&amp;" "&amp;N56&amp;" "&amp;O56,S$2)</f>
        <v>#NAME?</v>
      </c>
      <c r="T56" s="307" t="e">
        <f ca="1">_xll.BDP(M56&amp;" "&amp;N56&amp;" "&amp;O56,T$2)</f>
        <v>#NAME?</v>
      </c>
      <c r="V56" s="307" t="s">
        <v>935</v>
      </c>
      <c r="W56" s="307">
        <v>41.6</v>
      </c>
      <c r="X56" s="307" t="s">
        <v>390</v>
      </c>
      <c r="Y56" s="307" t="s">
        <v>936</v>
      </c>
    </row>
    <row r="57" spans="2:25">
      <c r="B57" s="335" t="s">
        <v>374</v>
      </c>
      <c r="C57" s="335" t="s">
        <v>375</v>
      </c>
      <c r="D57" s="335" t="s">
        <v>821</v>
      </c>
      <c r="E57" s="335" t="s">
        <v>822</v>
      </c>
      <c r="F57" s="335" t="s">
        <v>376</v>
      </c>
      <c r="G57" s="335" t="s">
        <v>10</v>
      </c>
      <c r="H57" s="336" t="s">
        <v>154</v>
      </c>
      <c r="I57" s="335">
        <v>0</v>
      </c>
      <c r="J57" s="335" t="s">
        <v>823</v>
      </c>
      <c r="K57" s="335" t="s">
        <v>820</v>
      </c>
      <c r="M57" s="335" t="s">
        <v>937</v>
      </c>
      <c r="N57" s="335" t="s">
        <v>388</v>
      </c>
      <c r="O57" s="335" t="s">
        <v>389</v>
      </c>
      <c r="Q57" s="307" t="e">
        <f ca="1">_xll.BDP(M57&amp;" "&amp;N57&amp;" "&amp;O57,Q$2)</f>
        <v>#NAME?</v>
      </c>
      <c r="R57" s="307" t="e">
        <f ca="1">_xll.BDP(M57&amp;" "&amp;N57&amp;" "&amp;O57,R$2)</f>
        <v>#NAME?</v>
      </c>
      <c r="S57" s="307" t="e">
        <f ca="1">_xll.BDP(M57&amp;" "&amp;N57&amp;" "&amp;O57,S$2)</f>
        <v>#NAME?</v>
      </c>
      <c r="T57" s="307" t="e">
        <f ca="1">_xll.BDP(M57&amp;" "&amp;N57&amp;" "&amp;O57,T$2)</f>
        <v>#NAME?</v>
      </c>
      <c r="V57" s="307" t="s">
        <v>938</v>
      </c>
      <c r="W57" s="307">
        <v>48.4</v>
      </c>
      <c r="X57" s="307" t="s">
        <v>390</v>
      </c>
      <c r="Y57" s="307" t="s">
        <v>836</v>
      </c>
    </row>
    <row r="58" spans="2:25">
      <c r="B58" s="335" t="s">
        <v>374</v>
      </c>
      <c r="C58" s="335" t="s">
        <v>375</v>
      </c>
      <c r="D58" s="335" t="s">
        <v>821</v>
      </c>
      <c r="E58" s="335" t="s">
        <v>822</v>
      </c>
      <c r="F58" s="335" t="s">
        <v>376</v>
      </c>
      <c r="G58" s="335" t="s">
        <v>10</v>
      </c>
      <c r="H58" s="336" t="s">
        <v>8</v>
      </c>
      <c r="I58" s="335">
        <v>0</v>
      </c>
      <c r="J58" s="335" t="s">
        <v>823</v>
      </c>
      <c r="K58" s="335" t="s">
        <v>820</v>
      </c>
      <c r="M58" s="335" t="s">
        <v>939</v>
      </c>
      <c r="N58" s="335" t="s">
        <v>388</v>
      </c>
      <c r="O58" s="335" t="s">
        <v>389</v>
      </c>
      <c r="Q58" s="307" t="e">
        <f ca="1">_xll.BDP(M58&amp;" "&amp;N58&amp;" "&amp;O58,Q$2)</f>
        <v>#NAME?</v>
      </c>
      <c r="R58" s="307" t="e">
        <f ca="1">_xll.BDP(M58&amp;" "&amp;N58&amp;" "&amp;O58,R$2)</f>
        <v>#NAME?</v>
      </c>
      <c r="S58" s="307" t="e">
        <f ca="1">_xll.BDP(M58&amp;" "&amp;N58&amp;" "&amp;O58,S$2)</f>
        <v>#NAME?</v>
      </c>
      <c r="T58" s="307" t="e">
        <f ca="1">_xll.BDP(M58&amp;" "&amp;N58&amp;" "&amp;O58,T$2)</f>
        <v>#NAME?</v>
      </c>
      <c r="V58" s="307" t="s">
        <v>940</v>
      </c>
      <c r="W58" s="307">
        <v>54.4</v>
      </c>
      <c r="X58" s="307" t="s">
        <v>390</v>
      </c>
      <c r="Y58" s="307" t="s">
        <v>836</v>
      </c>
    </row>
    <row r="59" spans="2:25">
      <c r="B59" s="335" t="s">
        <v>374</v>
      </c>
      <c r="C59" s="335" t="s">
        <v>375</v>
      </c>
      <c r="D59" s="335" t="s">
        <v>821</v>
      </c>
      <c r="E59" s="335" t="s">
        <v>822</v>
      </c>
      <c r="F59" s="335" t="s">
        <v>376</v>
      </c>
      <c r="G59" s="335" t="s">
        <v>10</v>
      </c>
      <c r="H59" s="336" t="s">
        <v>9</v>
      </c>
      <c r="I59" s="335">
        <v>0</v>
      </c>
      <c r="J59" s="335" t="s">
        <v>823</v>
      </c>
      <c r="K59" s="335" t="s">
        <v>820</v>
      </c>
      <c r="M59" s="335" t="s">
        <v>941</v>
      </c>
      <c r="N59" s="335" t="s">
        <v>388</v>
      </c>
      <c r="O59" s="335" t="s">
        <v>389</v>
      </c>
      <c r="Q59" s="307" t="e">
        <f ca="1">_xll.BDP(M59&amp;" "&amp;N59&amp;" "&amp;O59,Q$2)</f>
        <v>#NAME?</v>
      </c>
      <c r="R59" s="307" t="e">
        <f ca="1">_xll.BDP(M59&amp;" "&amp;N59&amp;" "&amp;O59,R$2)</f>
        <v>#NAME?</v>
      </c>
      <c r="S59" s="307" t="e">
        <f ca="1">_xll.BDP(M59&amp;" "&amp;N59&amp;" "&amp;O59,S$2)</f>
        <v>#NAME?</v>
      </c>
      <c r="T59" s="307" t="e">
        <f ca="1">_xll.BDP(M59&amp;" "&amp;N59&amp;" "&amp;O59,T$2)</f>
        <v>#NAME?</v>
      </c>
      <c r="V59" s="307" t="s">
        <v>942</v>
      </c>
      <c r="W59" s="307">
        <v>63.2</v>
      </c>
      <c r="X59" s="307" t="s">
        <v>390</v>
      </c>
      <c r="Y59" s="307" t="s">
        <v>836</v>
      </c>
    </row>
    <row r="60" spans="2:25">
      <c r="B60" s="335" t="s">
        <v>374</v>
      </c>
      <c r="C60" s="335" t="s">
        <v>375</v>
      </c>
      <c r="D60" s="335" t="s">
        <v>821</v>
      </c>
      <c r="E60" s="335" t="s">
        <v>822</v>
      </c>
      <c r="F60" s="335" t="s">
        <v>376</v>
      </c>
      <c r="G60" s="335" t="s">
        <v>10</v>
      </c>
      <c r="H60" s="336" t="s">
        <v>10</v>
      </c>
      <c r="I60" s="335">
        <v>0</v>
      </c>
      <c r="J60" s="335" t="s">
        <v>823</v>
      </c>
      <c r="K60" s="335" t="s">
        <v>820</v>
      </c>
      <c r="M60" s="335" t="s">
        <v>943</v>
      </c>
      <c r="N60" s="335" t="s">
        <v>388</v>
      </c>
      <c r="O60" s="335" t="s">
        <v>389</v>
      </c>
      <c r="Q60" s="307" t="e">
        <f ca="1">_xll.BDP(M60&amp;" "&amp;N60&amp;" "&amp;O60,Q$2)</f>
        <v>#NAME?</v>
      </c>
      <c r="R60" s="307" t="e">
        <f ca="1">_xll.BDP(M60&amp;" "&amp;N60&amp;" "&amp;O60,R$2)</f>
        <v>#NAME?</v>
      </c>
      <c r="S60" s="307" t="e">
        <f ca="1">_xll.BDP(M60&amp;" "&amp;N60&amp;" "&amp;O60,S$2)</f>
        <v>#NAME?</v>
      </c>
      <c r="T60" s="307" t="e">
        <f ca="1">_xll.BDP(M60&amp;" "&amp;N60&amp;" "&amp;O60,T$2)</f>
        <v>#NAME?</v>
      </c>
      <c r="V60" s="307" t="s">
        <v>944</v>
      </c>
      <c r="W60" s="307">
        <v>68.099999999999994</v>
      </c>
      <c r="X60" s="307" t="s">
        <v>390</v>
      </c>
      <c r="Y60" s="307" t="s">
        <v>847</v>
      </c>
    </row>
    <row r="61" spans="2:25">
      <c r="B61" s="335" t="s">
        <v>374</v>
      </c>
      <c r="C61" s="335" t="s">
        <v>375</v>
      </c>
      <c r="D61" s="335" t="s">
        <v>821</v>
      </c>
      <c r="E61" s="335" t="s">
        <v>822</v>
      </c>
      <c r="F61" s="335" t="s">
        <v>376</v>
      </c>
      <c r="G61" s="335" t="s">
        <v>10</v>
      </c>
      <c r="H61" s="336" t="s">
        <v>11</v>
      </c>
      <c r="I61" s="335">
        <v>0</v>
      </c>
      <c r="J61" s="335" t="s">
        <v>823</v>
      </c>
      <c r="K61" s="335" t="s">
        <v>820</v>
      </c>
      <c r="M61" s="335" t="s">
        <v>945</v>
      </c>
      <c r="N61" s="335" t="s">
        <v>388</v>
      </c>
      <c r="O61" s="335" t="s">
        <v>389</v>
      </c>
      <c r="Q61" s="307" t="e">
        <f ca="1">_xll.BDP(M61&amp;" "&amp;N61&amp;" "&amp;O61,Q$2)</f>
        <v>#NAME?</v>
      </c>
      <c r="R61" s="307" t="e">
        <f ca="1">_xll.BDP(M61&amp;" "&amp;N61&amp;" "&amp;O61,R$2)</f>
        <v>#NAME?</v>
      </c>
      <c r="S61" s="307" t="e">
        <f ca="1">_xll.BDP(M61&amp;" "&amp;N61&amp;" "&amp;O61,S$2)</f>
        <v>#NAME?</v>
      </c>
      <c r="T61" s="307" t="e">
        <f ca="1">_xll.BDP(M61&amp;" "&amp;N61&amp;" "&amp;O61,T$2)</f>
        <v>#NAME?</v>
      </c>
      <c r="V61" s="307" t="s">
        <v>946</v>
      </c>
      <c r="W61" s="307">
        <v>71.5</v>
      </c>
      <c r="X61" s="307" t="s">
        <v>390</v>
      </c>
      <c r="Y61" s="307" t="s">
        <v>847</v>
      </c>
    </row>
    <row r="62" spans="2:25">
      <c r="B62" s="335" t="s">
        <v>374</v>
      </c>
      <c r="C62" s="335" t="s">
        <v>375</v>
      </c>
      <c r="D62" s="335" t="s">
        <v>821</v>
      </c>
      <c r="E62" s="335" t="s">
        <v>822</v>
      </c>
      <c r="F62" s="335" t="s">
        <v>376</v>
      </c>
      <c r="G62" s="335" t="s">
        <v>10</v>
      </c>
      <c r="H62" s="336" t="s">
        <v>13</v>
      </c>
      <c r="I62" s="335">
        <v>0</v>
      </c>
      <c r="J62" s="335" t="s">
        <v>823</v>
      </c>
      <c r="K62" s="335" t="s">
        <v>820</v>
      </c>
      <c r="M62" s="335" t="s">
        <v>947</v>
      </c>
      <c r="N62" s="335" t="s">
        <v>388</v>
      </c>
      <c r="O62" s="335" t="s">
        <v>389</v>
      </c>
      <c r="Q62" s="307" t="e">
        <f ca="1">_xll.BDP(M62&amp;" "&amp;N62&amp;" "&amp;O62,Q$2)</f>
        <v>#NAME?</v>
      </c>
      <c r="R62" s="307" t="e">
        <f ca="1">_xll.BDP(M62&amp;" "&amp;N62&amp;" "&amp;O62,R$2)</f>
        <v>#NAME?</v>
      </c>
      <c r="S62" s="307" t="e">
        <f ca="1">_xll.BDP(M62&amp;" "&amp;N62&amp;" "&amp;O62,S$2)</f>
        <v>#NAME?</v>
      </c>
      <c r="T62" s="307" t="e">
        <f ca="1">_xll.BDP(M62&amp;" "&amp;N62&amp;" "&amp;O62,T$2)</f>
        <v>#NAME?</v>
      </c>
      <c r="V62" s="307" t="s">
        <v>948</v>
      </c>
      <c r="W62" s="307">
        <v>73.599999999999994</v>
      </c>
      <c r="X62" s="307" t="s">
        <v>390</v>
      </c>
      <c r="Y62" s="307" t="s">
        <v>847</v>
      </c>
    </row>
    <row r="63" spans="2:25">
      <c r="B63" s="335" t="s">
        <v>374</v>
      </c>
      <c r="C63" s="335" t="s">
        <v>375</v>
      </c>
      <c r="D63" s="335" t="s">
        <v>821</v>
      </c>
      <c r="E63" s="335" t="s">
        <v>822</v>
      </c>
      <c r="F63" s="335" t="s">
        <v>376</v>
      </c>
      <c r="G63" s="335" t="s">
        <v>10</v>
      </c>
      <c r="H63" s="336" t="s">
        <v>16</v>
      </c>
      <c r="I63" s="335">
        <v>0</v>
      </c>
      <c r="J63" s="335" t="s">
        <v>823</v>
      </c>
      <c r="K63" s="335" t="s">
        <v>820</v>
      </c>
      <c r="M63" s="335" t="s">
        <v>949</v>
      </c>
      <c r="N63" s="335" t="s">
        <v>388</v>
      </c>
      <c r="O63" s="335" t="s">
        <v>389</v>
      </c>
      <c r="Q63" s="307" t="e">
        <f ca="1">_xll.BDP(M63&amp;" "&amp;N63&amp;" "&amp;O63,Q$2)</f>
        <v>#NAME?</v>
      </c>
      <c r="R63" s="307" t="e">
        <f ca="1">_xll.BDP(M63&amp;" "&amp;N63&amp;" "&amp;O63,R$2)</f>
        <v>#NAME?</v>
      </c>
      <c r="S63" s="307" t="e">
        <f ca="1">_xll.BDP(M63&amp;" "&amp;N63&amp;" "&amp;O63,S$2)</f>
        <v>#NAME?</v>
      </c>
      <c r="T63" s="307" t="e">
        <f ca="1">_xll.BDP(M63&amp;" "&amp;N63&amp;" "&amp;O63,T$2)</f>
        <v>#NAME?</v>
      </c>
      <c r="V63" s="307" t="s">
        <v>950</v>
      </c>
      <c r="W63" s="307">
        <v>73.7</v>
      </c>
      <c r="X63" s="307" t="s">
        <v>390</v>
      </c>
      <c r="Y63" s="307" t="s">
        <v>847</v>
      </c>
    </row>
    <row r="64" spans="2:25">
      <c r="B64" s="335" t="s">
        <v>374</v>
      </c>
      <c r="C64" s="335" t="s">
        <v>375</v>
      </c>
      <c r="D64" s="335" t="s">
        <v>821</v>
      </c>
      <c r="E64" s="335" t="s">
        <v>822</v>
      </c>
      <c r="F64" s="335" t="s">
        <v>376</v>
      </c>
      <c r="G64" s="335" t="s">
        <v>10</v>
      </c>
      <c r="H64" s="336" t="s">
        <v>17</v>
      </c>
      <c r="I64" s="335">
        <v>0</v>
      </c>
      <c r="J64" s="335" t="s">
        <v>823</v>
      </c>
      <c r="K64" s="335" t="s">
        <v>820</v>
      </c>
      <c r="M64" s="335" t="s">
        <v>951</v>
      </c>
      <c r="N64" s="335" t="s">
        <v>388</v>
      </c>
      <c r="O64" s="335" t="s">
        <v>389</v>
      </c>
      <c r="Q64" s="307" t="e">
        <f ca="1">_xll.BDP(M64&amp;" "&amp;N64&amp;" "&amp;O64,Q$2)</f>
        <v>#NAME?</v>
      </c>
      <c r="R64" s="307" t="e">
        <f ca="1">_xll.BDP(M64&amp;" "&amp;N64&amp;" "&amp;O64,R$2)</f>
        <v>#NAME?</v>
      </c>
      <c r="S64" s="307" t="e">
        <f ca="1">_xll.BDP(M64&amp;" "&amp;N64&amp;" "&amp;O64,S$2)</f>
        <v>#NAME?</v>
      </c>
      <c r="T64" s="307" t="e">
        <f ca="1">_xll.BDP(M64&amp;" "&amp;N64&amp;" "&amp;O64,T$2)</f>
        <v>#NAME?</v>
      </c>
      <c r="V64" s="307" t="s">
        <v>952</v>
      </c>
      <c r="W64" s="307">
        <v>70.900000000000006</v>
      </c>
      <c r="X64" s="307" t="s">
        <v>390</v>
      </c>
      <c r="Y64" s="307" t="s">
        <v>847</v>
      </c>
    </row>
    <row r="65" spans="2:25">
      <c r="B65" s="335" t="s">
        <v>374</v>
      </c>
      <c r="C65" s="335" t="s">
        <v>375</v>
      </c>
      <c r="D65" s="335" t="s">
        <v>821</v>
      </c>
      <c r="E65" s="335" t="s">
        <v>822</v>
      </c>
      <c r="F65" s="335" t="s">
        <v>376</v>
      </c>
      <c r="G65" s="335" t="s">
        <v>10</v>
      </c>
      <c r="H65" s="336" t="s">
        <v>104</v>
      </c>
      <c r="I65" s="335">
        <v>0</v>
      </c>
      <c r="J65" s="335" t="s">
        <v>823</v>
      </c>
      <c r="K65" s="335" t="s">
        <v>820</v>
      </c>
      <c r="M65" s="335" t="s">
        <v>953</v>
      </c>
      <c r="N65" s="335" t="s">
        <v>388</v>
      </c>
      <c r="O65" s="335" t="s">
        <v>389</v>
      </c>
      <c r="Q65" s="307" t="e">
        <f ca="1">_xll.BDP(M65&amp;" "&amp;N65&amp;" "&amp;O65,Q$2)</f>
        <v>#NAME?</v>
      </c>
      <c r="R65" s="307" t="e">
        <f ca="1">_xll.BDP(M65&amp;" "&amp;N65&amp;" "&amp;O65,R$2)</f>
        <v>#NAME?</v>
      </c>
      <c r="S65" s="307" t="e">
        <f ca="1">_xll.BDP(M65&amp;" "&amp;N65&amp;" "&amp;O65,S$2)</f>
        <v>#NAME?</v>
      </c>
      <c r="T65" s="307" t="e">
        <f ca="1">_xll.BDP(M65&amp;" "&amp;N65&amp;" "&amp;O65,T$2)</f>
        <v>#NAME?</v>
      </c>
      <c r="V65" s="307" t="s">
        <v>954</v>
      </c>
      <c r="W65" s="307">
        <v>66.599999999999994</v>
      </c>
      <c r="X65" s="307" t="s">
        <v>390</v>
      </c>
      <c r="Y65" s="307" t="s">
        <v>859</v>
      </c>
    </row>
    <row r="66" spans="2:25">
      <c r="B66" s="335" t="s">
        <v>374</v>
      </c>
      <c r="C66" s="335" t="s">
        <v>375</v>
      </c>
      <c r="D66" s="335" t="s">
        <v>821</v>
      </c>
      <c r="E66" s="335" t="s">
        <v>822</v>
      </c>
      <c r="F66" s="335" t="s">
        <v>376</v>
      </c>
      <c r="G66" s="335" t="s">
        <v>11</v>
      </c>
      <c r="H66" s="335" t="s">
        <v>23</v>
      </c>
      <c r="I66" s="335">
        <v>0</v>
      </c>
      <c r="J66" s="335" t="s">
        <v>823</v>
      </c>
      <c r="K66" s="335" t="s">
        <v>820</v>
      </c>
      <c r="M66" s="335" t="s">
        <v>955</v>
      </c>
      <c r="N66" s="335" t="s">
        <v>388</v>
      </c>
      <c r="O66" s="335" t="s">
        <v>389</v>
      </c>
      <c r="Q66" s="307" t="e">
        <f ca="1">_xll.BDP(M66&amp;" "&amp;N66&amp;" "&amp;O66,Q$2)</f>
        <v>#NAME?</v>
      </c>
      <c r="R66" s="307" t="e">
        <f ca="1">_xll.BDP(M66&amp;" "&amp;N66&amp;" "&amp;O66,R$2)</f>
        <v>#NAME?</v>
      </c>
      <c r="S66" s="307" t="e">
        <f ca="1">_xll.BDP(M66&amp;" "&amp;N66&amp;" "&amp;O66,S$2)</f>
        <v>#NAME?</v>
      </c>
      <c r="T66" s="307" t="e">
        <f ca="1">_xll.BDP(M66&amp;" "&amp;N66&amp;" "&amp;O66,T$2)</f>
        <v>#NAME?</v>
      </c>
      <c r="V66" s="307" t="s">
        <v>956</v>
      </c>
      <c r="W66" s="307">
        <v>37.799999999999997</v>
      </c>
      <c r="X66" s="307" t="s">
        <v>390</v>
      </c>
      <c r="Y66" s="307" t="s">
        <v>893</v>
      </c>
    </row>
    <row r="67" spans="2:25">
      <c r="B67" s="335" t="s">
        <v>374</v>
      </c>
      <c r="C67" s="335" t="s">
        <v>375</v>
      </c>
      <c r="D67" s="335" t="s">
        <v>821</v>
      </c>
      <c r="E67" s="335" t="s">
        <v>822</v>
      </c>
      <c r="F67" s="335" t="s">
        <v>376</v>
      </c>
      <c r="G67" s="335" t="s">
        <v>11</v>
      </c>
      <c r="H67" s="335" t="s">
        <v>398</v>
      </c>
      <c r="I67" s="335">
        <v>0</v>
      </c>
      <c r="J67" s="335" t="s">
        <v>823</v>
      </c>
      <c r="K67" s="335" t="s">
        <v>820</v>
      </c>
      <c r="M67" s="335" t="s">
        <v>957</v>
      </c>
      <c r="N67" s="335" t="s">
        <v>388</v>
      </c>
      <c r="O67" s="335" t="s">
        <v>389</v>
      </c>
      <c r="Q67" s="307" t="e">
        <f ca="1">_xll.BDP(M67&amp;" "&amp;N67&amp;" "&amp;O67,Q$2)</f>
        <v>#NAME?</v>
      </c>
      <c r="R67" s="307" t="e">
        <f ca="1">_xll.BDP(M67&amp;" "&amp;N67&amp;" "&amp;O67,R$2)</f>
        <v>#NAME?</v>
      </c>
      <c r="S67" s="307" t="e">
        <f ca="1">_xll.BDP(M67&amp;" "&amp;N67&amp;" "&amp;O67,S$2)</f>
        <v>#NAME?</v>
      </c>
      <c r="T67" s="307" t="e">
        <f ca="1">_xll.BDP(M67&amp;" "&amp;N67&amp;" "&amp;O67,T$2)</f>
        <v>#NAME?</v>
      </c>
      <c r="V67" s="307" t="s">
        <v>958</v>
      </c>
      <c r="W67" s="307">
        <v>38.299999999999997</v>
      </c>
      <c r="X67" s="307" t="s">
        <v>390</v>
      </c>
      <c r="Y67" s="307" t="s">
        <v>927</v>
      </c>
    </row>
    <row r="68" spans="2:25">
      <c r="B68" s="335" t="s">
        <v>374</v>
      </c>
      <c r="C68" s="335" t="s">
        <v>375</v>
      </c>
      <c r="D68" s="335" t="s">
        <v>821</v>
      </c>
      <c r="E68" s="335" t="s">
        <v>822</v>
      </c>
      <c r="F68" s="335" t="s">
        <v>376</v>
      </c>
      <c r="G68" s="335" t="s">
        <v>11</v>
      </c>
      <c r="H68" s="336" t="s">
        <v>26</v>
      </c>
      <c r="I68" s="335">
        <v>0</v>
      </c>
      <c r="J68" s="335" t="s">
        <v>823</v>
      </c>
      <c r="K68" s="335" t="s">
        <v>820</v>
      </c>
      <c r="M68" s="335" t="s">
        <v>959</v>
      </c>
      <c r="N68" s="335" t="s">
        <v>388</v>
      </c>
      <c r="O68" s="335" t="s">
        <v>389</v>
      </c>
      <c r="Q68" s="307" t="e">
        <f ca="1">_xll.BDP(M68&amp;" "&amp;N68&amp;" "&amp;O68,Q$2)</f>
        <v>#NAME?</v>
      </c>
      <c r="R68" s="307" t="e">
        <f ca="1">_xll.BDP(M68&amp;" "&amp;N68&amp;" "&amp;O68,R$2)</f>
        <v>#NAME?</v>
      </c>
      <c r="S68" s="307" t="e">
        <f ca="1">_xll.BDP(M68&amp;" "&amp;N68&amp;" "&amp;O68,S$2)</f>
        <v>#NAME?</v>
      </c>
      <c r="T68" s="307" t="e">
        <f ca="1">_xll.BDP(M68&amp;" "&amp;N68&amp;" "&amp;O68,T$2)</f>
        <v>#NAME?</v>
      </c>
      <c r="V68" s="307" t="s">
        <v>960</v>
      </c>
      <c r="W68" s="307">
        <v>38.4</v>
      </c>
      <c r="X68" s="307" t="s">
        <v>390</v>
      </c>
      <c r="Y68" s="307" t="s">
        <v>836</v>
      </c>
    </row>
    <row r="69" spans="2:25">
      <c r="B69" s="335" t="s">
        <v>374</v>
      </c>
      <c r="C69" s="335" t="s">
        <v>375</v>
      </c>
      <c r="D69" s="335" t="s">
        <v>821</v>
      </c>
      <c r="E69" s="335" t="s">
        <v>822</v>
      </c>
      <c r="F69" s="335" t="s">
        <v>376</v>
      </c>
      <c r="G69" s="335" t="s">
        <v>11</v>
      </c>
      <c r="H69" s="336" t="s">
        <v>19</v>
      </c>
      <c r="I69" s="335">
        <v>0</v>
      </c>
      <c r="J69" s="335" t="s">
        <v>823</v>
      </c>
      <c r="K69" s="335" t="s">
        <v>820</v>
      </c>
      <c r="M69" s="335" t="s">
        <v>961</v>
      </c>
      <c r="N69" s="335" t="s">
        <v>388</v>
      </c>
      <c r="O69" s="335" t="s">
        <v>389</v>
      </c>
      <c r="Q69" s="307" t="e">
        <f ca="1">_xll.BDP(M69&amp;" "&amp;N69&amp;" "&amp;O69,Q$2)</f>
        <v>#NAME?</v>
      </c>
      <c r="R69" s="307" t="e">
        <f ca="1">_xll.BDP(M69&amp;" "&amp;N69&amp;" "&amp;O69,R$2)</f>
        <v>#NAME?</v>
      </c>
      <c r="S69" s="307" t="e">
        <f ca="1">_xll.BDP(M69&amp;" "&amp;N69&amp;" "&amp;O69,S$2)</f>
        <v>#NAME?</v>
      </c>
      <c r="T69" s="307" t="e">
        <f ca="1">_xll.BDP(M69&amp;" "&amp;N69&amp;" "&amp;O69,T$2)</f>
        <v>#NAME?</v>
      </c>
      <c r="V69" s="307" t="s">
        <v>962</v>
      </c>
      <c r="W69" s="307">
        <v>41.2</v>
      </c>
      <c r="X69" s="307" t="s">
        <v>390</v>
      </c>
      <c r="Y69" s="307" t="s">
        <v>836</v>
      </c>
    </row>
    <row r="70" spans="2:25">
      <c r="B70" s="335" t="s">
        <v>374</v>
      </c>
      <c r="C70" s="335" t="s">
        <v>375</v>
      </c>
      <c r="D70" s="335" t="s">
        <v>821</v>
      </c>
      <c r="E70" s="335" t="s">
        <v>822</v>
      </c>
      <c r="F70" s="335" t="s">
        <v>376</v>
      </c>
      <c r="G70" s="335" t="s">
        <v>11</v>
      </c>
      <c r="H70" s="336" t="s">
        <v>412</v>
      </c>
      <c r="I70" s="335">
        <v>0</v>
      </c>
      <c r="J70" s="335" t="s">
        <v>823</v>
      </c>
      <c r="K70" s="335" t="s">
        <v>820</v>
      </c>
      <c r="M70" s="335" t="s">
        <v>963</v>
      </c>
      <c r="N70" s="335" t="s">
        <v>388</v>
      </c>
      <c r="O70" s="335" t="s">
        <v>389</v>
      </c>
      <c r="Q70" s="307" t="e">
        <f ca="1">_xll.BDP(M70&amp;" "&amp;N70&amp;" "&amp;O70,Q$2)</f>
        <v>#NAME?</v>
      </c>
      <c r="R70" s="307" t="e">
        <f ca="1">_xll.BDP(M70&amp;" "&amp;N70&amp;" "&amp;O70,R$2)</f>
        <v>#NAME?</v>
      </c>
      <c r="S70" s="307" t="e">
        <f ca="1">_xll.BDP(M70&amp;" "&amp;N70&amp;" "&amp;O70,S$2)</f>
        <v>#NAME?</v>
      </c>
      <c r="T70" s="307" t="e">
        <f ca="1">_xll.BDP(M70&amp;" "&amp;N70&amp;" "&amp;O70,T$2)</f>
        <v>#NAME?</v>
      </c>
      <c r="V70" s="307" t="s">
        <v>964</v>
      </c>
      <c r="W70" s="307">
        <v>44</v>
      </c>
      <c r="X70" s="307" t="s">
        <v>390</v>
      </c>
      <c r="Y70" s="307" t="s">
        <v>936</v>
      </c>
    </row>
    <row r="71" spans="2:25">
      <c r="B71" s="335" t="s">
        <v>374</v>
      </c>
      <c r="C71" s="335" t="s">
        <v>375</v>
      </c>
      <c r="D71" s="335" t="s">
        <v>821</v>
      </c>
      <c r="E71" s="335" t="s">
        <v>822</v>
      </c>
      <c r="F71" s="335" t="s">
        <v>376</v>
      </c>
      <c r="G71" s="335" t="s">
        <v>11</v>
      </c>
      <c r="H71" s="336" t="s">
        <v>7</v>
      </c>
      <c r="I71" s="335">
        <v>0</v>
      </c>
      <c r="J71" s="335" t="s">
        <v>823</v>
      </c>
      <c r="K71" s="335" t="s">
        <v>820</v>
      </c>
      <c r="M71" s="335" t="s">
        <v>965</v>
      </c>
      <c r="N71" s="335" t="s">
        <v>388</v>
      </c>
      <c r="O71" s="335" t="s">
        <v>389</v>
      </c>
      <c r="Q71" s="307" t="e">
        <f ca="1">_xll.BDP(M71&amp;" "&amp;N71&amp;" "&amp;O71,Q$2)</f>
        <v>#NAME?</v>
      </c>
      <c r="R71" s="307" t="e">
        <f ca="1">_xll.BDP(M71&amp;" "&amp;N71&amp;" "&amp;O71,R$2)</f>
        <v>#NAME?</v>
      </c>
      <c r="S71" s="307" t="e">
        <f ca="1">_xll.BDP(M71&amp;" "&amp;N71&amp;" "&amp;O71,S$2)</f>
        <v>#NAME?</v>
      </c>
      <c r="T71" s="307" t="e">
        <f ca="1">_xll.BDP(M71&amp;" "&amp;N71&amp;" "&amp;O71,T$2)</f>
        <v>#NAME?</v>
      </c>
      <c r="V71" s="307" t="s">
        <v>966</v>
      </c>
      <c r="W71" s="307">
        <v>47.7</v>
      </c>
      <c r="X71" s="307" t="s">
        <v>390</v>
      </c>
      <c r="Y71" s="307" t="s">
        <v>836</v>
      </c>
    </row>
    <row r="72" spans="2:25">
      <c r="B72" s="335" t="s">
        <v>374</v>
      </c>
      <c r="C72" s="335" t="s">
        <v>375</v>
      </c>
      <c r="D72" s="335" t="s">
        <v>821</v>
      </c>
      <c r="E72" s="335" t="s">
        <v>822</v>
      </c>
      <c r="F72" s="335" t="s">
        <v>376</v>
      </c>
      <c r="G72" s="335" t="s">
        <v>11</v>
      </c>
      <c r="H72" s="336" t="s">
        <v>154</v>
      </c>
      <c r="I72" s="335">
        <v>0</v>
      </c>
      <c r="J72" s="335" t="s">
        <v>823</v>
      </c>
      <c r="K72" s="335" t="s">
        <v>820</v>
      </c>
      <c r="M72" s="335" t="s">
        <v>967</v>
      </c>
      <c r="N72" s="335" t="s">
        <v>388</v>
      </c>
      <c r="O72" s="335" t="s">
        <v>389</v>
      </c>
      <c r="Q72" s="307" t="e">
        <f ca="1">_xll.BDP(M72&amp;" "&amp;N72&amp;" "&amp;O72,Q$2)</f>
        <v>#NAME?</v>
      </c>
      <c r="R72" s="307" t="e">
        <f ca="1">_xll.BDP(M72&amp;" "&amp;N72&amp;" "&amp;O72,R$2)</f>
        <v>#NAME?</v>
      </c>
      <c r="S72" s="307" t="e">
        <f ca="1">_xll.BDP(M72&amp;" "&amp;N72&amp;" "&amp;O72,S$2)</f>
        <v>#NAME?</v>
      </c>
      <c r="T72" s="307" t="e">
        <f ca="1">_xll.BDP(M72&amp;" "&amp;N72&amp;" "&amp;O72,T$2)</f>
        <v>#NAME?</v>
      </c>
      <c r="V72" s="307" t="s">
        <v>968</v>
      </c>
      <c r="W72" s="307">
        <v>53.6</v>
      </c>
      <c r="X72" s="307" t="s">
        <v>390</v>
      </c>
      <c r="Y72" s="307" t="s">
        <v>836</v>
      </c>
    </row>
    <row r="73" spans="2:25">
      <c r="B73" s="335" t="s">
        <v>374</v>
      </c>
      <c r="C73" s="335" t="s">
        <v>375</v>
      </c>
      <c r="D73" s="335" t="s">
        <v>821</v>
      </c>
      <c r="E73" s="335" t="s">
        <v>822</v>
      </c>
      <c r="F73" s="335" t="s">
        <v>376</v>
      </c>
      <c r="G73" s="335" t="s">
        <v>11</v>
      </c>
      <c r="H73" s="336" t="s">
        <v>8</v>
      </c>
      <c r="I73" s="335">
        <v>0</v>
      </c>
      <c r="J73" s="335" t="s">
        <v>823</v>
      </c>
      <c r="K73" s="335" t="s">
        <v>820</v>
      </c>
      <c r="M73" s="335" t="s">
        <v>969</v>
      </c>
      <c r="N73" s="335" t="s">
        <v>388</v>
      </c>
      <c r="O73" s="335" t="s">
        <v>389</v>
      </c>
      <c r="Q73" s="307" t="e">
        <f ca="1">_xll.BDP(M73&amp;" "&amp;N73&amp;" "&amp;O73,Q$2)</f>
        <v>#NAME?</v>
      </c>
      <c r="R73" s="307" t="e">
        <f ca="1">_xll.BDP(M73&amp;" "&amp;N73&amp;" "&amp;O73,R$2)</f>
        <v>#NAME?</v>
      </c>
      <c r="S73" s="307" t="e">
        <f ca="1">_xll.BDP(M73&amp;" "&amp;N73&amp;" "&amp;O73,S$2)</f>
        <v>#NAME?</v>
      </c>
      <c r="T73" s="307" t="e">
        <f ca="1">_xll.BDP(M73&amp;" "&amp;N73&amp;" "&amp;O73,T$2)</f>
        <v>#NAME?</v>
      </c>
      <c r="V73" s="307" t="s">
        <v>970</v>
      </c>
      <c r="W73" s="307">
        <v>58.7</v>
      </c>
      <c r="X73" s="307" t="s">
        <v>390</v>
      </c>
      <c r="Y73" s="307" t="s">
        <v>836</v>
      </c>
    </row>
    <row r="74" spans="2:25">
      <c r="B74" s="335" t="s">
        <v>374</v>
      </c>
      <c r="C74" s="335" t="s">
        <v>375</v>
      </c>
      <c r="D74" s="335" t="s">
        <v>821</v>
      </c>
      <c r="E74" s="335" t="s">
        <v>822</v>
      </c>
      <c r="F74" s="335" t="s">
        <v>376</v>
      </c>
      <c r="G74" s="335" t="s">
        <v>11</v>
      </c>
      <c r="H74" s="336" t="s">
        <v>9</v>
      </c>
      <c r="I74" s="335">
        <v>0</v>
      </c>
      <c r="J74" s="335" t="s">
        <v>823</v>
      </c>
      <c r="K74" s="335" t="s">
        <v>820</v>
      </c>
      <c r="M74" s="335" t="s">
        <v>971</v>
      </c>
      <c r="N74" s="335" t="s">
        <v>388</v>
      </c>
      <c r="O74" s="335" t="s">
        <v>389</v>
      </c>
      <c r="Q74" s="307" t="e">
        <f ca="1">_xll.BDP(M74&amp;" "&amp;N74&amp;" "&amp;O74,Q$2)</f>
        <v>#NAME?</v>
      </c>
      <c r="R74" s="307" t="e">
        <f ca="1">_xll.BDP(M74&amp;" "&amp;N74&amp;" "&amp;O74,R$2)</f>
        <v>#NAME?</v>
      </c>
      <c r="S74" s="307" t="e">
        <f ca="1">_xll.BDP(M74&amp;" "&amp;N74&amp;" "&amp;O74,S$2)</f>
        <v>#NAME?</v>
      </c>
      <c r="T74" s="307" t="e">
        <f ca="1">_xll.BDP(M74&amp;" "&amp;N74&amp;" "&amp;O74,T$2)</f>
        <v>#NAME?</v>
      </c>
      <c r="V74" s="307" t="s">
        <v>972</v>
      </c>
      <c r="W74" s="307">
        <v>66.099999999999994</v>
      </c>
      <c r="X74" s="307" t="s">
        <v>390</v>
      </c>
      <c r="Y74" s="307" t="s">
        <v>973</v>
      </c>
    </row>
    <row r="75" spans="2:25">
      <c r="B75" s="335" t="s">
        <v>374</v>
      </c>
      <c r="C75" s="335" t="s">
        <v>375</v>
      </c>
      <c r="D75" s="335" t="s">
        <v>821</v>
      </c>
      <c r="E75" s="335" t="s">
        <v>822</v>
      </c>
      <c r="F75" s="335" t="s">
        <v>376</v>
      </c>
      <c r="G75" s="335" t="s">
        <v>11</v>
      </c>
      <c r="H75" s="336" t="s">
        <v>10</v>
      </c>
      <c r="I75" s="335">
        <v>0</v>
      </c>
      <c r="J75" s="335" t="s">
        <v>823</v>
      </c>
      <c r="K75" s="335" t="s">
        <v>820</v>
      </c>
      <c r="M75" s="335" t="s">
        <v>974</v>
      </c>
      <c r="N75" s="335" t="s">
        <v>388</v>
      </c>
      <c r="O75" s="335" t="s">
        <v>389</v>
      </c>
      <c r="Q75" s="307" t="e">
        <f ca="1">_xll.BDP(M75&amp;" "&amp;N75&amp;" "&amp;O75,Q$2)</f>
        <v>#NAME?</v>
      </c>
      <c r="R75" s="307" t="e">
        <f ca="1">_xll.BDP(M75&amp;" "&amp;N75&amp;" "&amp;O75,R$2)</f>
        <v>#NAME?</v>
      </c>
      <c r="S75" s="307" t="e">
        <f ca="1">_xll.BDP(M75&amp;" "&amp;N75&amp;" "&amp;O75,S$2)</f>
        <v>#NAME?</v>
      </c>
      <c r="T75" s="307" t="e">
        <f ca="1">_xll.BDP(M75&amp;" "&amp;N75&amp;" "&amp;O75,T$2)</f>
        <v>#NAME?</v>
      </c>
      <c r="V75" s="307" t="s">
        <v>975</v>
      </c>
      <c r="W75" s="307">
        <v>70</v>
      </c>
      <c r="X75" s="307" t="s">
        <v>390</v>
      </c>
      <c r="Y75" s="307" t="s">
        <v>973</v>
      </c>
    </row>
    <row r="76" spans="2:25">
      <c r="B76" s="335" t="s">
        <v>374</v>
      </c>
      <c r="C76" s="335" t="s">
        <v>375</v>
      </c>
      <c r="D76" s="335" t="s">
        <v>821</v>
      </c>
      <c r="E76" s="335" t="s">
        <v>822</v>
      </c>
      <c r="F76" s="335" t="s">
        <v>376</v>
      </c>
      <c r="G76" s="335" t="s">
        <v>11</v>
      </c>
      <c r="H76" s="336" t="s">
        <v>11</v>
      </c>
      <c r="I76" s="335">
        <v>0</v>
      </c>
      <c r="J76" s="335" t="s">
        <v>823</v>
      </c>
      <c r="K76" s="335" t="s">
        <v>820</v>
      </c>
      <c r="M76" s="335" t="s">
        <v>976</v>
      </c>
      <c r="N76" s="335" t="s">
        <v>388</v>
      </c>
      <c r="O76" s="335" t="s">
        <v>389</v>
      </c>
      <c r="Q76" s="307" t="e">
        <f ca="1">_xll.BDP(M76&amp;" "&amp;N76&amp;" "&amp;O76,Q$2)</f>
        <v>#NAME?</v>
      </c>
      <c r="R76" s="307" t="e">
        <f ca="1">_xll.BDP(M76&amp;" "&amp;N76&amp;" "&amp;O76,R$2)</f>
        <v>#NAME?</v>
      </c>
      <c r="S76" s="307" t="e">
        <f ca="1">_xll.BDP(M76&amp;" "&amp;N76&amp;" "&amp;O76,S$2)</f>
        <v>#NAME?</v>
      </c>
      <c r="T76" s="307" t="e">
        <f ca="1">_xll.BDP(M76&amp;" "&amp;N76&amp;" "&amp;O76,T$2)</f>
        <v>#NAME?</v>
      </c>
      <c r="V76" s="307" t="s">
        <v>977</v>
      </c>
      <c r="W76" s="307">
        <v>72.400000000000006</v>
      </c>
      <c r="X76" s="307" t="s">
        <v>390</v>
      </c>
      <c r="Y76" s="307" t="s">
        <v>973</v>
      </c>
    </row>
    <row r="77" spans="2:25">
      <c r="B77" s="335" t="s">
        <v>374</v>
      </c>
      <c r="C77" s="335" t="s">
        <v>375</v>
      </c>
      <c r="D77" s="335" t="s">
        <v>821</v>
      </c>
      <c r="E77" s="335" t="s">
        <v>822</v>
      </c>
      <c r="F77" s="335" t="s">
        <v>376</v>
      </c>
      <c r="G77" s="335" t="s">
        <v>11</v>
      </c>
      <c r="H77" s="336" t="s">
        <v>13</v>
      </c>
      <c r="I77" s="335">
        <v>0</v>
      </c>
      <c r="J77" s="335" t="s">
        <v>823</v>
      </c>
      <c r="K77" s="335" t="s">
        <v>820</v>
      </c>
      <c r="M77" s="335" t="s">
        <v>978</v>
      </c>
      <c r="N77" s="335" t="s">
        <v>388</v>
      </c>
      <c r="O77" s="335" t="s">
        <v>389</v>
      </c>
      <c r="Q77" s="307" t="e">
        <f ca="1">_xll.BDP(M77&amp;" "&amp;N77&amp;" "&amp;O77,Q$2)</f>
        <v>#NAME?</v>
      </c>
      <c r="R77" s="307" t="e">
        <f ca="1">_xll.BDP(M77&amp;" "&amp;N77&amp;" "&amp;O77,R$2)</f>
        <v>#NAME?</v>
      </c>
      <c r="S77" s="307" t="e">
        <f ca="1">_xll.BDP(M77&amp;" "&amp;N77&amp;" "&amp;O77,S$2)</f>
        <v>#NAME?</v>
      </c>
      <c r="T77" s="307" t="e">
        <f ca="1">_xll.BDP(M77&amp;" "&amp;N77&amp;" "&amp;O77,T$2)</f>
        <v>#NAME?</v>
      </c>
      <c r="V77" s="307" t="s">
        <v>979</v>
      </c>
      <c r="W77" s="307">
        <v>73.900000000000006</v>
      </c>
      <c r="X77" s="307" t="s">
        <v>390</v>
      </c>
      <c r="Y77" s="307" t="s">
        <v>847</v>
      </c>
    </row>
    <row r="78" spans="2:25">
      <c r="B78" s="335" t="s">
        <v>374</v>
      </c>
      <c r="C78" s="335" t="s">
        <v>375</v>
      </c>
      <c r="D78" s="335" t="s">
        <v>821</v>
      </c>
      <c r="E78" s="335" t="s">
        <v>822</v>
      </c>
      <c r="F78" s="335" t="s">
        <v>376</v>
      </c>
      <c r="G78" s="335" t="s">
        <v>11</v>
      </c>
      <c r="H78" s="336" t="s">
        <v>16</v>
      </c>
      <c r="I78" s="335">
        <v>0</v>
      </c>
      <c r="J78" s="335" t="s">
        <v>823</v>
      </c>
      <c r="K78" s="335" t="s">
        <v>820</v>
      </c>
      <c r="M78" s="335" t="s">
        <v>980</v>
      </c>
      <c r="N78" s="335" t="s">
        <v>388</v>
      </c>
      <c r="O78" s="335" t="s">
        <v>389</v>
      </c>
      <c r="Q78" s="307" t="e">
        <f ca="1">_xll.BDP(M78&amp;" "&amp;N78&amp;" "&amp;O78,Q$2)</f>
        <v>#NAME?</v>
      </c>
      <c r="R78" s="307" t="e">
        <f ca="1">_xll.BDP(M78&amp;" "&amp;N78&amp;" "&amp;O78,R$2)</f>
        <v>#NAME?</v>
      </c>
      <c r="S78" s="307" t="e">
        <f ca="1">_xll.BDP(M78&amp;" "&amp;N78&amp;" "&amp;O78,S$2)</f>
        <v>#NAME?</v>
      </c>
      <c r="T78" s="307" t="e">
        <f ca="1">_xll.BDP(M78&amp;" "&amp;N78&amp;" "&amp;O78,T$2)</f>
        <v>#NAME?</v>
      </c>
      <c r="V78" s="307" t="s">
        <v>981</v>
      </c>
      <c r="W78" s="307">
        <v>73.3</v>
      </c>
      <c r="X78" s="307" t="s">
        <v>390</v>
      </c>
      <c r="Y78" s="307" t="s">
        <v>847</v>
      </c>
    </row>
    <row r="79" spans="2:25">
      <c r="B79" s="335" t="s">
        <v>374</v>
      </c>
      <c r="C79" s="335" t="s">
        <v>375</v>
      </c>
      <c r="D79" s="335" t="s">
        <v>821</v>
      </c>
      <c r="E79" s="335" t="s">
        <v>822</v>
      </c>
      <c r="F79" s="335" t="s">
        <v>376</v>
      </c>
      <c r="G79" s="335" t="s">
        <v>11</v>
      </c>
      <c r="H79" s="336" t="s">
        <v>17</v>
      </c>
      <c r="I79" s="335">
        <v>0</v>
      </c>
      <c r="J79" s="335" t="s">
        <v>823</v>
      </c>
      <c r="K79" s="335" t="s">
        <v>820</v>
      </c>
      <c r="M79" s="335" t="s">
        <v>982</v>
      </c>
      <c r="N79" s="335" t="s">
        <v>388</v>
      </c>
      <c r="O79" s="335" t="s">
        <v>389</v>
      </c>
      <c r="Q79" s="307" t="e">
        <f ca="1">_xll.BDP(M79&amp;" "&amp;N79&amp;" "&amp;O79,Q$2)</f>
        <v>#NAME?</v>
      </c>
      <c r="R79" s="307" t="e">
        <f ca="1">_xll.BDP(M79&amp;" "&amp;N79&amp;" "&amp;O79,R$2)</f>
        <v>#NAME?</v>
      </c>
      <c r="S79" s="307" t="e">
        <f ca="1">_xll.BDP(M79&amp;" "&amp;N79&amp;" "&amp;O79,S$2)</f>
        <v>#NAME?</v>
      </c>
      <c r="T79" s="307" t="e">
        <f ca="1">_xll.BDP(M79&amp;" "&amp;N79&amp;" "&amp;O79,T$2)</f>
        <v>#NAME?</v>
      </c>
      <c r="V79" s="307" t="s">
        <v>983</v>
      </c>
      <c r="W79" s="307">
        <v>70.099999999999994</v>
      </c>
      <c r="X79" s="307" t="s">
        <v>390</v>
      </c>
      <c r="Y79" s="307" t="s">
        <v>859</v>
      </c>
    </row>
    <row r="80" spans="2:25">
      <c r="B80" s="335" t="s">
        <v>374</v>
      </c>
      <c r="C80" s="335" t="s">
        <v>375</v>
      </c>
      <c r="D80" s="335" t="s">
        <v>821</v>
      </c>
      <c r="E80" s="335" t="s">
        <v>822</v>
      </c>
      <c r="F80" s="335" t="s">
        <v>376</v>
      </c>
      <c r="G80" s="335" t="s">
        <v>11</v>
      </c>
      <c r="H80" s="336" t="s">
        <v>104</v>
      </c>
      <c r="I80" s="335">
        <v>0</v>
      </c>
      <c r="J80" s="335" t="s">
        <v>823</v>
      </c>
      <c r="K80" s="335" t="s">
        <v>820</v>
      </c>
      <c r="M80" s="335" t="s">
        <v>984</v>
      </c>
      <c r="N80" s="335" t="s">
        <v>388</v>
      </c>
      <c r="O80" s="335" t="s">
        <v>389</v>
      </c>
      <c r="Q80" s="307" t="e">
        <f ca="1">_xll.BDP(M80&amp;" "&amp;N80&amp;" "&amp;O80,Q$2)</f>
        <v>#NAME?</v>
      </c>
      <c r="R80" s="307" t="e">
        <f ca="1">_xll.BDP(M80&amp;" "&amp;N80&amp;" "&amp;O80,R$2)</f>
        <v>#NAME?</v>
      </c>
      <c r="S80" s="307" t="e">
        <f ca="1">_xll.BDP(M80&amp;" "&amp;N80&amp;" "&amp;O80,S$2)</f>
        <v>#NAME?</v>
      </c>
      <c r="T80" s="307" t="e">
        <f ca="1">_xll.BDP(M80&amp;" "&amp;N80&amp;" "&amp;O80,T$2)</f>
        <v>#NAME?</v>
      </c>
      <c r="V80" s="307" t="s">
        <v>985</v>
      </c>
      <c r="W80" s="307">
        <v>65.7</v>
      </c>
      <c r="X80" s="307" t="s">
        <v>390</v>
      </c>
      <c r="Y80" s="307" t="s">
        <v>973</v>
      </c>
    </row>
    <row r="81" spans="2:25">
      <c r="B81" s="335" t="s">
        <v>374</v>
      </c>
      <c r="C81" s="335" t="s">
        <v>375</v>
      </c>
      <c r="D81" s="335" t="s">
        <v>821</v>
      </c>
      <c r="E81" s="335" t="s">
        <v>822</v>
      </c>
      <c r="F81" s="335" t="s">
        <v>376</v>
      </c>
      <c r="G81" s="335" t="s">
        <v>12</v>
      </c>
      <c r="H81" s="335" t="s">
        <v>23</v>
      </c>
      <c r="I81" s="335">
        <v>0</v>
      </c>
      <c r="J81" s="335" t="s">
        <v>823</v>
      </c>
      <c r="K81" s="335" t="s">
        <v>820</v>
      </c>
      <c r="M81" s="335" t="s">
        <v>986</v>
      </c>
      <c r="N81" s="335" t="s">
        <v>388</v>
      </c>
      <c r="O81" s="335" t="s">
        <v>389</v>
      </c>
      <c r="Q81" s="307" t="e">
        <f ca="1">_xll.BDP(M81&amp;" "&amp;N81&amp;" "&amp;O81,Q$2)</f>
        <v>#NAME?</v>
      </c>
      <c r="R81" s="307" t="e">
        <f ca="1">_xll.BDP(M81&amp;" "&amp;N81&amp;" "&amp;O81,R$2)</f>
        <v>#NAME?</v>
      </c>
      <c r="S81" s="307" t="e">
        <f ca="1">_xll.BDP(M81&amp;" "&amp;N81&amp;" "&amp;O81,S$2)</f>
        <v>#NAME?</v>
      </c>
      <c r="T81" s="307" t="e">
        <f ca="1">_xll.BDP(M81&amp;" "&amp;N81&amp;" "&amp;O81,T$2)</f>
        <v>#NAME?</v>
      </c>
      <c r="V81" s="307" t="s">
        <v>987</v>
      </c>
      <c r="W81" s="307">
        <v>44.2</v>
      </c>
      <c r="X81" s="307" t="s">
        <v>390</v>
      </c>
      <c r="Y81" s="307" t="s">
        <v>893</v>
      </c>
    </row>
    <row r="82" spans="2:25">
      <c r="B82" s="335" t="s">
        <v>374</v>
      </c>
      <c r="C82" s="335" t="s">
        <v>375</v>
      </c>
      <c r="D82" s="335" t="s">
        <v>821</v>
      </c>
      <c r="E82" s="335" t="s">
        <v>822</v>
      </c>
      <c r="F82" s="335" t="s">
        <v>376</v>
      </c>
      <c r="G82" s="335" t="s">
        <v>12</v>
      </c>
      <c r="H82" s="335" t="s">
        <v>398</v>
      </c>
      <c r="I82" s="335">
        <v>0</v>
      </c>
      <c r="J82" s="335" t="s">
        <v>823</v>
      </c>
      <c r="K82" s="335" t="s">
        <v>820</v>
      </c>
      <c r="M82" s="335" t="s">
        <v>988</v>
      </c>
      <c r="N82" s="335" t="s">
        <v>388</v>
      </c>
      <c r="O82" s="335" t="s">
        <v>389</v>
      </c>
      <c r="Q82" s="307" t="e">
        <f ca="1">_xll.BDP(M82&amp;" "&amp;N82&amp;" "&amp;O82,Q$2)</f>
        <v>#NAME?</v>
      </c>
      <c r="R82" s="307" t="e">
        <f ca="1">_xll.BDP(M82&amp;" "&amp;N82&amp;" "&amp;O82,R$2)</f>
        <v>#NAME?</v>
      </c>
      <c r="S82" s="307" t="e">
        <f ca="1">_xll.BDP(M82&amp;" "&amp;N82&amp;" "&amp;O82,S$2)</f>
        <v>#NAME?</v>
      </c>
      <c r="T82" s="307" t="e">
        <f ca="1">_xll.BDP(M82&amp;" "&amp;N82&amp;" "&amp;O82,T$2)</f>
        <v>#NAME?</v>
      </c>
      <c r="V82" s="307" t="s">
        <v>989</v>
      </c>
      <c r="W82" s="307">
        <v>45.3</v>
      </c>
      <c r="X82" s="307" t="s">
        <v>390</v>
      </c>
      <c r="Y82" s="307" t="s">
        <v>927</v>
      </c>
    </row>
    <row r="83" spans="2:25">
      <c r="B83" s="335" t="s">
        <v>374</v>
      </c>
      <c r="C83" s="335" t="s">
        <v>375</v>
      </c>
      <c r="D83" s="335" t="s">
        <v>821</v>
      </c>
      <c r="E83" s="335" t="s">
        <v>822</v>
      </c>
      <c r="F83" s="335" t="s">
        <v>376</v>
      </c>
      <c r="G83" s="335" t="s">
        <v>12</v>
      </c>
      <c r="H83" s="336" t="s">
        <v>26</v>
      </c>
      <c r="I83" s="335">
        <v>0</v>
      </c>
      <c r="J83" s="335" t="s">
        <v>823</v>
      </c>
      <c r="K83" s="335" t="s">
        <v>820</v>
      </c>
      <c r="M83" s="335" t="s">
        <v>990</v>
      </c>
      <c r="N83" s="335" t="s">
        <v>388</v>
      </c>
      <c r="O83" s="335" t="s">
        <v>389</v>
      </c>
      <c r="Q83" s="307" t="e">
        <f ca="1">_xll.BDP(M83&amp;" "&amp;N83&amp;" "&amp;O83,Q$2)</f>
        <v>#NAME?</v>
      </c>
      <c r="R83" s="307" t="e">
        <f ca="1">_xll.BDP(M83&amp;" "&amp;N83&amp;" "&amp;O83,R$2)</f>
        <v>#NAME?</v>
      </c>
      <c r="S83" s="307" t="e">
        <f ca="1">_xll.BDP(M83&amp;" "&amp;N83&amp;" "&amp;O83,S$2)</f>
        <v>#NAME?</v>
      </c>
      <c r="T83" s="307" t="e">
        <f ca="1">_xll.BDP(M83&amp;" "&amp;N83&amp;" "&amp;O83,T$2)</f>
        <v>#NAME?</v>
      </c>
      <c r="V83" s="307" t="s">
        <v>991</v>
      </c>
      <c r="W83" s="307">
        <v>45.6</v>
      </c>
      <c r="X83" s="307" t="s">
        <v>390</v>
      </c>
      <c r="Y83" s="307" t="s">
        <v>836</v>
      </c>
    </row>
    <row r="84" spans="2:25">
      <c r="B84" s="335" t="s">
        <v>374</v>
      </c>
      <c r="C84" s="335" t="s">
        <v>375</v>
      </c>
      <c r="D84" s="335" t="s">
        <v>821</v>
      </c>
      <c r="E84" s="335" t="s">
        <v>822</v>
      </c>
      <c r="F84" s="335" t="s">
        <v>376</v>
      </c>
      <c r="G84" s="335" t="s">
        <v>12</v>
      </c>
      <c r="H84" s="336" t="s">
        <v>19</v>
      </c>
      <c r="I84" s="335">
        <v>0</v>
      </c>
      <c r="J84" s="335" t="s">
        <v>823</v>
      </c>
      <c r="K84" s="335" t="s">
        <v>820</v>
      </c>
      <c r="M84" s="335" t="s">
        <v>992</v>
      </c>
      <c r="N84" s="335" t="s">
        <v>388</v>
      </c>
      <c r="O84" s="335" t="s">
        <v>389</v>
      </c>
      <c r="Q84" s="307" t="e">
        <f ca="1">_xll.BDP(M84&amp;" "&amp;N84&amp;" "&amp;O84,Q$2)</f>
        <v>#NAME?</v>
      </c>
      <c r="R84" s="307" t="e">
        <f ca="1">_xll.BDP(M84&amp;" "&amp;N84&amp;" "&amp;O84,R$2)</f>
        <v>#NAME?</v>
      </c>
      <c r="S84" s="307" t="e">
        <f ca="1">_xll.BDP(M84&amp;" "&amp;N84&amp;" "&amp;O84,S$2)</f>
        <v>#NAME?</v>
      </c>
      <c r="T84" s="307" t="e">
        <f ca="1">_xll.BDP(M84&amp;" "&amp;N84&amp;" "&amp;O84,T$2)</f>
        <v>#NAME?</v>
      </c>
      <c r="V84" s="307" t="s">
        <v>993</v>
      </c>
      <c r="W84" s="307">
        <v>48</v>
      </c>
      <c r="X84" s="307" t="s">
        <v>390</v>
      </c>
      <c r="Y84" s="307" t="s">
        <v>836</v>
      </c>
    </row>
    <row r="85" spans="2:25">
      <c r="B85" s="335" t="s">
        <v>374</v>
      </c>
      <c r="C85" s="335" t="s">
        <v>375</v>
      </c>
      <c r="D85" s="335" t="s">
        <v>821</v>
      </c>
      <c r="E85" s="335" t="s">
        <v>822</v>
      </c>
      <c r="F85" s="335" t="s">
        <v>376</v>
      </c>
      <c r="G85" s="335" t="s">
        <v>12</v>
      </c>
      <c r="H85" s="336" t="s">
        <v>412</v>
      </c>
      <c r="I85" s="335">
        <v>0</v>
      </c>
      <c r="J85" s="335" t="s">
        <v>823</v>
      </c>
      <c r="K85" s="335" t="s">
        <v>820</v>
      </c>
      <c r="M85" s="335" t="s">
        <v>994</v>
      </c>
      <c r="N85" s="335" t="s">
        <v>388</v>
      </c>
      <c r="O85" s="335" t="s">
        <v>389</v>
      </c>
      <c r="Q85" s="307" t="e">
        <f ca="1">_xll.BDP(M85&amp;" "&amp;N85&amp;" "&amp;O85,Q$2)</f>
        <v>#NAME?</v>
      </c>
      <c r="R85" s="307" t="e">
        <f ca="1">_xll.BDP(M85&amp;" "&amp;N85&amp;" "&amp;O85,R$2)</f>
        <v>#NAME?</v>
      </c>
      <c r="S85" s="307" t="e">
        <f ca="1">_xll.BDP(M85&amp;" "&amp;N85&amp;" "&amp;O85,S$2)</f>
        <v>#NAME?</v>
      </c>
      <c r="T85" s="307" t="e">
        <f ca="1">_xll.BDP(M85&amp;" "&amp;N85&amp;" "&amp;O85,T$2)</f>
        <v>#NAME?</v>
      </c>
      <c r="V85" s="307" t="s">
        <v>995</v>
      </c>
      <c r="W85" s="307">
        <v>50</v>
      </c>
      <c r="X85" s="307" t="s">
        <v>390</v>
      </c>
      <c r="Y85" s="307" t="s">
        <v>893</v>
      </c>
    </row>
    <row r="86" spans="2:25">
      <c r="B86" s="335" t="s">
        <v>374</v>
      </c>
      <c r="C86" s="335" t="s">
        <v>375</v>
      </c>
      <c r="D86" s="335" t="s">
        <v>821</v>
      </c>
      <c r="E86" s="335" t="s">
        <v>822</v>
      </c>
      <c r="F86" s="335" t="s">
        <v>376</v>
      </c>
      <c r="G86" s="335" t="s">
        <v>12</v>
      </c>
      <c r="H86" s="336" t="s">
        <v>7</v>
      </c>
      <c r="I86" s="335">
        <v>0</v>
      </c>
      <c r="J86" s="335" t="s">
        <v>823</v>
      </c>
      <c r="K86" s="335" t="s">
        <v>820</v>
      </c>
      <c r="M86" s="335" t="s">
        <v>996</v>
      </c>
      <c r="N86" s="335" t="s">
        <v>388</v>
      </c>
      <c r="O86" s="335" t="s">
        <v>389</v>
      </c>
      <c r="Q86" s="307" t="e">
        <f ca="1">_xll.BDP(M86&amp;" "&amp;N86&amp;" "&amp;O86,Q$2)</f>
        <v>#NAME?</v>
      </c>
      <c r="R86" s="307" t="e">
        <f ca="1">_xll.BDP(M86&amp;" "&amp;N86&amp;" "&amp;O86,R$2)</f>
        <v>#NAME?</v>
      </c>
      <c r="S86" s="307" t="e">
        <f ca="1">_xll.BDP(M86&amp;" "&amp;N86&amp;" "&amp;O86,S$2)</f>
        <v>#NAME?</v>
      </c>
      <c r="T86" s="307" t="e">
        <f ca="1">_xll.BDP(M86&amp;" "&amp;N86&amp;" "&amp;O86,T$2)</f>
        <v>#NAME?</v>
      </c>
      <c r="V86" s="307" t="s">
        <v>997</v>
      </c>
      <c r="W86" s="307">
        <v>53.4</v>
      </c>
      <c r="X86" s="307" t="s">
        <v>390</v>
      </c>
      <c r="Y86" s="307" t="s">
        <v>836</v>
      </c>
    </row>
    <row r="87" spans="2:25">
      <c r="B87" s="335" t="s">
        <v>374</v>
      </c>
      <c r="C87" s="335" t="s">
        <v>375</v>
      </c>
      <c r="D87" s="335" t="s">
        <v>821</v>
      </c>
      <c r="E87" s="335" t="s">
        <v>822</v>
      </c>
      <c r="F87" s="335" t="s">
        <v>376</v>
      </c>
      <c r="G87" s="335" t="s">
        <v>12</v>
      </c>
      <c r="H87" s="336" t="s">
        <v>154</v>
      </c>
      <c r="I87" s="335">
        <v>0</v>
      </c>
      <c r="J87" s="335" t="s">
        <v>823</v>
      </c>
      <c r="K87" s="335" t="s">
        <v>820</v>
      </c>
      <c r="M87" s="335" t="s">
        <v>998</v>
      </c>
      <c r="N87" s="335" t="s">
        <v>388</v>
      </c>
      <c r="O87" s="335" t="s">
        <v>389</v>
      </c>
      <c r="Q87" s="307" t="e">
        <f ca="1">_xll.BDP(M87&amp;" "&amp;N87&amp;" "&amp;O87,Q$2)</f>
        <v>#NAME?</v>
      </c>
      <c r="R87" s="307" t="e">
        <f ca="1">_xll.BDP(M87&amp;" "&amp;N87&amp;" "&amp;O87,R$2)</f>
        <v>#NAME?</v>
      </c>
      <c r="S87" s="307" t="e">
        <f ca="1">_xll.BDP(M87&amp;" "&amp;N87&amp;" "&amp;O87,S$2)</f>
        <v>#NAME?</v>
      </c>
      <c r="T87" s="307" t="e">
        <f ca="1">_xll.BDP(M87&amp;" "&amp;N87&amp;" "&amp;O87,T$2)</f>
        <v>#NAME?</v>
      </c>
      <c r="V87" s="307" t="s">
        <v>999</v>
      </c>
      <c r="W87" s="307">
        <v>58.3</v>
      </c>
      <c r="X87" s="307" t="s">
        <v>390</v>
      </c>
      <c r="Y87" s="307" t="s">
        <v>836</v>
      </c>
    </row>
    <row r="88" spans="2:25">
      <c r="B88" s="335" t="s">
        <v>374</v>
      </c>
      <c r="C88" s="335" t="s">
        <v>375</v>
      </c>
      <c r="D88" s="335" t="s">
        <v>821</v>
      </c>
      <c r="E88" s="335" t="s">
        <v>822</v>
      </c>
      <c r="F88" s="335" t="s">
        <v>376</v>
      </c>
      <c r="G88" s="335" t="s">
        <v>12</v>
      </c>
      <c r="H88" s="336" t="s">
        <v>8</v>
      </c>
      <c r="I88" s="335">
        <v>0</v>
      </c>
      <c r="J88" s="335" t="s">
        <v>823</v>
      </c>
      <c r="K88" s="335" t="s">
        <v>820</v>
      </c>
      <c r="M88" s="335" t="s">
        <v>1000</v>
      </c>
      <c r="N88" s="335" t="s">
        <v>388</v>
      </c>
      <c r="O88" s="335" t="s">
        <v>389</v>
      </c>
      <c r="Q88" s="307" t="e">
        <f ca="1">_xll.BDP(M88&amp;" "&amp;N88&amp;" "&amp;O88,Q$2)</f>
        <v>#NAME?</v>
      </c>
      <c r="R88" s="307" t="e">
        <f ca="1">_xll.BDP(M88&amp;" "&amp;N88&amp;" "&amp;O88,R$2)</f>
        <v>#NAME?</v>
      </c>
      <c r="S88" s="307" t="e">
        <f ca="1">_xll.BDP(M88&amp;" "&amp;N88&amp;" "&amp;O88,S$2)</f>
        <v>#NAME?</v>
      </c>
      <c r="T88" s="307" t="e">
        <f ca="1">_xll.BDP(M88&amp;" "&amp;N88&amp;" "&amp;O88,T$2)</f>
        <v>#NAME?</v>
      </c>
      <c r="V88" s="307" t="s">
        <v>1001</v>
      </c>
      <c r="W88" s="307">
        <v>62.2</v>
      </c>
      <c r="X88" s="307" t="s">
        <v>390</v>
      </c>
      <c r="Y88" s="307" t="s">
        <v>847</v>
      </c>
    </row>
    <row r="89" spans="2:25">
      <c r="B89" s="335" t="s">
        <v>374</v>
      </c>
      <c r="C89" s="335" t="s">
        <v>375</v>
      </c>
      <c r="D89" s="335" t="s">
        <v>821</v>
      </c>
      <c r="E89" s="335" t="s">
        <v>822</v>
      </c>
      <c r="F89" s="335" t="s">
        <v>376</v>
      </c>
      <c r="G89" s="335" t="s">
        <v>12</v>
      </c>
      <c r="H89" s="336" t="s">
        <v>9</v>
      </c>
      <c r="I89" s="335">
        <v>0</v>
      </c>
      <c r="J89" s="335" t="s">
        <v>823</v>
      </c>
      <c r="K89" s="335" t="s">
        <v>820</v>
      </c>
      <c r="M89" s="335" t="s">
        <v>1002</v>
      </c>
      <c r="N89" s="335" t="s">
        <v>388</v>
      </c>
      <c r="O89" s="335" t="s">
        <v>389</v>
      </c>
      <c r="Q89" s="307" t="e">
        <f ca="1">_xll.BDP(M89&amp;" "&amp;N89&amp;" "&amp;O89,Q$2)</f>
        <v>#NAME?</v>
      </c>
      <c r="R89" s="307" t="e">
        <f ca="1">_xll.BDP(M89&amp;" "&amp;N89&amp;" "&amp;O89,R$2)</f>
        <v>#NAME?</v>
      </c>
      <c r="S89" s="307" t="e">
        <f ca="1">_xll.BDP(M89&amp;" "&amp;N89&amp;" "&amp;O89,S$2)</f>
        <v>#NAME?</v>
      </c>
      <c r="T89" s="307" t="e">
        <f ca="1">_xll.BDP(M89&amp;" "&amp;N89&amp;" "&amp;O89,T$2)</f>
        <v>#NAME?</v>
      </c>
      <c r="V89" s="307" t="s">
        <v>1003</v>
      </c>
      <c r="W89" s="307">
        <v>68.099999999999994</v>
      </c>
      <c r="X89" s="307" t="s">
        <v>390</v>
      </c>
      <c r="Y89" s="307" t="s">
        <v>847</v>
      </c>
    </row>
    <row r="90" spans="2:25">
      <c r="B90" s="335" t="s">
        <v>374</v>
      </c>
      <c r="C90" s="335" t="s">
        <v>375</v>
      </c>
      <c r="D90" s="335" t="s">
        <v>821</v>
      </c>
      <c r="E90" s="335" t="s">
        <v>822</v>
      </c>
      <c r="F90" s="335" t="s">
        <v>376</v>
      </c>
      <c r="G90" s="335" t="s">
        <v>12</v>
      </c>
      <c r="H90" s="336" t="s">
        <v>10</v>
      </c>
      <c r="I90" s="335">
        <v>0</v>
      </c>
      <c r="J90" s="335" t="s">
        <v>823</v>
      </c>
      <c r="K90" s="335" t="s">
        <v>820</v>
      </c>
      <c r="M90" s="335" t="s">
        <v>1004</v>
      </c>
      <c r="N90" s="335" t="s">
        <v>388</v>
      </c>
      <c r="O90" s="335" t="s">
        <v>389</v>
      </c>
      <c r="Q90" s="307" t="e">
        <f ca="1">_xll.BDP(M90&amp;" "&amp;N90&amp;" "&amp;O90,Q$2)</f>
        <v>#NAME?</v>
      </c>
      <c r="R90" s="307" t="e">
        <f ca="1">_xll.BDP(M90&amp;" "&amp;N90&amp;" "&amp;O90,R$2)</f>
        <v>#NAME?</v>
      </c>
      <c r="S90" s="307" t="e">
        <f ca="1">_xll.BDP(M90&amp;" "&amp;N90&amp;" "&amp;O90,S$2)</f>
        <v>#NAME?</v>
      </c>
      <c r="T90" s="307" t="e">
        <f ca="1">_xll.BDP(M90&amp;" "&amp;N90&amp;" "&amp;O90,T$2)</f>
        <v>#NAME?</v>
      </c>
      <c r="V90" s="307" t="s">
        <v>1005</v>
      </c>
      <c r="W90" s="307">
        <v>71</v>
      </c>
      <c r="X90" s="307" t="s">
        <v>390</v>
      </c>
      <c r="Y90" s="307" t="s">
        <v>973</v>
      </c>
    </row>
    <row r="91" spans="2:25">
      <c r="B91" s="335" t="s">
        <v>374</v>
      </c>
      <c r="C91" s="335" t="s">
        <v>375</v>
      </c>
      <c r="D91" s="335" t="s">
        <v>821</v>
      </c>
      <c r="E91" s="335" t="s">
        <v>822</v>
      </c>
      <c r="F91" s="335" t="s">
        <v>376</v>
      </c>
      <c r="G91" s="335" t="s">
        <v>12</v>
      </c>
      <c r="H91" s="336" t="s">
        <v>11</v>
      </c>
      <c r="I91" s="335">
        <v>0</v>
      </c>
      <c r="J91" s="335" t="s">
        <v>823</v>
      </c>
      <c r="K91" s="335" t="s">
        <v>820</v>
      </c>
      <c r="M91" s="335" t="s">
        <v>1006</v>
      </c>
      <c r="N91" s="335" t="s">
        <v>388</v>
      </c>
      <c r="O91" s="335" t="s">
        <v>389</v>
      </c>
      <c r="Q91" s="307" t="e">
        <f ca="1">_xll.BDP(M91&amp;" "&amp;N91&amp;" "&amp;O91,Q$2)</f>
        <v>#NAME?</v>
      </c>
      <c r="R91" s="307" t="e">
        <f ca="1">_xll.BDP(M91&amp;" "&amp;N91&amp;" "&amp;O91,R$2)</f>
        <v>#NAME?</v>
      </c>
      <c r="S91" s="307" t="e">
        <f ca="1">_xll.BDP(M91&amp;" "&amp;N91&amp;" "&amp;O91,S$2)</f>
        <v>#NAME?</v>
      </c>
      <c r="T91" s="307" t="e">
        <f ca="1">_xll.BDP(M91&amp;" "&amp;N91&amp;" "&amp;O91,T$2)</f>
        <v>#NAME?</v>
      </c>
      <c r="V91" s="307" t="s">
        <v>1007</v>
      </c>
      <c r="W91" s="307">
        <v>73</v>
      </c>
      <c r="X91" s="307" t="s">
        <v>390</v>
      </c>
      <c r="Y91" s="307" t="s">
        <v>847</v>
      </c>
    </row>
    <row r="92" spans="2:25">
      <c r="B92" s="335" t="s">
        <v>374</v>
      </c>
      <c r="C92" s="335" t="s">
        <v>375</v>
      </c>
      <c r="D92" s="335" t="s">
        <v>821</v>
      </c>
      <c r="E92" s="335" t="s">
        <v>822</v>
      </c>
      <c r="F92" s="335" t="s">
        <v>376</v>
      </c>
      <c r="G92" s="335" t="s">
        <v>12</v>
      </c>
      <c r="H92" s="336" t="s">
        <v>13</v>
      </c>
      <c r="I92" s="335">
        <v>0</v>
      </c>
      <c r="J92" s="335" t="s">
        <v>823</v>
      </c>
      <c r="K92" s="335" t="s">
        <v>820</v>
      </c>
      <c r="M92" s="335" t="s">
        <v>1008</v>
      </c>
      <c r="N92" s="335" t="s">
        <v>388</v>
      </c>
      <c r="O92" s="335" t="s">
        <v>389</v>
      </c>
      <c r="Q92" s="307" t="e">
        <f ca="1">_xll.BDP(M92&amp;" "&amp;N92&amp;" "&amp;O92,Q$2)</f>
        <v>#NAME?</v>
      </c>
      <c r="R92" s="307" t="e">
        <f ca="1">_xll.BDP(M92&amp;" "&amp;N92&amp;" "&amp;O92,R$2)</f>
        <v>#NAME?</v>
      </c>
      <c r="S92" s="307" t="e">
        <f ca="1">_xll.BDP(M92&amp;" "&amp;N92&amp;" "&amp;O92,S$2)</f>
        <v>#NAME?</v>
      </c>
      <c r="T92" s="307" t="e">
        <f ca="1">_xll.BDP(M92&amp;" "&amp;N92&amp;" "&amp;O92,T$2)</f>
        <v>#NAME?</v>
      </c>
      <c r="V92" s="307" t="s">
        <v>1009</v>
      </c>
      <c r="W92" s="307">
        <v>73.900000000000006</v>
      </c>
      <c r="X92" s="307" t="s">
        <v>390</v>
      </c>
      <c r="Y92" s="307" t="s">
        <v>847</v>
      </c>
    </row>
    <row r="93" spans="2:25">
      <c r="B93" s="335" t="s">
        <v>374</v>
      </c>
      <c r="C93" s="335" t="s">
        <v>375</v>
      </c>
      <c r="D93" s="335" t="s">
        <v>821</v>
      </c>
      <c r="E93" s="335" t="s">
        <v>822</v>
      </c>
      <c r="F93" s="335" t="s">
        <v>376</v>
      </c>
      <c r="G93" s="335" t="s">
        <v>12</v>
      </c>
      <c r="H93" s="336" t="s">
        <v>16</v>
      </c>
      <c r="I93" s="335">
        <v>0</v>
      </c>
      <c r="J93" s="335" t="s">
        <v>823</v>
      </c>
      <c r="K93" s="335" t="s">
        <v>820</v>
      </c>
      <c r="M93" s="335" t="s">
        <v>1010</v>
      </c>
      <c r="N93" s="335" t="s">
        <v>388</v>
      </c>
      <c r="O93" s="335" t="s">
        <v>389</v>
      </c>
      <c r="Q93" s="307" t="e">
        <f ca="1">_xll.BDP(M93&amp;" "&amp;N93&amp;" "&amp;O93,Q$2)</f>
        <v>#NAME?</v>
      </c>
      <c r="R93" s="307" t="e">
        <f ca="1">_xll.BDP(M93&amp;" "&amp;N93&amp;" "&amp;O93,R$2)</f>
        <v>#NAME?</v>
      </c>
      <c r="S93" s="307" t="e">
        <f ca="1">_xll.BDP(M93&amp;" "&amp;N93&amp;" "&amp;O93,S$2)</f>
        <v>#NAME?</v>
      </c>
      <c r="T93" s="307" t="e">
        <f ca="1">_xll.BDP(M93&amp;" "&amp;N93&amp;" "&amp;O93,T$2)</f>
        <v>#NAME?</v>
      </c>
      <c r="V93" s="307" t="s">
        <v>1011</v>
      </c>
      <c r="W93" s="307">
        <v>73.2</v>
      </c>
      <c r="X93" s="307" t="s">
        <v>390</v>
      </c>
      <c r="Y93" s="307" t="s">
        <v>847</v>
      </c>
    </row>
    <row r="94" spans="2:25">
      <c r="B94" s="335" t="s">
        <v>374</v>
      </c>
      <c r="C94" s="335" t="s">
        <v>375</v>
      </c>
      <c r="D94" s="335" t="s">
        <v>821</v>
      </c>
      <c r="E94" s="335" t="s">
        <v>822</v>
      </c>
      <c r="F94" s="335" t="s">
        <v>376</v>
      </c>
      <c r="G94" s="335" t="s">
        <v>12</v>
      </c>
      <c r="H94" s="336" t="s">
        <v>17</v>
      </c>
      <c r="I94" s="335">
        <v>0</v>
      </c>
      <c r="J94" s="335" t="s">
        <v>823</v>
      </c>
      <c r="K94" s="335" t="s">
        <v>820</v>
      </c>
      <c r="M94" s="335" t="s">
        <v>1012</v>
      </c>
      <c r="N94" s="335" t="s">
        <v>388</v>
      </c>
      <c r="O94" s="335" t="s">
        <v>389</v>
      </c>
      <c r="Q94" s="307" t="e">
        <f ca="1">_xll.BDP(M94&amp;" "&amp;N94&amp;" "&amp;O94,Q$2)</f>
        <v>#NAME?</v>
      </c>
      <c r="R94" s="307" t="e">
        <f ca="1">_xll.BDP(M94&amp;" "&amp;N94&amp;" "&amp;O94,R$2)</f>
        <v>#NAME?</v>
      </c>
      <c r="S94" s="307" t="e">
        <f ca="1">_xll.BDP(M94&amp;" "&amp;N94&amp;" "&amp;O94,S$2)</f>
        <v>#NAME?</v>
      </c>
      <c r="T94" s="307" t="e">
        <f ca="1">_xll.BDP(M94&amp;" "&amp;N94&amp;" "&amp;O94,T$2)</f>
        <v>#NAME?</v>
      </c>
      <c r="V94" s="307" t="s">
        <v>1013</v>
      </c>
      <c r="W94" s="307">
        <v>69.900000000000006</v>
      </c>
      <c r="X94" s="307" t="s">
        <v>390</v>
      </c>
      <c r="Y94" s="307" t="s">
        <v>859</v>
      </c>
    </row>
    <row r="95" spans="2:25">
      <c r="B95" s="335" t="s">
        <v>374</v>
      </c>
      <c r="C95" s="335" t="s">
        <v>375</v>
      </c>
      <c r="D95" s="335" t="s">
        <v>821</v>
      </c>
      <c r="E95" s="335" t="s">
        <v>822</v>
      </c>
      <c r="F95" s="335" t="s">
        <v>376</v>
      </c>
      <c r="G95" s="335" t="s">
        <v>12</v>
      </c>
      <c r="H95" s="336" t="s">
        <v>104</v>
      </c>
      <c r="I95" s="335">
        <v>0</v>
      </c>
      <c r="J95" s="335" t="s">
        <v>823</v>
      </c>
      <c r="K95" s="335" t="s">
        <v>820</v>
      </c>
      <c r="M95" s="335" t="s">
        <v>1014</v>
      </c>
      <c r="N95" s="335" t="s">
        <v>388</v>
      </c>
      <c r="O95" s="335" t="s">
        <v>389</v>
      </c>
      <c r="Q95" s="307" t="e">
        <f ca="1">_xll.BDP(M95&amp;" "&amp;N95&amp;" "&amp;O95,Q$2)</f>
        <v>#NAME?</v>
      </c>
      <c r="R95" s="307" t="e">
        <f ca="1">_xll.BDP(M95&amp;" "&amp;N95&amp;" "&amp;O95,R$2)</f>
        <v>#NAME?</v>
      </c>
      <c r="S95" s="307" t="e">
        <f ca="1">_xll.BDP(M95&amp;" "&amp;N95&amp;" "&amp;O95,S$2)</f>
        <v>#NAME?</v>
      </c>
      <c r="T95" s="307" t="e">
        <f ca="1">_xll.BDP(M95&amp;" "&amp;N95&amp;" "&amp;O95,T$2)</f>
        <v>#NAME?</v>
      </c>
      <c r="V95" s="307" t="s">
        <v>1015</v>
      </c>
      <c r="W95" s="307">
        <v>65.5</v>
      </c>
      <c r="X95" s="307" t="s">
        <v>390</v>
      </c>
      <c r="Y95" s="307" t="s">
        <v>859</v>
      </c>
    </row>
    <row r="96" spans="2:25">
      <c r="B96" s="335" t="s">
        <v>374</v>
      </c>
      <c r="C96" s="335" t="s">
        <v>375</v>
      </c>
      <c r="D96" s="335" t="s">
        <v>821</v>
      </c>
      <c r="E96" s="335" t="s">
        <v>822</v>
      </c>
      <c r="F96" s="335" t="s">
        <v>376</v>
      </c>
      <c r="G96" s="335" t="s">
        <v>13</v>
      </c>
      <c r="H96" s="335" t="s">
        <v>23</v>
      </c>
      <c r="I96" s="335">
        <v>0</v>
      </c>
      <c r="J96" s="335" t="s">
        <v>823</v>
      </c>
      <c r="K96" s="335" t="s">
        <v>820</v>
      </c>
      <c r="M96" s="335" t="s">
        <v>1016</v>
      </c>
      <c r="N96" s="335" t="s">
        <v>388</v>
      </c>
      <c r="O96" s="335" t="s">
        <v>389</v>
      </c>
      <c r="Q96" s="307" t="e">
        <f ca="1">_xll.BDP(M96&amp;" "&amp;N96&amp;" "&amp;O96,Q$2)</f>
        <v>#NAME?</v>
      </c>
      <c r="R96" s="307" t="e">
        <f ca="1">_xll.BDP(M96&amp;" "&amp;N96&amp;" "&amp;O96,R$2)</f>
        <v>#NAME?</v>
      </c>
      <c r="S96" s="307" t="e">
        <f ca="1">_xll.BDP(M96&amp;" "&amp;N96&amp;" "&amp;O96,S$2)</f>
        <v>#NAME?</v>
      </c>
      <c r="T96" s="307" t="e">
        <f ca="1">_xll.BDP(M96&amp;" "&amp;N96&amp;" "&amp;O96,T$2)</f>
        <v>#NAME?</v>
      </c>
      <c r="V96" s="307" t="s">
        <v>1017</v>
      </c>
      <c r="W96" s="307">
        <v>51.8</v>
      </c>
      <c r="X96" s="307" t="s">
        <v>390</v>
      </c>
      <c r="Y96" s="307" t="s">
        <v>893</v>
      </c>
    </row>
    <row r="97" spans="2:25">
      <c r="B97" s="335" t="s">
        <v>374</v>
      </c>
      <c r="C97" s="335" t="s">
        <v>375</v>
      </c>
      <c r="D97" s="335" t="s">
        <v>821</v>
      </c>
      <c r="E97" s="335" t="s">
        <v>822</v>
      </c>
      <c r="F97" s="335" t="s">
        <v>376</v>
      </c>
      <c r="G97" s="335" t="s">
        <v>13</v>
      </c>
      <c r="H97" s="335" t="s">
        <v>398</v>
      </c>
      <c r="I97" s="335">
        <v>0</v>
      </c>
      <c r="J97" s="335" t="s">
        <v>823</v>
      </c>
      <c r="K97" s="335" t="s">
        <v>820</v>
      </c>
      <c r="M97" s="335" t="s">
        <v>1018</v>
      </c>
      <c r="N97" s="335" t="s">
        <v>388</v>
      </c>
      <c r="O97" s="335" t="s">
        <v>389</v>
      </c>
      <c r="Q97" s="307" t="e">
        <f ca="1">_xll.BDP(M97&amp;" "&amp;N97&amp;" "&amp;O97,Q$2)</f>
        <v>#NAME?</v>
      </c>
      <c r="R97" s="307" t="e">
        <f ca="1">_xll.BDP(M97&amp;" "&amp;N97&amp;" "&amp;O97,R$2)</f>
        <v>#NAME?</v>
      </c>
      <c r="S97" s="307" t="e">
        <f ca="1">_xll.BDP(M97&amp;" "&amp;N97&amp;" "&amp;O97,S$2)</f>
        <v>#NAME?</v>
      </c>
      <c r="T97" s="307" t="e">
        <f ca="1">_xll.BDP(M97&amp;" "&amp;N97&amp;" "&amp;O97,T$2)</f>
        <v>#NAME?</v>
      </c>
      <c r="V97" s="307" t="s">
        <v>1019</v>
      </c>
      <c r="W97" s="307">
        <v>52.7</v>
      </c>
      <c r="X97" s="307" t="s">
        <v>390</v>
      </c>
      <c r="Y97" s="307" t="s">
        <v>927</v>
      </c>
    </row>
    <row r="98" spans="2:25">
      <c r="B98" s="335" t="s">
        <v>374</v>
      </c>
      <c r="C98" s="335" t="s">
        <v>375</v>
      </c>
      <c r="D98" s="335" t="s">
        <v>821</v>
      </c>
      <c r="E98" s="335" t="s">
        <v>822</v>
      </c>
      <c r="F98" s="335" t="s">
        <v>376</v>
      </c>
      <c r="G98" s="335" t="s">
        <v>13</v>
      </c>
      <c r="H98" s="336" t="s">
        <v>26</v>
      </c>
      <c r="I98" s="335">
        <v>0</v>
      </c>
      <c r="J98" s="335" t="s">
        <v>823</v>
      </c>
      <c r="K98" s="335" t="s">
        <v>820</v>
      </c>
      <c r="M98" s="335" t="s">
        <v>1020</v>
      </c>
      <c r="N98" s="335" t="s">
        <v>388</v>
      </c>
      <c r="O98" s="335" t="s">
        <v>389</v>
      </c>
      <c r="Q98" s="307" t="e">
        <f ca="1">_xll.BDP(M98&amp;" "&amp;N98&amp;" "&amp;O98,Q$2)</f>
        <v>#NAME?</v>
      </c>
      <c r="R98" s="307" t="e">
        <f ca="1">_xll.BDP(M98&amp;" "&amp;N98&amp;" "&amp;O98,R$2)</f>
        <v>#NAME?</v>
      </c>
      <c r="S98" s="307" t="e">
        <f ca="1">_xll.BDP(M98&amp;" "&amp;N98&amp;" "&amp;O98,S$2)</f>
        <v>#NAME?</v>
      </c>
      <c r="T98" s="307" t="e">
        <f ca="1">_xll.BDP(M98&amp;" "&amp;N98&amp;" "&amp;O98,T$2)</f>
        <v>#NAME?</v>
      </c>
      <c r="V98" s="307" t="s">
        <v>1021</v>
      </c>
      <c r="W98" s="307">
        <v>53.2</v>
      </c>
      <c r="X98" s="307" t="s">
        <v>390</v>
      </c>
      <c r="Y98" s="307" t="s">
        <v>836</v>
      </c>
    </row>
    <row r="99" spans="2:25">
      <c r="B99" s="335" t="s">
        <v>374</v>
      </c>
      <c r="C99" s="335" t="s">
        <v>375</v>
      </c>
      <c r="D99" s="335" t="s">
        <v>821</v>
      </c>
      <c r="E99" s="335" t="s">
        <v>822</v>
      </c>
      <c r="F99" s="335" t="s">
        <v>376</v>
      </c>
      <c r="G99" s="335" t="s">
        <v>13</v>
      </c>
      <c r="H99" s="336" t="s">
        <v>19</v>
      </c>
      <c r="I99" s="335">
        <v>0</v>
      </c>
      <c r="J99" s="335" t="s">
        <v>823</v>
      </c>
      <c r="K99" s="335" t="s">
        <v>820</v>
      </c>
      <c r="M99" s="335" t="s">
        <v>1022</v>
      </c>
      <c r="N99" s="335" t="s">
        <v>388</v>
      </c>
      <c r="O99" s="335" t="s">
        <v>389</v>
      </c>
      <c r="Q99" s="307" t="e">
        <f ca="1">_xll.BDP(M99&amp;" "&amp;N99&amp;" "&amp;O99,Q$2)</f>
        <v>#NAME?</v>
      </c>
      <c r="R99" s="307" t="e">
        <f ca="1">_xll.BDP(M99&amp;" "&amp;N99&amp;" "&amp;O99,R$2)</f>
        <v>#NAME?</v>
      </c>
      <c r="S99" s="307" t="e">
        <f ca="1">_xll.BDP(M99&amp;" "&amp;N99&amp;" "&amp;O99,S$2)</f>
        <v>#NAME?</v>
      </c>
      <c r="T99" s="307" t="e">
        <f ca="1">_xll.BDP(M99&amp;" "&amp;N99&amp;" "&amp;O99,T$2)</f>
        <v>#NAME?</v>
      </c>
      <c r="V99" s="307" t="s">
        <v>1023</v>
      </c>
      <c r="W99" s="307">
        <v>54.7</v>
      </c>
      <c r="X99" s="307" t="s">
        <v>390</v>
      </c>
      <c r="Y99" s="307" t="s">
        <v>836</v>
      </c>
    </row>
    <row r="100" spans="2:25">
      <c r="B100" s="335" t="s">
        <v>374</v>
      </c>
      <c r="C100" s="335" t="s">
        <v>375</v>
      </c>
      <c r="D100" s="335" t="s">
        <v>821</v>
      </c>
      <c r="E100" s="335" t="s">
        <v>822</v>
      </c>
      <c r="F100" s="335" t="s">
        <v>376</v>
      </c>
      <c r="G100" s="335" t="s">
        <v>13</v>
      </c>
      <c r="H100" s="336" t="s">
        <v>412</v>
      </c>
      <c r="I100" s="335">
        <v>0</v>
      </c>
      <c r="J100" s="335" t="s">
        <v>823</v>
      </c>
      <c r="K100" s="335" t="s">
        <v>820</v>
      </c>
      <c r="M100" s="335" t="s">
        <v>1024</v>
      </c>
      <c r="N100" s="335" t="s">
        <v>388</v>
      </c>
      <c r="O100" s="335" t="s">
        <v>389</v>
      </c>
      <c r="Q100" s="307" t="e">
        <f ca="1">_xll.BDP(M100&amp;" "&amp;N100&amp;" "&amp;O100,Q$2)</f>
        <v>#NAME?</v>
      </c>
      <c r="R100" s="307" t="e">
        <f ca="1">_xll.BDP(M100&amp;" "&amp;N100&amp;" "&amp;O100,R$2)</f>
        <v>#NAME?</v>
      </c>
      <c r="S100" s="307" t="e">
        <f ca="1">_xll.BDP(M100&amp;" "&amp;N100&amp;" "&amp;O100,S$2)</f>
        <v>#NAME?</v>
      </c>
      <c r="T100" s="307" t="e">
        <f ca="1">_xll.BDP(M100&amp;" "&amp;N100&amp;" "&amp;O100,T$2)</f>
        <v>#NAME?</v>
      </c>
      <c r="V100" s="307" t="s">
        <v>1025</v>
      </c>
      <c r="W100" s="307">
        <v>55.6</v>
      </c>
      <c r="X100" s="307" t="s">
        <v>390</v>
      </c>
      <c r="Y100" s="307" t="s">
        <v>893</v>
      </c>
    </row>
    <row r="101" spans="2:25">
      <c r="B101" s="335" t="s">
        <v>374</v>
      </c>
      <c r="C101" s="335" t="s">
        <v>375</v>
      </c>
      <c r="D101" s="335" t="s">
        <v>821</v>
      </c>
      <c r="E101" s="335" t="s">
        <v>822</v>
      </c>
      <c r="F101" s="335" t="s">
        <v>376</v>
      </c>
      <c r="G101" s="335" t="s">
        <v>13</v>
      </c>
      <c r="H101" s="336" t="s">
        <v>7</v>
      </c>
      <c r="I101" s="335">
        <v>0</v>
      </c>
      <c r="J101" s="335" t="s">
        <v>823</v>
      </c>
      <c r="K101" s="335" t="s">
        <v>820</v>
      </c>
      <c r="M101" s="335" t="s">
        <v>1026</v>
      </c>
      <c r="N101" s="335" t="s">
        <v>388</v>
      </c>
      <c r="O101" s="335" t="s">
        <v>389</v>
      </c>
      <c r="Q101" s="307" t="e">
        <f ca="1">_xll.BDP(M101&amp;" "&amp;N101&amp;" "&amp;O101,Q$2)</f>
        <v>#NAME?</v>
      </c>
      <c r="R101" s="307" t="e">
        <f ca="1">_xll.BDP(M101&amp;" "&amp;N101&amp;" "&amp;O101,R$2)</f>
        <v>#NAME?</v>
      </c>
      <c r="S101" s="307" t="e">
        <f ca="1">_xll.BDP(M101&amp;" "&amp;N101&amp;" "&amp;O101,S$2)</f>
        <v>#NAME?</v>
      </c>
      <c r="T101" s="307" t="e">
        <f ca="1">_xll.BDP(M101&amp;" "&amp;N101&amp;" "&amp;O101,T$2)</f>
        <v>#NAME?</v>
      </c>
      <c r="V101" s="307" t="s">
        <v>1027</v>
      </c>
      <c r="W101" s="307">
        <v>58.7</v>
      </c>
      <c r="X101" s="307" t="s">
        <v>390</v>
      </c>
      <c r="Y101" s="307" t="s">
        <v>936</v>
      </c>
    </row>
    <row r="102" spans="2:25">
      <c r="B102" s="335" t="s">
        <v>374</v>
      </c>
      <c r="C102" s="335" t="s">
        <v>375</v>
      </c>
      <c r="D102" s="335" t="s">
        <v>821</v>
      </c>
      <c r="E102" s="335" t="s">
        <v>822</v>
      </c>
      <c r="F102" s="335" t="s">
        <v>376</v>
      </c>
      <c r="G102" s="335" t="s">
        <v>13</v>
      </c>
      <c r="H102" s="336" t="s">
        <v>154</v>
      </c>
      <c r="I102" s="335">
        <v>0</v>
      </c>
      <c r="J102" s="335" t="s">
        <v>823</v>
      </c>
      <c r="K102" s="335" t="s">
        <v>820</v>
      </c>
      <c r="M102" s="335" t="s">
        <v>1028</v>
      </c>
      <c r="N102" s="335" t="s">
        <v>388</v>
      </c>
      <c r="O102" s="335" t="s">
        <v>389</v>
      </c>
      <c r="Q102" s="307" t="e">
        <f ca="1">_xll.BDP(M102&amp;" "&amp;N102&amp;" "&amp;O102,Q$2)</f>
        <v>#NAME?</v>
      </c>
      <c r="R102" s="307" t="e">
        <f ca="1">_xll.BDP(M102&amp;" "&amp;N102&amp;" "&amp;O102,R$2)</f>
        <v>#NAME?</v>
      </c>
      <c r="S102" s="307" t="e">
        <f ca="1">_xll.BDP(M102&amp;" "&amp;N102&amp;" "&amp;O102,S$2)</f>
        <v>#NAME?</v>
      </c>
      <c r="T102" s="307" t="e">
        <f ca="1">_xll.BDP(M102&amp;" "&amp;N102&amp;" "&amp;O102,T$2)</f>
        <v>#NAME?</v>
      </c>
      <c r="V102" s="307" t="s">
        <v>1029</v>
      </c>
      <c r="W102" s="307">
        <v>62.1</v>
      </c>
      <c r="X102" s="307" t="s">
        <v>390</v>
      </c>
      <c r="Y102" s="307" t="s">
        <v>836</v>
      </c>
    </row>
    <row r="103" spans="2:25">
      <c r="B103" s="335" t="s">
        <v>374</v>
      </c>
      <c r="C103" s="335" t="s">
        <v>375</v>
      </c>
      <c r="D103" s="335" t="s">
        <v>821</v>
      </c>
      <c r="E103" s="335" t="s">
        <v>822</v>
      </c>
      <c r="F103" s="335" t="s">
        <v>376</v>
      </c>
      <c r="G103" s="335" t="s">
        <v>13</v>
      </c>
      <c r="H103" s="336" t="s">
        <v>8</v>
      </c>
      <c r="I103" s="335">
        <v>0</v>
      </c>
      <c r="J103" s="335" t="s">
        <v>823</v>
      </c>
      <c r="K103" s="335" t="s">
        <v>820</v>
      </c>
      <c r="M103" s="335" t="s">
        <v>1030</v>
      </c>
      <c r="N103" s="335" t="s">
        <v>388</v>
      </c>
      <c r="O103" s="335" t="s">
        <v>389</v>
      </c>
      <c r="Q103" s="307" t="e">
        <f ca="1">_xll.BDP(M103&amp;" "&amp;N103&amp;" "&amp;O103,Q$2)</f>
        <v>#NAME?</v>
      </c>
      <c r="R103" s="307" t="e">
        <f ca="1">_xll.BDP(M103&amp;" "&amp;N103&amp;" "&amp;O103,R$2)</f>
        <v>#NAME?</v>
      </c>
      <c r="S103" s="307" t="e">
        <f ca="1">_xll.BDP(M103&amp;" "&amp;N103&amp;" "&amp;O103,S$2)</f>
        <v>#NAME?</v>
      </c>
      <c r="T103" s="307" t="e">
        <f ca="1">_xll.BDP(M103&amp;" "&amp;N103&amp;" "&amp;O103,T$2)</f>
        <v>#NAME?</v>
      </c>
      <c r="V103" s="307" t="s">
        <v>1031</v>
      </c>
      <c r="W103" s="307">
        <v>66.099999999999994</v>
      </c>
      <c r="X103" s="307" t="s">
        <v>390</v>
      </c>
      <c r="Y103" s="307" t="s">
        <v>847</v>
      </c>
    </row>
    <row r="104" spans="2:25">
      <c r="B104" s="335" t="s">
        <v>374</v>
      </c>
      <c r="C104" s="335" t="s">
        <v>375</v>
      </c>
      <c r="D104" s="335" t="s">
        <v>821</v>
      </c>
      <c r="E104" s="335" t="s">
        <v>822</v>
      </c>
      <c r="F104" s="335" t="s">
        <v>376</v>
      </c>
      <c r="G104" s="335" t="s">
        <v>13</v>
      </c>
      <c r="H104" s="336" t="s">
        <v>9</v>
      </c>
      <c r="I104" s="335">
        <v>0</v>
      </c>
      <c r="J104" s="335" t="s">
        <v>823</v>
      </c>
      <c r="K104" s="335" t="s">
        <v>820</v>
      </c>
      <c r="M104" s="335" t="s">
        <v>1032</v>
      </c>
      <c r="N104" s="335" t="s">
        <v>388</v>
      </c>
      <c r="O104" s="335" t="s">
        <v>389</v>
      </c>
      <c r="Q104" s="307" t="e">
        <f ca="1">_xll.BDP(M104&amp;" "&amp;N104&amp;" "&amp;O104,Q$2)</f>
        <v>#NAME?</v>
      </c>
      <c r="R104" s="307" t="e">
        <f ca="1">_xll.BDP(M104&amp;" "&amp;N104&amp;" "&amp;O104,R$2)</f>
        <v>#NAME?</v>
      </c>
      <c r="S104" s="307" t="e">
        <f ca="1">_xll.BDP(M104&amp;" "&amp;N104&amp;" "&amp;O104,S$2)</f>
        <v>#NAME?</v>
      </c>
      <c r="T104" s="307" t="e">
        <f ca="1">_xll.BDP(M104&amp;" "&amp;N104&amp;" "&amp;O104,T$2)</f>
        <v>#NAME?</v>
      </c>
      <c r="V104" s="307" t="s">
        <v>1033</v>
      </c>
      <c r="W104" s="307">
        <v>69.599999999999994</v>
      </c>
      <c r="X104" s="307" t="s">
        <v>390</v>
      </c>
      <c r="Y104" s="307" t="s">
        <v>847</v>
      </c>
    </row>
    <row r="105" spans="2:25">
      <c r="B105" s="335" t="s">
        <v>374</v>
      </c>
      <c r="C105" s="335" t="s">
        <v>375</v>
      </c>
      <c r="D105" s="335" t="s">
        <v>821</v>
      </c>
      <c r="E105" s="335" t="s">
        <v>822</v>
      </c>
      <c r="F105" s="335" t="s">
        <v>376</v>
      </c>
      <c r="G105" s="335" t="s">
        <v>13</v>
      </c>
      <c r="H105" s="336" t="s">
        <v>10</v>
      </c>
      <c r="I105" s="335">
        <v>0</v>
      </c>
      <c r="J105" s="335" t="s">
        <v>823</v>
      </c>
      <c r="K105" s="335" t="s">
        <v>820</v>
      </c>
      <c r="M105" s="335" t="s">
        <v>1034</v>
      </c>
      <c r="N105" s="335" t="s">
        <v>388</v>
      </c>
      <c r="O105" s="335" t="s">
        <v>389</v>
      </c>
      <c r="Q105" s="307" t="e">
        <f ca="1">_xll.BDP(M105&amp;" "&amp;N105&amp;" "&amp;O105,Q$2)</f>
        <v>#NAME?</v>
      </c>
      <c r="R105" s="307" t="e">
        <f ca="1">_xll.BDP(M105&amp;" "&amp;N105&amp;" "&amp;O105,R$2)</f>
        <v>#NAME?</v>
      </c>
      <c r="S105" s="307" t="e">
        <f ca="1">_xll.BDP(M105&amp;" "&amp;N105&amp;" "&amp;O105,S$2)</f>
        <v>#NAME?</v>
      </c>
      <c r="T105" s="307" t="e">
        <f ca="1">_xll.BDP(M105&amp;" "&amp;N105&amp;" "&amp;O105,T$2)</f>
        <v>#NAME?</v>
      </c>
      <c r="V105" s="307" t="s">
        <v>1035</v>
      </c>
      <c r="W105" s="307">
        <v>72.2</v>
      </c>
      <c r="X105" s="307" t="s">
        <v>390</v>
      </c>
      <c r="Y105" s="307" t="s">
        <v>847</v>
      </c>
    </row>
    <row r="106" spans="2:25">
      <c r="B106" s="335" t="s">
        <v>374</v>
      </c>
      <c r="C106" s="335" t="s">
        <v>375</v>
      </c>
      <c r="D106" s="335" t="s">
        <v>821</v>
      </c>
      <c r="E106" s="335" t="s">
        <v>822</v>
      </c>
      <c r="F106" s="335" t="s">
        <v>376</v>
      </c>
      <c r="G106" s="335" t="s">
        <v>13</v>
      </c>
      <c r="H106" s="336" t="s">
        <v>11</v>
      </c>
      <c r="I106" s="335">
        <v>0</v>
      </c>
      <c r="J106" s="335" t="s">
        <v>823</v>
      </c>
      <c r="K106" s="335" t="s">
        <v>820</v>
      </c>
      <c r="M106" s="335" t="s">
        <v>1036</v>
      </c>
      <c r="N106" s="335" t="s">
        <v>388</v>
      </c>
      <c r="O106" s="335" t="s">
        <v>389</v>
      </c>
      <c r="Q106" s="307" t="e">
        <f ca="1">_xll.BDP(M106&amp;" "&amp;N106&amp;" "&amp;O106,Q$2)</f>
        <v>#NAME?</v>
      </c>
      <c r="R106" s="307" t="e">
        <f ca="1">_xll.BDP(M106&amp;" "&amp;N106&amp;" "&amp;O106,R$2)</f>
        <v>#NAME?</v>
      </c>
      <c r="S106" s="307" t="e">
        <f ca="1">_xll.BDP(M106&amp;" "&amp;N106&amp;" "&amp;O106,S$2)</f>
        <v>#NAME?</v>
      </c>
      <c r="T106" s="307" t="e">
        <f ca="1">_xll.BDP(M106&amp;" "&amp;N106&amp;" "&amp;O106,T$2)</f>
        <v>#NAME?</v>
      </c>
      <c r="V106" s="307" t="s">
        <v>1037</v>
      </c>
      <c r="W106" s="307">
        <v>73.5</v>
      </c>
      <c r="X106" s="307" t="s">
        <v>390</v>
      </c>
      <c r="Y106" s="307" t="s">
        <v>847</v>
      </c>
    </row>
    <row r="107" spans="2:25">
      <c r="B107" s="335" t="s">
        <v>374</v>
      </c>
      <c r="C107" s="335" t="s">
        <v>375</v>
      </c>
      <c r="D107" s="335" t="s">
        <v>821</v>
      </c>
      <c r="E107" s="335" t="s">
        <v>822</v>
      </c>
      <c r="F107" s="335" t="s">
        <v>376</v>
      </c>
      <c r="G107" s="335" t="s">
        <v>13</v>
      </c>
      <c r="H107" s="336" t="s">
        <v>13</v>
      </c>
      <c r="I107" s="335">
        <v>0</v>
      </c>
      <c r="J107" s="335" t="s">
        <v>823</v>
      </c>
      <c r="K107" s="335" t="s">
        <v>820</v>
      </c>
      <c r="M107" s="335" t="s">
        <v>1038</v>
      </c>
      <c r="N107" s="335" t="s">
        <v>388</v>
      </c>
      <c r="O107" s="335" t="s">
        <v>389</v>
      </c>
      <c r="Q107" s="307" t="e">
        <f ca="1">_xll.BDP(M107&amp;" "&amp;N107&amp;" "&amp;O107,Q$2)</f>
        <v>#NAME?</v>
      </c>
      <c r="R107" s="307" t="e">
        <f ca="1">_xll.BDP(M107&amp;" "&amp;N107&amp;" "&amp;O107,R$2)</f>
        <v>#NAME?</v>
      </c>
      <c r="S107" s="307" t="e">
        <f ca="1">_xll.BDP(M107&amp;" "&amp;N107&amp;" "&amp;O107,S$2)</f>
        <v>#NAME?</v>
      </c>
      <c r="T107" s="307" t="e">
        <f ca="1">_xll.BDP(M107&amp;" "&amp;N107&amp;" "&amp;O107,T$2)</f>
        <v>#NAME?</v>
      </c>
      <c r="V107" s="307" t="s">
        <v>1039</v>
      </c>
      <c r="W107" s="307">
        <v>74</v>
      </c>
      <c r="X107" s="307" t="s">
        <v>390</v>
      </c>
      <c r="Y107" s="307" t="s">
        <v>847</v>
      </c>
    </row>
    <row r="108" spans="2:25">
      <c r="B108" s="335" t="s">
        <v>374</v>
      </c>
      <c r="C108" s="335" t="s">
        <v>375</v>
      </c>
      <c r="D108" s="335" t="s">
        <v>821</v>
      </c>
      <c r="E108" s="335" t="s">
        <v>822</v>
      </c>
      <c r="F108" s="335" t="s">
        <v>376</v>
      </c>
      <c r="G108" s="335" t="s">
        <v>13</v>
      </c>
      <c r="H108" s="336" t="s">
        <v>16</v>
      </c>
      <c r="I108" s="335">
        <v>0</v>
      </c>
      <c r="J108" s="335" t="s">
        <v>823</v>
      </c>
      <c r="K108" s="335" t="s">
        <v>820</v>
      </c>
      <c r="M108" s="335" t="s">
        <v>1040</v>
      </c>
      <c r="N108" s="335" t="s">
        <v>388</v>
      </c>
      <c r="O108" s="335" t="s">
        <v>389</v>
      </c>
      <c r="Q108" s="307" t="e">
        <f ca="1">_xll.BDP(M108&amp;" "&amp;N108&amp;" "&amp;O108,Q$2)</f>
        <v>#NAME?</v>
      </c>
      <c r="R108" s="307" t="e">
        <f ca="1">_xll.BDP(M108&amp;" "&amp;N108&amp;" "&amp;O108,R$2)</f>
        <v>#NAME?</v>
      </c>
      <c r="S108" s="307" t="e">
        <f ca="1">_xll.BDP(M108&amp;" "&amp;N108&amp;" "&amp;O108,S$2)</f>
        <v>#NAME?</v>
      </c>
      <c r="T108" s="307" t="e">
        <f ca="1">_xll.BDP(M108&amp;" "&amp;N108&amp;" "&amp;O108,T$2)</f>
        <v>#NAME?</v>
      </c>
      <c r="V108" s="307" t="s">
        <v>1041</v>
      </c>
      <c r="W108" s="307">
        <v>73.099999999999994</v>
      </c>
      <c r="X108" s="307" t="s">
        <v>390</v>
      </c>
      <c r="Y108" s="307" t="s">
        <v>847</v>
      </c>
    </row>
    <row r="109" spans="2:25">
      <c r="B109" s="335" t="s">
        <v>374</v>
      </c>
      <c r="C109" s="335" t="s">
        <v>375</v>
      </c>
      <c r="D109" s="335" t="s">
        <v>821</v>
      </c>
      <c r="E109" s="335" t="s">
        <v>822</v>
      </c>
      <c r="F109" s="335" t="s">
        <v>376</v>
      </c>
      <c r="G109" s="335" t="s">
        <v>13</v>
      </c>
      <c r="H109" s="336" t="s">
        <v>17</v>
      </c>
      <c r="I109" s="335">
        <v>0</v>
      </c>
      <c r="J109" s="335" t="s">
        <v>823</v>
      </c>
      <c r="K109" s="335" t="s">
        <v>820</v>
      </c>
      <c r="M109" s="335" t="s">
        <v>1042</v>
      </c>
      <c r="N109" s="335" t="s">
        <v>388</v>
      </c>
      <c r="O109" s="335" t="s">
        <v>389</v>
      </c>
      <c r="Q109" s="307" t="e">
        <f ca="1">_xll.BDP(M109&amp;" "&amp;N109&amp;" "&amp;O109,Q$2)</f>
        <v>#NAME?</v>
      </c>
      <c r="R109" s="307" t="e">
        <f ca="1">_xll.BDP(M109&amp;" "&amp;N109&amp;" "&amp;O109,R$2)</f>
        <v>#NAME?</v>
      </c>
      <c r="S109" s="307" t="e">
        <f ca="1">_xll.BDP(M109&amp;" "&amp;N109&amp;" "&amp;O109,S$2)</f>
        <v>#NAME?</v>
      </c>
      <c r="T109" s="307" t="e">
        <f ca="1">_xll.BDP(M109&amp;" "&amp;N109&amp;" "&amp;O109,T$2)</f>
        <v>#NAME?</v>
      </c>
      <c r="V109" s="307" t="s">
        <v>1043</v>
      </c>
      <c r="W109" s="307">
        <v>69.5</v>
      </c>
      <c r="X109" s="307" t="s">
        <v>390</v>
      </c>
      <c r="Y109" s="307" t="s">
        <v>859</v>
      </c>
    </row>
    <row r="110" spans="2:25">
      <c r="B110" s="335" t="s">
        <v>374</v>
      </c>
      <c r="C110" s="335" t="s">
        <v>375</v>
      </c>
      <c r="D110" s="335" t="s">
        <v>821</v>
      </c>
      <c r="E110" s="335" t="s">
        <v>822</v>
      </c>
      <c r="F110" s="335" t="s">
        <v>376</v>
      </c>
      <c r="G110" s="335" t="s">
        <v>13</v>
      </c>
      <c r="H110" s="336" t="s">
        <v>104</v>
      </c>
      <c r="I110" s="335">
        <v>0</v>
      </c>
      <c r="J110" s="335" t="s">
        <v>823</v>
      </c>
      <c r="K110" s="335" t="s">
        <v>820</v>
      </c>
      <c r="M110" s="335" t="s">
        <v>1044</v>
      </c>
      <c r="N110" s="335" t="s">
        <v>388</v>
      </c>
      <c r="O110" s="335" t="s">
        <v>389</v>
      </c>
      <c r="Q110" s="307" t="e">
        <f ca="1">_xll.BDP(M110&amp;" "&amp;N110&amp;" "&amp;O110,Q$2)</f>
        <v>#NAME?</v>
      </c>
      <c r="R110" s="307" t="e">
        <f ca="1">_xll.BDP(M110&amp;" "&amp;N110&amp;" "&amp;O110,R$2)</f>
        <v>#NAME?</v>
      </c>
      <c r="S110" s="307" t="e">
        <f ca="1">_xll.BDP(M110&amp;" "&amp;N110&amp;" "&amp;O110,S$2)</f>
        <v>#NAME?</v>
      </c>
      <c r="T110" s="307" t="e">
        <f ca="1">_xll.BDP(M110&amp;" "&amp;N110&amp;" "&amp;O110,T$2)</f>
        <v>#NAME?</v>
      </c>
      <c r="V110" s="307" t="s">
        <v>1045</v>
      </c>
      <c r="W110" s="307">
        <v>65.099999999999994</v>
      </c>
      <c r="X110" s="307" t="s">
        <v>390</v>
      </c>
      <c r="Y110" s="307" t="s">
        <v>859</v>
      </c>
    </row>
    <row r="111" spans="2:25">
      <c r="B111" s="335" t="s">
        <v>374</v>
      </c>
      <c r="C111" s="335" t="s">
        <v>375</v>
      </c>
      <c r="D111" s="335" t="s">
        <v>821</v>
      </c>
      <c r="E111" s="335" t="s">
        <v>822</v>
      </c>
      <c r="F111" s="335" t="s">
        <v>376</v>
      </c>
      <c r="G111" s="335" t="s">
        <v>14</v>
      </c>
      <c r="H111" s="335" t="s">
        <v>23</v>
      </c>
      <c r="I111" s="335">
        <v>0</v>
      </c>
      <c r="J111" s="335" t="s">
        <v>823</v>
      </c>
      <c r="K111" s="335" t="s">
        <v>820</v>
      </c>
      <c r="M111" s="335" t="s">
        <v>1046</v>
      </c>
      <c r="N111" s="335" t="s">
        <v>388</v>
      </c>
      <c r="O111" s="335" t="s">
        <v>389</v>
      </c>
      <c r="Q111" s="307" t="e">
        <f ca="1">_xll.BDP(M111&amp;" "&amp;N111&amp;" "&amp;O111,Q$2)</f>
        <v>#NAME?</v>
      </c>
      <c r="R111" s="307" t="e">
        <f ca="1">_xll.BDP(M111&amp;" "&amp;N111&amp;" "&amp;O111,R$2)</f>
        <v>#NAME?</v>
      </c>
      <c r="S111" s="307" t="e">
        <f ca="1">_xll.BDP(M111&amp;" "&amp;N111&amp;" "&amp;O111,S$2)</f>
        <v>#NAME?</v>
      </c>
      <c r="T111" s="307" t="e">
        <f ca="1">_xll.BDP(M111&amp;" "&amp;N111&amp;" "&amp;O111,T$2)</f>
        <v>#NAME?</v>
      </c>
      <c r="V111" s="307" t="s">
        <v>1047</v>
      </c>
      <c r="W111" s="307">
        <v>58.7</v>
      </c>
      <c r="X111" s="307" t="s">
        <v>390</v>
      </c>
      <c r="Y111" s="307" t="s">
        <v>893</v>
      </c>
    </row>
    <row r="112" spans="2:25">
      <c r="B112" s="335" t="s">
        <v>374</v>
      </c>
      <c r="C112" s="335" t="s">
        <v>375</v>
      </c>
      <c r="D112" s="335" t="s">
        <v>821</v>
      </c>
      <c r="E112" s="335" t="s">
        <v>822</v>
      </c>
      <c r="F112" s="335" t="s">
        <v>376</v>
      </c>
      <c r="G112" s="335" t="s">
        <v>14</v>
      </c>
      <c r="H112" s="335" t="s">
        <v>398</v>
      </c>
      <c r="I112" s="335">
        <v>0</v>
      </c>
      <c r="J112" s="335" t="s">
        <v>823</v>
      </c>
      <c r="K112" s="335" t="s">
        <v>820</v>
      </c>
      <c r="M112" s="335" t="s">
        <v>1048</v>
      </c>
      <c r="N112" s="335" t="s">
        <v>388</v>
      </c>
      <c r="O112" s="335" t="s">
        <v>389</v>
      </c>
      <c r="Q112" s="307" t="e">
        <f ca="1">_xll.BDP(M112&amp;" "&amp;N112&amp;" "&amp;O112,Q$2)</f>
        <v>#NAME?</v>
      </c>
      <c r="R112" s="307" t="e">
        <f ca="1">_xll.BDP(M112&amp;" "&amp;N112&amp;" "&amp;O112,R$2)</f>
        <v>#NAME?</v>
      </c>
      <c r="S112" s="307" t="e">
        <f ca="1">_xll.BDP(M112&amp;" "&amp;N112&amp;" "&amp;O112,S$2)</f>
        <v>#NAME?</v>
      </c>
      <c r="T112" s="307" t="e">
        <f ca="1">_xll.BDP(M112&amp;" "&amp;N112&amp;" "&amp;O112,T$2)</f>
        <v>#NAME?</v>
      </c>
      <c r="V112" s="307" t="s">
        <v>1049</v>
      </c>
      <c r="W112" s="307">
        <v>58.8</v>
      </c>
      <c r="X112" s="307" t="s">
        <v>390</v>
      </c>
      <c r="Y112" s="307" t="s">
        <v>927</v>
      </c>
    </row>
    <row r="113" spans="2:25">
      <c r="B113" s="335" t="s">
        <v>374</v>
      </c>
      <c r="C113" s="335" t="s">
        <v>375</v>
      </c>
      <c r="D113" s="335" t="s">
        <v>821</v>
      </c>
      <c r="E113" s="335" t="s">
        <v>822</v>
      </c>
      <c r="F113" s="335" t="s">
        <v>376</v>
      </c>
      <c r="G113" s="335" t="s">
        <v>14</v>
      </c>
      <c r="H113" s="336" t="s">
        <v>26</v>
      </c>
      <c r="I113" s="335">
        <v>0</v>
      </c>
      <c r="J113" s="335" t="s">
        <v>823</v>
      </c>
      <c r="K113" s="335" t="s">
        <v>820</v>
      </c>
      <c r="M113" s="335" t="s">
        <v>1050</v>
      </c>
      <c r="N113" s="335" t="s">
        <v>388</v>
      </c>
      <c r="O113" s="335" t="s">
        <v>389</v>
      </c>
      <c r="Q113" s="307" t="e">
        <f ca="1">_xll.BDP(M113&amp;" "&amp;N113&amp;" "&amp;O113,Q$2)</f>
        <v>#NAME?</v>
      </c>
      <c r="R113" s="307" t="e">
        <f ca="1">_xll.BDP(M113&amp;" "&amp;N113&amp;" "&amp;O113,R$2)</f>
        <v>#NAME?</v>
      </c>
      <c r="S113" s="307" t="e">
        <f ca="1">_xll.BDP(M113&amp;" "&amp;N113&amp;" "&amp;O113,S$2)</f>
        <v>#NAME?</v>
      </c>
      <c r="T113" s="307" t="e">
        <f ca="1">_xll.BDP(M113&amp;" "&amp;N113&amp;" "&amp;O113,T$2)</f>
        <v>#NAME?</v>
      </c>
      <c r="V113" s="307" t="s">
        <v>1051</v>
      </c>
      <c r="W113" s="307">
        <v>59</v>
      </c>
      <c r="X113" s="307" t="s">
        <v>390</v>
      </c>
      <c r="Y113" s="307" t="s">
        <v>836</v>
      </c>
    </row>
    <row r="114" spans="2:25">
      <c r="B114" s="335" t="s">
        <v>374</v>
      </c>
      <c r="C114" s="335" t="s">
        <v>375</v>
      </c>
      <c r="D114" s="335" t="s">
        <v>821</v>
      </c>
      <c r="E114" s="335" t="s">
        <v>822</v>
      </c>
      <c r="F114" s="335" t="s">
        <v>376</v>
      </c>
      <c r="G114" s="335" t="s">
        <v>14</v>
      </c>
      <c r="H114" s="336" t="s">
        <v>19</v>
      </c>
      <c r="I114" s="335">
        <v>0</v>
      </c>
      <c r="J114" s="335" t="s">
        <v>823</v>
      </c>
      <c r="K114" s="335" t="s">
        <v>820</v>
      </c>
      <c r="M114" s="335" t="s">
        <v>1052</v>
      </c>
      <c r="N114" s="335" t="s">
        <v>388</v>
      </c>
      <c r="O114" s="335" t="s">
        <v>389</v>
      </c>
      <c r="Q114" s="307" t="e">
        <f ca="1">_xll.BDP(M114&amp;" "&amp;N114&amp;" "&amp;O114,Q$2)</f>
        <v>#NAME?</v>
      </c>
      <c r="R114" s="307" t="e">
        <f ca="1">_xll.BDP(M114&amp;" "&amp;N114&amp;" "&amp;O114,R$2)</f>
        <v>#NAME?</v>
      </c>
      <c r="S114" s="307" t="e">
        <f ca="1">_xll.BDP(M114&amp;" "&amp;N114&amp;" "&amp;O114,S$2)</f>
        <v>#NAME?</v>
      </c>
      <c r="T114" s="307" t="e">
        <f ca="1">_xll.BDP(M114&amp;" "&amp;N114&amp;" "&amp;O114,T$2)</f>
        <v>#NAME?</v>
      </c>
      <c r="V114" s="307" t="s">
        <v>1053</v>
      </c>
      <c r="W114" s="307">
        <v>59.5</v>
      </c>
      <c r="X114" s="307" t="s">
        <v>390</v>
      </c>
      <c r="Y114" s="307" t="s">
        <v>836</v>
      </c>
    </row>
    <row r="115" spans="2:25">
      <c r="B115" s="335" t="s">
        <v>374</v>
      </c>
      <c r="C115" s="335" t="s">
        <v>375</v>
      </c>
      <c r="D115" s="335" t="s">
        <v>821</v>
      </c>
      <c r="E115" s="335" t="s">
        <v>822</v>
      </c>
      <c r="F115" s="335" t="s">
        <v>376</v>
      </c>
      <c r="G115" s="335" t="s">
        <v>14</v>
      </c>
      <c r="H115" s="336" t="s">
        <v>412</v>
      </c>
      <c r="I115" s="335">
        <v>0</v>
      </c>
      <c r="J115" s="335" t="s">
        <v>823</v>
      </c>
      <c r="K115" s="335" t="s">
        <v>820</v>
      </c>
      <c r="M115" s="335" t="s">
        <v>1054</v>
      </c>
      <c r="N115" s="335" t="s">
        <v>388</v>
      </c>
      <c r="O115" s="335" t="s">
        <v>389</v>
      </c>
      <c r="Q115" s="307" t="e">
        <f ca="1">_xll.BDP(M115&amp;" "&amp;N115&amp;" "&amp;O115,Q$2)</f>
        <v>#NAME?</v>
      </c>
      <c r="R115" s="307" t="e">
        <f ca="1">_xll.BDP(M115&amp;" "&amp;N115&amp;" "&amp;O115,R$2)</f>
        <v>#NAME?</v>
      </c>
      <c r="S115" s="307" t="e">
        <f ca="1">_xll.BDP(M115&amp;" "&amp;N115&amp;" "&amp;O115,S$2)</f>
        <v>#NAME?</v>
      </c>
      <c r="T115" s="307" t="e">
        <f ca="1">_xll.BDP(M115&amp;" "&amp;N115&amp;" "&amp;O115,T$2)</f>
        <v>#NAME?</v>
      </c>
      <c r="V115" s="307" t="s">
        <v>1055</v>
      </c>
      <c r="W115" s="307">
        <v>60.3</v>
      </c>
      <c r="X115" s="307" t="s">
        <v>390</v>
      </c>
      <c r="Y115" s="307" t="s">
        <v>936</v>
      </c>
    </row>
    <row r="116" spans="2:25">
      <c r="B116" s="335" t="s">
        <v>374</v>
      </c>
      <c r="C116" s="335" t="s">
        <v>375</v>
      </c>
      <c r="D116" s="335" t="s">
        <v>821</v>
      </c>
      <c r="E116" s="335" t="s">
        <v>822</v>
      </c>
      <c r="F116" s="335" t="s">
        <v>376</v>
      </c>
      <c r="G116" s="335" t="s">
        <v>14</v>
      </c>
      <c r="H116" s="336" t="s">
        <v>7</v>
      </c>
      <c r="I116" s="335">
        <v>0</v>
      </c>
      <c r="J116" s="335" t="s">
        <v>823</v>
      </c>
      <c r="K116" s="335" t="s">
        <v>820</v>
      </c>
      <c r="M116" s="335" t="s">
        <v>1056</v>
      </c>
      <c r="N116" s="335" t="s">
        <v>388</v>
      </c>
      <c r="O116" s="335" t="s">
        <v>389</v>
      </c>
      <c r="Q116" s="307" t="e">
        <f ca="1">_xll.BDP(M116&amp;" "&amp;N116&amp;" "&amp;O116,Q$2)</f>
        <v>#NAME?</v>
      </c>
      <c r="R116" s="307" t="e">
        <f ca="1">_xll.BDP(M116&amp;" "&amp;N116&amp;" "&amp;O116,R$2)</f>
        <v>#NAME?</v>
      </c>
      <c r="S116" s="307" t="e">
        <f ca="1">_xll.BDP(M116&amp;" "&amp;N116&amp;" "&amp;O116,S$2)</f>
        <v>#NAME?</v>
      </c>
      <c r="T116" s="307" t="e">
        <f ca="1">_xll.BDP(M116&amp;" "&amp;N116&amp;" "&amp;O116,T$2)</f>
        <v>#NAME?</v>
      </c>
      <c r="V116" s="307" t="s">
        <v>1057</v>
      </c>
      <c r="W116" s="307">
        <v>62.9</v>
      </c>
      <c r="X116" s="307" t="s">
        <v>390</v>
      </c>
      <c r="Y116" s="307" t="s">
        <v>836</v>
      </c>
    </row>
    <row r="117" spans="2:25">
      <c r="B117" s="335" t="s">
        <v>374</v>
      </c>
      <c r="C117" s="335" t="s">
        <v>375</v>
      </c>
      <c r="D117" s="335" t="s">
        <v>821</v>
      </c>
      <c r="E117" s="335" t="s">
        <v>822</v>
      </c>
      <c r="F117" s="335" t="s">
        <v>376</v>
      </c>
      <c r="G117" s="335" t="s">
        <v>14</v>
      </c>
      <c r="H117" s="336" t="s">
        <v>154</v>
      </c>
      <c r="I117" s="335">
        <v>0</v>
      </c>
      <c r="J117" s="335" t="s">
        <v>823</v>
      </c>
      <c r="K117" s="335" t="s">
        <v>820</v>
      </c>
      <c r="M117" s="335" t="s">
        <v>1058</v>
      </c>
      <c r="N117" s="335" t="s">
        <v>388</v>
      </c>
      <c r="O117" s="335" t="s">
        <v>389</v>
      </c>
      <c r="Q117" s="307" t="e">
        <f ca="1">_xll.BDP(M117&amp;" "&amp;N117&amp;" "&amp;O117,Q$2)</f>
        <v>#NAME?</v>
      </c>
      <c r="R117" s="307" t="e">
        <f ca="1">_xll.BDP(M117&amp;" "&amp;N117&amp;" "&amp;O117,R$2)</f>
        <v>#NAME?</v>
      </c>
      <c r="S117" s="307" t="e">
        <f ca="1">_xll.BDP(M117&amp;" "&amp;N117&amp;" "&amp;O117,S$2)</f>
        <v>#NAME?</v>
      </c>
      <c r="T117" s="307" t="e">
        <f ca="1">_xll.BDP(M117&amp;" "&amp;N117&amp;" "&amp;O117,T$2)</f>
        <v>#NAME?</v>
      </c>
      <c r="V117" s="307" t="s">
        <v>1059</v>
      </c>
      <c r="W117" s="307">
        <v>65.400000000000006</v>
      </c>
      <c r="X117" s="307" t="s">
        <v>390</v>
      </c>
      <c r="Y117" s="307" t="s">
        <v>870</v>
      </c>
    </row>
    <row r="118" spans="2:25">
      <c r="B118" s="335" t="s">
        <v>374</v>
      </c>
      <c r="C118" s="335" t="s">
        <v>375</v>
      </c>
      <c r="D118" s="335" t="s">
        <v>821</v>
      </c>
      <c r="E118" s="335" t="s">
        <v>822</v>
      </c>
      <c r="F118" s="335" t="s">
        <v>376</v>
      </c>
      <c r="G118" s="335" t="s">
        <v>14</v>
      </c>
      <c r="H118" s="336" t="s">
        <v>8</v>
      </c>
      <c r="I118" s="335">
        <v>0</v>
      </c>
      <c r="J118" s="335" t="s">
        <v>823</v>
      </c>
      <c r="K118" s="335" t="s">
        <v>820</v>
      </c>
      <c r="M118" s="335" t="s">
        <v>1060</v>
      </c>
      <c r="N118" s="335" t="s">
        <v>388</v>
      </c>
      <c r="O118" s="335" t="s">
        <v>389</v>
      </c>
      <c r="Q118" s="307" t="e">
        <f ca="1">_xll.BDP(M118&amp;" "&amp;N118&amp;" "&amp;O118,Q$2)</f>
        <v>#NAME?</v>
      </c>
      <c r="R118" s="307" t="e">
        <f ca="1">_xll.BDP(M118&amp;" "&amp;N118&amp;" "&amp;O118,R$2)</f>
        <v>#NAME?</v>
      </c>
      <c r="S118" s="307" t="e">
        <f ca="1">_xll.BDP(M118&amp;" "&amp;N118&amp;" "&amp;O118,S$2)</f>
        <v>#NAME?</v>
      </c>
      <c r="T118" s="307" t="e">
        <f ca="1">_xll.BDP(M118&amp;" "&amp;N118&amp;" "&amp;O118,T$2)</f>
        <v>#NAME?</v>
      </c>
      <c r="V118" s="307" t="s">
        <v>1061</v>
      </c>
      <c r="W118" s="307">
        <v>68.3</v>
      </c>
      <c r="X118" s="307" t="s">
        <v>390</v>
      </c>
      <c r="Y118" s="307" t="s">
        <v>847</v>
      </c>
    </row>
    <row r="119" spans="2:25">
      <c r="B119" s="335" t="s">
        <v>374</v>
      </c>
      <c r="C119" s="335" t="s">
        <v>375</v>
      </c>
      <c r="D119" s="335" t="s">
        <v>821</v>
      </c>
      <c r="E119" s="335" t="s">
        <v>822</v>
      </c>
      <c r="F119" s="335" t="s">
        <v>376</v>
      </c>
      <c r="G119" s="335" t="s">
        <v>14</v>
      </c>
      <c r="H119" s="336" t="s">
        <v>9</v>
      </c>
      <c r="I119" s="335">
        <v>0</v>
      </c>
      <c r="J119" s="335" t="s">
        <v>823</v>
      </c>
      <c r="K119" s="335" t="s">
        <v>820</v>
      </c>
      <c r="M119" s="335" t="s">
        <v>1062</v>
      </c>
      <c r="N119" s="335" t="s">
        <v>388</v>
      </c>
      <c r="O119" s="335" t="s">
        <v>389</v>
      </c>
      <c r="Q119" s="307" t="e">
        <f ca="1">_xll.BDP(M119&amp;" "&amp;N119&amp;" "&amp;O119,Q$2)</f>
        <v>#NAME?</v>
      </c>
      <c r="R119" s="307" t="e">
        <f ca="1">_xll.BDP(M119&amp;" "&amp;N119&amp;" "&amp;O119,R$2)</f>
        <v>#NAME?</v>
      </c>
      <c r="S119" s="307" t="e">
        <f ca="1">_xll.BDP(M119&amp;" "&amp;N119&amp;" "&amp;O119,S$2)</f>
        <v>#NAME?</v>
      </c>
      <c r="T119" s="307" t="e">
        <f ca="1">_xll.BDP(M119&amp;" "&amp;N119&amp;" "&amp;O119,T$2)</f>
        <v>#NAME?</v>
      </c>
      <c r="V119" s="307" t="s">
        <v>1063</v>
      </c>
      <c r="W119" s="307">
        <v>71.099999999999994</v>
      </c>
      <c r="X119" s="307" t="s">
        <v>390</v>
      </c>
      <c r="Y119" s="307" t="s">
        <v>847</v>
      </c>
    </row>
    <row r="120" spans="2:25">
      <c r="B120" s="335" t="s">
        <v>374</v>
      </c>
      <c r="C120" s="335" t="s">
        <v>375</v>
      </c>
      <c r="D120" s="335" t="s">
        <v>821</v>
      </c>
      <c r="E120" s="335" t="s">
        <v>822</v>
      </c>
      <c r="F120" s="335" t="s">
        <v>376</v>
      </c>
      <c r="G120" s="335" t="s">
        <v>14</v>
      </c>
      <c r="H120" s="336" t="s">
        <v>10</v>
      </c>
      <c r="I120" s="335">
        <v>0</v>
      </c>
      <c r="J120" s="335" t="s">
        <v>823</v>
      </c>
      <c r="K120" s="335" t="s">
        <v>820</v>
      </c>
      <c r="M120" s="335" t="s">
        <v>1064</v>
      </c>
      <c r="N120" s="335" t="s">
        <v>388</v>
      </c>
      <c r="O120" s="335" t="s">
        <v>389</v>
      </c>
      <c r="Q120" s="307" t="e">
        <f ca="1">_xll.BDP(M120&amp;" "&amp;N120&amp;" "&amp;O120,Q$2)</f>
        <v>#NAME?</v>
      </c>
      <c r="R120" s="307" t="e">
        <f ca="1">_xll.BDP(M120&amp;" "&amp;N120&amp;" "&amp;O120,R$2)</f>
        <v>#NAME?</v>
      </c>
      <c r="S120" s="307" t="e">
        <f ca="1">_xll.BDP(M120&amp;" "&amp;N120&amp;" "&amp;O120,S$2)</f>
        <v>#NAME?</v>
      </c>
      <c r="T120" s="307" t="e">
        <f ca="1">_xll.BDP(M120&amp;" "&amp;N120&amp;" "&amp;O120,T$2)</f>
        <v>#NAME?</v>
      </c>
      <c r="V120" s="307" t="s">
        <v>1065</v>
      </c>
      <c r="W120" s="307">
        <v>73.2</v>
      </c>
      <c r="X120" s="307" t="s">
        <v>390</v>
      </c>
      <c r="Y120" s="307" t="s">
        <v>847</v>
      </c>
    </row>
    <row r="121" spans="2:25">
      <c r="B121" s="335" t="s">
        <v>374</v>
      </c>
      <c r="C121" s="335" t="s">
        <v>375</v>
      </c>
      <c r="D121" s="335" t="s">
        <v>821</v>
      </c>
      <c r="E121" s="335" t="s">
        <v>822</v>
      </c>
      <c r="F121" s="335" t="s">
        <v>376</v>
      </c>
      <c r="G121" s="335" t="s">
        <v>14</v>
      </c>
      <c r="H121" s="336" t="s">
        <v>11</v>
      </c>
      <c r="I121" s="335">
        <v>0</v>
      </c>
      <c r="J121" s="335" t="s">
        <v>823</v>
      </c>
      <c r="K121" s="335" t="s">
        <v>820</v>
      </c>
      <c r="M121" s="335" t="s">
        <v>1066</v>
      </c>
      <c r="N121" s="335" t="s">
        <v>388</v>
      </c>
      <c r="O121" s="335" t="s">
        <v>389</v>
      </c>
      <c r="Q121" s="307" t="e">
        <f ca="1">_xll.BDP(M121&amp;" "&amp;N121&amp;" "&amp;O121,Q$2)</f>
        <v>#NAME?</v>
      </c>
      <c r="R121" s="307" t="e">
        <f ca="1">_xll.BDP(M121&amp;" "&amp;N121&amp;" "&amp;O121,R$2)</f>
        <v>#NAME?</v>
      </c>
      <c r="S121" s="307" t="e">
        <f ca="1">_xll.BDP(M121&amp;" "&amp;N121&amp;" "&amp;O121,S$2)</f>
        <v>#NAME?</v>
      </c>
      <c r="T121" s="307" t="e">
        <f ca="1">_xll.BDP(M121&amp;" "&amp;N121&amp;" "&amp;O121,T$2)</f>
        <v>#NAME?</v>
      </c>
      <c r="V121" s="307" t="s">
        <v>1067</v>
      </c>
      <c r="W121" s="307">
        <v>73.7</v>
      </c>
      <c r="X121" s="307" t="s">
        <v>390</v>
      </c>
      <c r="Y121" s="307" t="s">
        <v>973</v>
      </c>
    </row>
    <row r="122" spans="2:25">
      <c r="B122" s="335" t="s">
        <v>374</v>
      </c>
      <c r="C122" s="335" t="s">
        <v>375</v>
      </c>
      <c r="D122" s="335" t="s">
        <v>821</v>
      </c>
      <c r="E122" s="335" t="s">
        <v>822</v>
      </c>
      <c r="F122" s="335" t="s">
        <v>376</v>
      </c>
      <c r="G122" s="335" t="s">
        <v>14</v>
      </c>
      <c r="H122" s="336" t="s">
        <v>13</v>
      </c>
      <c r="I122" s="335">
        <v>0</v>
      </c>
      <c r="J122" s="335" t="s">
        <v>823</v>
      </c>
      <c r="K122" s="335" t="s">
        <v>820</v>
      </c>
      <c r="M122" s="335" t="s">
        <v>1068</v>
      </c>
      <c r="N122" s="335" t="s">
        <v>388</v>
      </c>
      <c r="O122" s="335" t="s">
        <v>389</v>
      </c>
      <c r="Q122" s="307" t="e">
        <f ca="1">_xll.BDP(M122&amp;" "&amp;N122&amp;" "&amp;O122,Q$2)</f>
        <v>#NAME?</v>
      </c>
      <c r="R122" s="307" t="e">
        <f ca="1">_xll.BDP(M122&amp;" "&amp;N122&amp;" "&amp;O122,R$2)</f>
        <v>#NAME?</v>
      </c>
      <c r="S122" s="307" t="e">
        <f ca="1">_xll.BDP(M122&amp;" "&amp;N122&amp;" "&amp;O122,S$2)</f>
        <v>#NAME?</v>
      </c>
      <c r="T122" s="307" t="e">
        <f ca="1">_xll.BDP(M122&amp;" "&amp;N122&amp;" "&amp;O122,T$2)</f>
        <v>#NAME?</v>
      </c>
      <c r="V122" s="307" t="s">
        <v>1069</v>
      </c>
      <c r="W122" s="307">
        <v>74</v>
      </c>
      <c r="X122" s="307" t="s">
        <v>390</v>
      </c>
      <c r="Y122" s="307" t="s">
        <v>847</v>
      </c>
    </row>
    <row r="123" spans="2:25">
      <c r="B123" s="335" t="s">
        <v>374</v>
      </c>
      <c r="C123" s="335" t="s">
        <v>375</v>
      </c>
      <c r="D123" s="335" t="s">
        <v>821</v>
      </c>
      <c r="E123" s="335" t="s">
        <v>822</v>
      </c>
      <c r="F123" s="335" t="s">
        <v>376</v>
      </c>
      <c r="G123" s="335" t="s">
        <v>14</v>
      </c>
      <c r="H123" s="336" t="s">
        <v>16</v>
      </c>
      <c r="I123" s="335">
        <v>0</v>
      </c>
      <c r="J123" s="335" t="s">
        <v>823</v>
      </c>
      <c r="K123" s="335" t="s">
        <v>820</v>
      </c>
      <c r="M123" s="335" t="s">
        <v>1070</v>
      </c>
      <c r="N123" s="335" t="s">
        <v>388</v>
      </c>
      <c r="O123" s="335" t="s">
        <v>389</v>
      </c>
      <c r="Q123" s="307" t="e">
        <f ca="1">_xll.BDP(M123&amp;" "&amp;N123&amp;" "&amp;O123,Q$2)</f>
        <v>#NAME?</v>
      </c>
      <c r="R123" s="307" t="e">
        <f ca="1">_xll.BDP(M123&amp;" "&amp;N123&amp;" "&amp;O123,R$2)</f>
        <v>#NAME?</v>
      </c>
      <c r="S123" s="307" t="e">
        <f ca="1">_xll.BDP(M123&amp;" "&amp;N123&amp;" "&amp;O123,S$2)</f>
        <v>#NAME?</v>
      </c>
      <c r="T123" s="307" t="e">
        <f ca="1">_xll.BDP(M123&amp;" "&amp;N123&amp;" "&amp;O123,T$2)</f>
        <v>#NAME?</v>
      </c>
      <c r="V123" s="307" t="s">
        <v>1071</v>
      </c>
      <c r="W123" s="307">
        <v>72.8</v>
      </c>
      <c r="X123" s="307" t="s">
        <v>390</v>
      </c>
      <c r="Y123" s="307" t="s">
        <v>847</v>
      </c>
    </row>
    <row r="124" spans="2:25">
      <c r="B124" s="335" t="s">
        <v>374</v>
      </c>
      <c r="C124" s="335" t="s">
        <v>375</v>
      </c>
      <c r="D124" s="335" t="s">
        <v>821</v>
      </c>
      <c r="E124" s="335" t="s">
        <v>822</v>
      </c>
      <c r="F124" s="335" t="s">
        <v>376</v>
      </c>
      <c r="G124" s="335" t="s">
        <v>14</v>
      </c>
      <c r="H124" s="336" t="s">
        <v>17</v>
      </c>
      <c r="I124" s="335">
        <v>0</v>
      </c>
      <c r="J124" s="335" t="s">
        <v>823</v>
      </c>
      <c r="K124" s="335" t="s">
        <v>820</v>
      </c>
      <c r="M124" s="335" t="s">
        <v>1072</v>
      </c>
      <c r="N124" s="335" t="s">
        <v>388</v>
      </c>
      <c r="O124" s="335" t="s">
        <v>389</v>
      </c>
      <c r="Q124" s="307" t="e">
        <f ca="1">_xll.BDP(M124&amp;" "&amp;N124&amp;" "&amp;O124,Q$2)</f>
        <v>#NAME?</v>
      </c>
      <c r="R124" s="307" t="e">
        <f ca="1">_xll.BDP(M124&amp;" "&amp;N124&amp;" "&amp;O124,R$2)</f>
        <v>#NAME?</v>
      </c>
      <c r="S124" s="307" t="e">
        <f ca="1">_xll.BDP(M124&amp;" "&amp;N124&amp;" "&amp;O124,S$2)</f>
        <v>#NAME?</v>
      </c>
      <c r="T124" s="307" t="e">
        <f ca="1">_xll.BDP(M124&amp;" "&amp;N124&amp;" "&amp;O124,T$2)</f>
        <v>#NAME?</v>
      </c>
      <c r="V124" s="307" t="s">
        <v>1073</v>
      </c>
      <c r="W124" s="307">
        <v>69.099999999999994</v>
      </c>
      <c r="X124" s="307" t="s">
        <v>390</v>
      </c>
      <c r="Y124" s="307" t="s">
        <v>859</v>
      </c>
    </row>
    <row r="125" spans="2:25">
      <c r="B125" s="335" t="s">
        <v>374</v>
      </c>
      <c r="C125" s="335" t="s">
        <v>375</v>
      </c>
      <c r="D125" s="335" t="s">
        <v>821</v>
      </c>
      <c r="E125" s="335" t="s">
        <v>822</v>
      </c>
      <c r="F125" s="335" t="s">
        <v>376</v>
      </c>
      <c r="G125" s="335" t="s">
        <v>14</v>
      </c>
      <c r="H125" s="336" t="s">
        <v>104</v>
      </c>
      <c r="I125" s="335">
        <v>0</v>
      </c>
      <c r="J125" s="335" t="s">
        <v>823</v>
      </c>
      <c r="K125" s="335" t="s">
        <v>820</v>
      </c>
      <c r="M125" s="335" t="s">
        <v>1074</v>
      </c>
      <c r="N125" s="335" t="s">
        <v>388</v>
      </c>
      <c r="O125" s="335" t="s">
        <v>389</v>
      </c>
      <c r="Q125" s="307" t="e">
        <f ca="1">_xll.BDP(M125&amp;" "&amp;N125&amp;" "&amp;O125,Q$2)</f>
        <v>#NAME?</v>
      </c>
      <c r="R125" s="307" t="e">
        <f ca="1">_xll.BDP(M125&amp;" "&amp;N125&amp;" "&amp;O125,R$2)</f>
        <v>#NAME?</v>
      </c>
      <c r="S125" s="307" t="e">
        <f ca="1">_xll.BDP(M125&amp;" "&amp;N125&amp;" "&amp;O125,S$2)</f>
        <v>#NAME?</v>
      </c>
      <c r="T125" s="307" t="e">
        <f ca="1">_xll.BDP(M125&amp;" "&amp;N125&amp;" "&amp;O125,T$2)</f>
        <v>#NAME?</v>
      </c>
      <c r="V125" s="307" t="s">
        <v>1075</v>
      </c>
      <c r="W125" s="307">
        <v>64.599999999999994</v>
      </c>
      <c r="X125" s="307" t="s">
        <v>390</v>
      </c>
      <c r="Y125" s="307" t="s">
        <v>859</v>
      </c>
    </row>
    <row r="126" spans="2:25">
      <c r="B126" s="335" t="s">
        <v>374</v>
      </c>
      <c r="C126" s="335" t="s">
        <v>375</v>
      </c>
      <c r="D126" s="335" t="s">
        <v>821</v>
      </c>
      <c r="E126" s="335" t="s">
        <v>822</v>
      </c>
      <c r="F126" s="335" t="s">
        <v>376</v>
      </c>
      <c r="G126" s="335" t="s">
        <v>15</v>
      </c>
      <c r="H126" s="335" t="s">
        <v>23</v>
      </c>
      <c r="I126" s="335">
        <v>0</v>
      </c>
      <c r="J126" s="335" t="s">
        <v>823</v>
      </c>
      <c r="K126" s="335" t="s">
        <v>820</v>
      </c>
      <c r="M126" s="335" t="s">
        <v>1076</v>
      </c>
      <c r="N126" s="335" t="s">
        <v>388</v>
      </c>
      <c r="O126" s="335" t="s">
        <v>389</v>
      </c>
      <c r="Q126" s="307" t="e">
        <f ca="1">_xll.BDP(M126&amp;" "&amp;N126&amp;" "&amp;O126,Q$2)</f>
        <v>#NAME?</v>
      </c>
      <c r="R126" s="307" t="e">
        <f ca="1">_xll.BDP(M126&amp;" "&amp;N126&amp;" "&amp;O126,R$2)</f>
        <v>#NAME?</v>
      </c>
      <c r="S126" s="307" t="e">
        <f ca="1">_xll.BDP(M126&amp;" "&amp;N126&amp;" "&amp;O126,S$2)</f>
        <v>#NAME?</v>
      </c>
      <c r="T126" s="307" t="e">
        <f ca="1">_xll.BDP(M126&amp;" "&amp;N126&amp;" "&amp;O126,T$2)</f>
        <v>#NAME?</v>
      </c>
      <c r="V126" s="307" t="s">
        <v>1077</v>
      </c>
      <c r="W126" s="307">
        <v>65.3</v>
      </c>
      <c r="X126" s="307" t="s">
        <v>390</v>
      </c>
      <c r="Y126" s="307" t="s">
        <v>893</v>
      </c>
    </row>
    <row r="127" spans="2:25">
      <c r="B127" s="335" t="s">
        <v>374</v>
      </c>
      <c r="C127" s="335" t="s">
        <v>375</v>
      </c>
      <c r="D127" s="335" t="s">
        <v>821</v>
      </c>
      <c r="E127" s="335" t="s">
        <v>822</v>
      </c>
      <c r="F127" s="335" t="s">
        <v>376</v>
      </c>
      <c r="G127" s="335" t="s">
        <v>15</v>
      </c>
      <c r="H127" s="335" t="s">
        <v>398</v>
      </c>
      <c r="I127" s="335">
        <v>0</v>
      </c>
      <c r="J127" s="335" t="s">
        <v>823</v>
      </c>
      <c r="K127" s="335" t="s">
        <v>820</v>
      </c>
      <c r="M127" s="335" t="s">
        <v>1078</v>
      </c>
      <c r="N127" s="335" t="s">
        <v>388</v>
      </c>
      <c r="O127" s="335" t="s">
        <v>389</v>
      </c>
      <c r="Q127" s="307" t="e">
        <f ca="1">_xll.BDP(M127&amp;" "&amp;N127&amp;" "&amp;O127,Q$2)</f>
        <v>#NAME?</v>
      </c>
      <c r="R127" s="307" t="e">
        <f ca="1">_xll.BDP(M127&amp;" "&amp;N127&amp;" "&amp;O127,R$2)</f>
        <v>#NAME?</v>
      </c>
      <c r="S127" s="307" t="e">
        <f ca="1">_xll.BDP(M127&amp;" "&amp;N127&amp;" "&amp;O127,S$2)</f>
        <v>#NAME?</v>
      </c>
      <c r="T127" s="307" t="e">
        <f ca="1">_xll.BDP(M127&amp;" "&amp;N127&amp;" "&amp;O127,T$2)</f>
        <v>#NAME?</v>
      </c>
      <c r="V127" s="307" t="s">
        <v>1079</v>
      </c>
      <c r="W127" s="307">
        <v>65.3</v>
      </c>
      <c r="X127" s="307" t="s">
        <v>390</v>
      </c>
      <c r="Y127" s="307" t="s">
        <v>927</v>
      </c>
    </row>
    <row r="128" spans="2:25">
      <c r="B128" s="335" t="s">
        <v>374</v>
      </c>
      <c r="C128" s="335" t="s">
        <v>375</v>
      </c>
      <c r="D128" s="335" t="s">
        <v>821</v>
      </c>
      <c r="E128" s="335" t="s">
        <v>822</v>
      </c>
      <c r="F128" s="335" t="s">
        <v>376</v>
      </c>
      <c r="G128" s="335" t="s">
        <v>15</v>
      </c>
      <c r="H128" s="336" t="s">
        <v>26</v>
      </c>
      <c r="I128" s="335">
        <v>0</v>
      </c>
      <c r="J128" s="335" t="s">
        <v>823</v>
      </c>
      <c r="K128" s="335" t="s">
        <v>820</v>
      </c>
      <c r="M128" s="335" t="s">
        <v>1080</v>
      </c>
      <c r="N128" s="335" t="s">
        <v>388</v>
      </c>
      <c r="O128" s="335" t="s">
        <v>389</v>
      </c>
      <c r="Q128" s="307" t="e">
        <f ca="1">_xll.BDP(M128&amp;" "&amp;N128&amp;" "&amp;O128,Q$2)</f>
        <v>#NAME?</v>
      </c>
      <c r="R128" s="307" t="e">
        <f ca="1">_xll.BDP(M128&amp;" "&amp;N128&amp;" "&amp;O128,R$2)</f>
        <v>#NAME?</v>
      </c>
      <c r="S128" s="307" t="e">
        <f ca="1">_xll.BDP(M128&amp;" "&amp;N128&amp;" "&amp;O128,S$2)</f>
        <v>#NAME?</v>
      </c>
      <c r="T128" s="307" t="e">
        <f ca="1">_xll.BDP(M128&amp;" "&amp;N128&amp;" "&amp;O128,T$2)</f>
        <v>#NAME?</v>
      </c>
      <c r="V128" s="307" t="s">
        <v>1081</v>
      </c>
      <c r="W128" s="307">
        <v>64.8</v>
      </c>
      <c r="X128" s="307" t="s">
        <v>390</v>
      </c>
      <c r="Y128" s="307" t="s">
        <v>836</v>
      </c>
    </row>
    <row r="129" spans="2:25">
      <c r="B129" s="335" t="s">
        <v>374</v>
      </c>
      <c r="C129" s="335" t="s">
        <v>375</v>
      </c>
      <c r="D129" s="335" t="s">
        <v>821</v>
      </c>
      <c r="E129" s="335" t="s">
        <v>822</v>
      </c>
      <c r="F129" s="335" t="s">
        <v>376</v>
      </c>
      <c r="G129" s="335" t="s">
        <v>15</v>
      </c>
      <c r="H129" s="336" t="s">
        <v>19</v>
      </c>
      <c r="I129" s="335">
        <v>0</v>
      </c>
      <c r="J129" s="335" t="s">
        <v>823</v>
      </c>
      <c r="K129" s="335" t="s">
        <v>820</v>
      </c>
      <c r="M129" s="335" t="s">
        <v>1082</v>
      </c>
      <c r="N129" s="335" t="s">
        <v>388</v>
      </c>
      <c r="O129" s="335" t="s">
        <v>389</v>
      </c>
      <c r="Q129" s="307" t="e">
        <f ca="1">_xll.BDP(M129&amp;" "&amp;N129&amp;" "&amp;O129,Q$2)</f>
        <v>#NAME?</v>
      </c>
      <c r="R129" s="307" t="e">
        <f ca="1">_xll.BDP(M129&amp;" "&amp;N129&amp;" "&amp;O129,R$2)</f>
        <v>#NAME?</v>
      </c>
      <c r="S129" s="307" t="e">
        <f ca="1">_xll.BDP(M129&amp;" "&amp;N129&amp;" "&amp;O129,S$2)</f>
        <v>#NAME?</v>
      </c>
      <c r="T129" s="307" t="e">
        <f ca="1">_xll.BDP(M129&amp;" "&amp;N129&amp;" "&amp;O129,T$2)</f>
        <v>#NAME?</v>
      </c>
      <c r="V129" s="307" t="s">
        <v>1083</v>
      </c>
      <c r="W129" s="307">
        <v>64.599999999999994</v>
      </c>
      <c r="X129" s="307" t="s">
        <v>390</v>
      </c>
      <c r="Y129" s="307" t="s">
        <v>836</v>
      </c>
    </row>
    <row r="130" spans="2:25">
      <c r="B130" s="335" t="s">
        <v>374</v>
      </c>
      <c r="C130" s="335" t="s">
        <v>375</v>
      </c>
      <c r="D130" s="335" t="s">
        <v>821</v>
      </c>
      <c r="E130" s="335" t="s">
        <v>822</v>
      </c>
      <c r="F130" s="335" t="s">
        <v>376</v>
      </c>
      <c r="G130" s="335" t="s">
        <v>15</v>
      </c>
      <c r="H130" s="336" t="s">
        <v>412</v>
      </c>
      <c r="I130" s="335">
        <v>0</v>
      </c>
      <c r="J130" s="335" t="s">
        <v>823</v>
      </c>
      <c r="K130" s="335" t="s">
        <v>820</v>
      </c>
      <c r="M130" s="335" t="s">
        <v>1084</v>
      </c>
      <c r="N130" s="335" t="s">
        <v>388</v>
      </c>
      <c r="O130" s="335" t="s">
        <v>389</v>
      </c>
      <c r="Q130" s="307" t="e">
        <f ca="1">_xll.BDP(M130&amp;" "&amp;N130&amp;" "&amp;O130,Q$2)</f>
        <v>#NAME?</v>
      </c>
      <c r="R130" s="307" t="e">
        <f ca="1">_xll.BDP(M130&amp;" "&amp;N130&amp;" "&amp;O130,R$2)</f>
        <v>#NAME?</v>
      </c>
      <c r="S130" s="307" t="e">
        <f ca="1">_xll.BDP(M130&amp;" "&amp;N130&amp;" "&amp;O130,S$2)</f>
        <v>#NAME?</v>
      </c>
      <c r="T130" s="307" t="e">
        <f ca="1">_xll.BDP(M130&amp;" "&amp;N130&amp;" "&amp;O130,T$2)</f>
        <v>#NAME?</v>
      </c>
      <c r="V130" s="307" t="s">
        <v>1085</v>
      </c>
      <c r="W130" s="307">
        <v>65.099999999999994</v>
      </c>
      <c r="X130" s="307" t="s">
        <v>390</v>
      </c>
      <c r="Y130" s="307" t="s">
        <v>893</v>
      </c>
    </row>
    <row r="131" spans="2:25">
      <c r="B131" s="335" t="s">
        <v>374</v>
      </c>
      <c r="C131" s="335" t="s">
        <v>375</v>
      </c>
      <c r="D131" s="335" t="s">
        <v>821</v>
      </c>
      <c r="E131" s="335" t="s">
        <v>822</v>
      </c>
      <c r="F131" s="335" t="s">
        <v>376</v>
      </c>
      <c r="G131" s="335" t="s">
        <v>15</v>
      </c>
      <c r="H131" s="336" t="s">
        <v>7</v>
      </c>
      <c r="I131" s="335">
        <v>0</v>
      </c>
      <c r="J131" s="335" t="s">
        <v>823</v>
      </c>
      <c r="K131" s="335" t="s">
        <v>820</v>
      </c>
      <c r="M131" s="335" t="s">
        <v>1086</v>
      </c>
      <c r="N131" s="335" t="s">
        <v>388</v>
      </c>
      <c r="O131" s="335" t="s">
        <v>389</v>
      </c>
      <c r="Q131" s="307" t="e">
        <f ca="1">_xll.BDP(M131&amp;" "&amp;N131&amp;" "&amp;O131,Q$2)</f>
        <v>#NAME?</v>
      </c>
      <c r="R131" s="307" t="e">
        <f ca="1">_xll.BDP(M131&amp;" "&amp;N131&amp;" "&amp;O131,R$2)</f>
        <v>#NAME?</v>
      </c>
      <c r="S131" s="307" t="e">
        <f ca="1">_xll.BDP(M131&amp;" "&amp;N131&amp;" "&amp;O131,S$2)</f>
        <v>#NAME?</v>
      </c>
      <c r="T131" s="307" t="e">
        <f ca="1">_xll.BDP(M131&amp;" "&amp;N131&amp;" "&amp;O131,T$2)</f>
        <v>#NAME?</v>
      </c>
      <c r="V131" s="307" t="s">
        <v>1087</v>
      </c>
      <c r="W131" s="307">
        <v>66.400000000000006</v>
      </c>
      <c r="X131" s="307" t="s">
        <v>390</v>
      </c>
      <c r="Y131" s="307" t="s">
        <v>936</v>
      </c>
    </row>
    <row r="132" spans="2:25">
      <c r="B132" s="335" t="s">
        <v>374</v>
      </c>
      <c r="C132" s="335" t="s">
        <v>375</v>
      </c>
      <c r="D132" s="335" t="s">
        <v>821</v>
      </c>
      <c r="E132" s="335" t="s">
        <v>822</v>
      </c>
      <c r="F132" s="335" t="s">
        <v>376</v>
      </c>
      <c r="G132" s="335" t="s">
        <v>15</v>
      </c>
      <c r="H132" s="336" t="s">
        <v>154</v>
      </c>
      <c r="I132" s="335">
        <v>0</v>
      </c>
      <c r="J132" s="335" t="s">
        <v>823</v>
      </c>
      <c r="K132" s="335" t="s">
        <v>820</v>
      </c>
      <c r="M132" s="335" t="s">
        <v>1088</v>
      </c>
      <c r="N132" s="335" t="s">
        <v>388</v>
      </c>
      <c r="O132" s="335" t="s">
        <v>389</v>
      </c>
      <c r="Q132" s="307" t="e">
        <f ca="1">_xll.BDP(M132&amp;" "&amp;N132&amp;" "&amp;O132,Q$2)</f>
        <v>#NAME?</v>
      </c>
      <c r="R132" s="307" t="e">
        <f ca="1">_xll.BDP(M132&amp;" "&amp;N132&amp;" "&amp;O132,R$2)</f>
        <v>#NAME?</v>
      </c>
      <c r="S132" s="307" t="e">
        <f ca="1">_xll.BDP(M132&amp;" "&amp;N132&amp;" "&amp;O132,S$2)</f>
        <v>#NAME?</v>
      </c>
      <c r="T132" s="307" t="e">
        <f ca="1">_xll.BDP(M132&amp;" "&amp;N132&amp;" "&amp;O132,T$2)</f>
        <v>#NAME?</v>
      </c>
      <c r="V132" s="307" t="s">
        <v>1089</v>
      </c>
      <c r="W132" s="307">
        <v>68.400000000000006</v>
      </c>
      <c r="X132" s="307" t="s">
        <v>390</v>
      </c>
      <c r="Y132" s="307" t="s">
        <v>870</v>
      </c>
    </row>
    <row r="133" spans="2:25">
      <c r="B133" s="335" t="s">
        <v>374</v>
      </c>
      <c r="C133" s="335" t="s">
        <v>375</v>
      </c>
      <c r="D133" s="335" t="s">
        <v>821</v>
      </c>
      <c r="E133" s="335" t="s">
        <v>822</v>
      </c>
      <c r="F133" s="335" t="s">
        <v>376</v>
      </c>
      <c r="G133" s="335" t="s">
        <v>15</v>
      </c>
      <c r="H133" s="336" t="s">
        <v>8</v>
      </c>
      <c r="I133" s="335">
        <v>0</v>
      </c>
      <c r="J133" s="335" t="s">
        <v>823</v>
      </c>
      <c r="K133" s="335" t="s">
        <v>820</v>
      </c>
      <c r="M133" s="335" t="s">
        <v>1090</v>
      </c>
      <c r="N133" s="335" t="s">
        <v>388</v>
      </c>
      <c r="O133" s="335" t="s">
        <v>389</v>
      </c>
      <c r="Q133" s="307" t="e">
        <f ca="1">_xll.BDP(M133&amp;" "&amp;N133&amp;" "&amp;O133,Q$2)</f>
        <v>#NAME?</v>
      </c>
      <c r="R133" s="307" t="e">
        <f ca="1">_xll.BDP(M133&amp;" "&amp;N133&amp;" "&amp;O133,R$2)</f>
        <v>#NAME?</v>
      </c>
      <c r="S133" s="307" t="e">
        <f ca="1">_xll.BDP(M133&amp;" "&amp;N133&amp;" "&amp;O133,S$2)</f>
        <v>#NAME?</v>
      </c>
      <c r="T133" s="307" t="e">
        <f ca="1">_xll.BDP(M133&amp;" "&amp;N133&amp;" "&amp;O133,T$2)</f>
        <v>#NAME?</v>
      </c>
      <c r="V133" s="307" t="s">
        <v>1091</v>
      </c>
      <c r="W133" s="307">
        <v>70.400000000000006</v>
      </c>
      <c r="X133" s="307" t="s">
        <v>390</v>
      </c>
      <c r="Y133" s="307" t="s">
        <v>847</v>
      </c>
    </row>
    <row r="134" spans="2:25">
      <c r="B134" s="335" t="s">
        <v>374</v>
      </c>
      <c r="C134" s="335" t="s">
        <v>375</v>
      </c>
      <c r="D134" s="335" t="s">
        <v>821</v>
      </c>
      <c r="E134" s="335" t="s">
        <v>822</v>
      </c>
      <c r="F134" s="335" t="s">
        <v>376</v>
      </c>
      <c r="G134" s="335" t="s">
        <v>15</v>
      </c>
      <c r="H134" s="336" t="s">
        <v>9</v>
      </c>
      <c r="I134" s="335">
        <v>0</v>
      </c>
      <c r="J134" s="335" t="s">
        <v>823</v>
      </c>
      <c r="K134" s="335" t="s">
        <v>820</v>
      </c>
      <c r="M134" s="335" t="s">
        <v>1092</v>
      </c>
      <c r="N134" s="335" t="s">
        <v>388</v>
      </c>
      <c r="O134" s="335" t="s">
        <v>389</v>
      </c>
      <c r="Q134" s="307" t="e">
        <f ca="1">_xll.BDP(M134&amp;" "&amp;N134&amp;" "&amp;O134,Q$2)</f>
        <v>#NAME?</v>
      </c>
      <c r="R134" s="307" t="e">
        <f ca="1">_xll.BDP(M134&amp;" "&amp;N134&amp;" "&amp;O134,R$2)</f>
        <v>#NAME?</v>
      </c>
      <c r="S134" s="307" t="e">
        <f ca="1">_xll.BDP(M134&amp;" "&amp;N134&amp;" "&amp;O134,S$2)</f>
        <v>#NAME?</v>
      </c>
      <c r="T134" s="307" t="e">
        <f ca="1">_xll.BDP(M134&amp;" "&amp;N134&amp;" "&amp;O134,T$2)</f>
        <v>#NAME?</v>
      </c>
      <c r="V134" s="307" t="s">
        <v>1093</v>
      </c>
      <c r="W134" s="307">
        <v>72.7</v>
      </c>
      <c r="X134" s="307" t="s">
        <v>390</v>
      </c>
      <c r="Y134" s="307" t="s">
        <v>847</v>
      </c>
    </row>
    <row r="135" spans="2:25">
      <c r="B135" s="335" t="s">
        <v>374</v>
      </c>
      <c r="C135" s="335" t="s">
        <v>375</v>
      </c>
      <c r="D135" s="335" t="s">
        <v>821</v>
      </c>
      <c r="E135" s="335" t="s">
        <v>822</v>
      </c>
      <c r="F135" s="335" t="s">
        <v>376</v>
      </c>
      <c r="G135" s="335" t="s">
        <v>15</v>
      </c>
      <c r="H135" s="336" t="s">
        <v>10</v>
      </c>
      <c r="I135" s="335">
        <v>0</v>
      </c>
      <c r="J135" s="335" t="s">
        <v>823</v>
      </c>
      <c r="K135" s="335" t="s">
        <v>820</v>
      </c>
      <c r="M135" s="335" t="s">
        <v>1094</v>
      </c>
      <c r="N135" s="335" t="s">
        <v>388</v>
      </c>
      <c r="O135" s="335" t="s">
        <v>389</v>
      </c>
      <c r="Q135" s="307" t="e">
        <f ca="1">_xll.BDP(M135&amp;" "&amp;N135&amp;" "&amp;O135,Q$2)</f>
        <v>#NAME?</v>
      </c>
      <c r="R135" s="307" t="e">
        <f ca="1">_xll.BDP(M135&amp;" "&amp;N135&amp;" "&amp;O135,R$2)</f>
        <v>#NAME?</v>
      </c>
      <c r="S135" s="307" t="e">
        <f ca="1">_xll.BDP(M135&amp;" "&amp;N135&amp;" "&amp;O135,S$2)</f>
        <v>#NAME?</v>
      </c>
      <c r="T135" s="307" t="e">
        <f ca="1">_xll.BDP(M135&amp;" "&amp;N135&amp;" "&amp;O135,T$2)</f>
        <v>#NAME?</v>
      </c>
      <c r="V135" s="307" t="s">
        <v>1095</v>
      </c>
      <c r="W135" s="307">
        <v>73.900000000000006</v>
      </c>
      <c r="X135" s="307" t="s">
        <v>390</v>
      </c>
      <c r="Y135" s="307" t="s">
        <v>847</v>
      </c>
    </row>
    <row r="136" spans="2:25">
      <c r="B136" s="335" t="s">
        <v>374</v>
      </c>
      <c r="C136" s="335" t="s">
        <v>375</v>
      </c>
      <c r="D136" s="335" t="s">
        <v>821</v>
      </c>
      <c r="E136" s="335" t="s">
        <v>822</v>
      </c>
      <c r="F136" s="335" t="s">
        <v>376</v>
      </c>
      <c r="G136" s="335" t="s">
        <v>15</v>
      </c>
      <c r="H136" s="336" t="s">
        <v>11</v>
      </c>
      <c r="I136" s="335">
        <v>0</v>
      </c>
      <c r="J136" s="335" t="s">
        <v>823</v>
      </c>
      <c r="K136" s="335" t="s">
        <v>820</v>
      </c>
      <c r="M136" s="335" t="s">
        <v>1096</v>
      </c>
      <c r="N136" s="335" t="s">
        <v>388</v>
      </c>
      <c r="O136" s="335" t="s">
        <v>389</v>
      </c>
      <c r="Q136" s="307" t="e">
        <f ca="1">_xll.BDP(M136&amp;" "&amp;N136&amp;" "&amp;O136,Q$2)</f>
        <v>#NAME?</v>
      </c>
      <c r="R136" s="307" t="e">
        <f ca="1">_xll.BDP(M136&amp;" "&amp;N136&amp;" "&amp;O136,R$2)</f>
        <v>#NAME?</v>
      </c>
      <c r="S136" s="307" t="e">
        <f ca="1">_xll.BDP(M136&amp;" "&amp;N136&amp;" "&amp;O136,S$2)</f>
        <v>#NAME?</v>
      </c>
      <c r="T136" s="307" t="e">
        <f ca="1">_xll.BDP(M136&amp;" "&amp;N136&amp;" "&amp;O136,T$2)</f>
        <v>#NAME?</v>
      </c>
      <c r="V136" s="307" t="s">
        <v>1097</v>
      </c>
      <c r="W136" s="307">
        <v>73.900000000000006</v>
      </c>
      <c r="X136" s="307" t="s">
        <v>390</v>
      </c>
      <c r="Y136" s="307" t="s">
        <v>973</v>
      </c>
    </row>
    <row r="137" spans="2:25">
      <c r="B137" s="335" t="s">
        <v>374</v>
      </c>
      <c r="C137" s="335" t="s">
        <v>375</v>
      </c>
      <c r="D137" s="335" t="s">
        <v>821</v>
      </c>
      <c r="E137" s="335" t="s">
        <v>822</v>
      </c>
      <c r="F137" s="335" t="s">
        <v>376</v>
      </c>
      <c r="G137" s="335" t="s">
        <v>15</v>
      </c>
      <c r="H137" s="336" t="s">
        <v>13</v>
      </c>
      <c r="I137" s="335">
        <v>0</v>
      </c>
      <c r="J137" s="335" t="s">
        <v>823</v>
      </c>
      <c r="K137" s="335" t="s">
        <v>820</v>
      </c>
      <c r="M137" s="335" t="s">
        <v>1098</v>
      </c>
      <c r="N137" s="335" t="s">
        <v>388</v>
      </c>
      <c r="O137" s="335" t="s">
        <v>389</v>
      </c>
      <c r="Q137" s="307" t="e">
        <f ca="1">_xll.BDP(M137&amp;" "&amp;N137&amp;" "&amp;O137,Q$2)</f>
        <v>#NAME?</v>
      </c>
      <c r="R137" s="307" t="e">
        <f ca="1">_xll.BDP(M137&amp;" "&amp;N137&amp;" "&amp;O137,R$2)</f>
        <v>#NAME?</v>
      </c>
      <c r="S137" s="307" t="e">
        <f ca="1">_xll.BDP(M137&amp;" "&amp;N137&amp;" "&amp;O137,S$2)</f>
        <v>#NAME?</v>
      </c>
      <c r="T137" s="307" t="e">
        <f ca="1">_xll.BDP(M137&amp;" "&amp;N137&amp;" "&amp;O137,T$2)</f>
        <v>#NAME?</v>
      </c>
      <c r="V137" s="307" t="s">
        <v>1099</v>
      </c>
      <c r="W137" s="307">
        <v>73.900000000000006</v>
      </c>
      <c r="X137" s="307" t="s">
        <v>390</v>
      </c>
      <c r="Y137" s="307" t="s">
        <v>847</v>
      </c>
    </row>
    <row r="138" spans="2:25">
      <c r="B138" s="335" t="s">
        <v>374</v>
      </c>
      <c r="C138" s="335" t="s">
        <v>375</v>
      </c>
      <c r="D138" s="335" t="s">
        <v>821</v>
      </c>
      <c r="E138" s="335" t="s">
        <v>822</v>
      </c>
      <c r="F138" s="335" t="s">
        <v>376</v>
      </c>
      <c r="G138" s="335" t="s">
        <v>15</v>
      </c>
      <c r="H138" s="336" t="s">
        <v>16</v>
      </c>
      <c r="I138" s="335">
        <v>0</v>
      </c>
      <c r="J138" s="335" t="s">
        <v>823</v>
      </c>
      <c r="K138" s="335" t="s">
        <v>820</v>
      </c>
      <c r="M138" s="335" t="s">
        <v>1100</v>
      </c>
      <c r="N138" s="335" t="s">
        <v>388</v>
      </c>
      <c r="O138" s="335" t="s">
        <v>389</v>
      </c>
      <c r="Q138" s="307" t="e">
        <f ca="1">_xll.BDP(M138&amp;" "&amp;N138&amp;" "&amp;O138,Q$2)</f>
        <v>#NAME?</v>
      </c>
      <c r="R138" s="307" t="e">
        <f ca="1">_xll.BDP(M138&amp;" "&amp;N138&amp;" "&amp;O138,R$2)</f>
        <v>#NAME?</v>
      </c>
      <c r="S138" s="307" t="e">
        <f ca="1">_xll.BDP(M138&amp;" "&amp;N138&amp;" "&amp;O138,S$2)</f>
        <v>#NAME?</v>
      </c>
      <c r="T138" s="307" t="e">
        <f ca="1">_xll.BDP(M138&amp;" "&amp;N138&amp;" "&amp;O138,T$2)</f>
        <v>#NAME?</v>
      </c>
      <c r="V138" s="307" t="s">
        <v>1101</v>
      </c>
      <c r="W138" s="307">
        <v>72.5</v>
      </c>
      <c r="X138" s="307" t="s">
        <v>390</v>
      </c>
      <c r="Y138" s="307" t="s">
        <v>847</v>
      </c>
    </row>
    <row r="139" spans="2:25">
      <c r="B139" s="335" t="s">
        <v>374</v>
      </c>
      <c r="C139" s="335" t="s">
        <v>375</v>
      </c>
      <c r="D139" s="335" t="s">
        <v>821</v>
      </c>
      <c r="E139" s="335" t="s">
        <v>822</v>
      </c>
      <c r="F139" s="335" t="s">
        <v>376</v>
      </c>
      <c r="G139" s="335" t="s">
        <v>15</v>
      </c>
      <c r="H139" s="336" t="s">
        <v>17</v>
      </c>
      <c r="I139" s="335">
        <v>0</v>
      </c>
      <c r="J139" s="335" t="s">
        <v>823</v>
      </c>
      <c r="K139" s="335" t="s">
        <v>820</v>
      </c>
      <c r="M139" s="335" t="s">
        <v>1102</v>
      </c>
      <c r="N139" s="335" t="s">
        <v>388</v>
      </c>
      <c r="O139" s="335" t="s">
        <v>389</v>
      </c>
      <c r="Q139" s="307" t="e">
        <f ca="1">_xll.BDP(M139&amp;" "&amp;N139&amp;" "&amp;O139,Q$2)</f>
        <v>#NAME?</v>
      </c>
      <c r="R139" s="307" t="e">
        <f ca="1">_xll.BDP(M139&amp;" "&amp;N139&amp;" "&amp;O139,R$2)</f>
        <v>#NAME?</v>
      </c>
      <c r="S139" s="307" t="e">
        <f ca="1">_xll.BDP(M139&amp;" "&amp;N139&amp;" "&amp;O139,S$2)</f>
        <v>#NAME?</v>
      </c>
      <c r="T139" s="307" t="e">
        <f ca="1">_xll.BDP(M139&amp;" "&amp;N139&amp;" "&amp;O139,T$2)</f>
        <v>#NAME?</v>
      </c>
      <c r="V139" s="307" t="s">
        <v>1103</v>
      </c>
      <c r="W139" s="307">
        <v>68.7</v>
      </c>
      <c r="X139" s="307" t="s">
        <v>390</v>
      </c>
      <c r="Y139" s="307" t="s">
        <v>973</v>
      </c>
    </row>
    <row r="140" spans="2:25">
      <c r="B140" s="335" t="s">
        <v>374</v>
      </c>
      <c r="C140" s="335" t="s">
        <v>375</v>
      </c>
      <c r="D140" s="335" t="s">
        <v>821</v>
      </c>
      <c r="E140" s="335" t="s">
        <v>822</v>
      </c>
      <c r="F140" s="335" t="s">
        <v>376</v>
      </c>
      <c r="G140" s="335" t="s">
        <v>15</v>
      </c>
      <c r="H140" s="336" t="s">
        <v>104</v>
      </c>
      <c r="I140" s="335">
        <v>0</v>
      </c>
      <c r="J140" s="335" t="s">
        <v>823</v>
      </c>
      <c r="K140" s="335" t="s">
        <v>820</v>
      </c>
      <c r="M140" s="335" t="s">
        <v>1104</v>
      </c>
      <c r="N140" s="335" t="s">
        <v>388</v>
      </c>
      <c r="O140" s="335" t="s">
        <v>389</v>
      </c>
      <c r="Q140" s="307" t="e">
        <f ca="1">_xll.BDP(M140&amp;" "&amp;N140&amp;" "&amp;O140,Q$2)</f>
        <v>#NAME?</v>
      </c>
      <c r="R140" s="307" t="e">
        <f ca="1">_xll.BDP(M140&amp;" "&amp;N140&amp;" "&amp;O140,R$2)</f>
        <v>#NAME?</v>
      </c>
      <c r="S140" s="307" t="e">
        <f ca="1">_xll.BDP(M140&amp;" "&amp;N140&amp;" "&amp;O140,S$2)</f>
        <v>#NAME?</v>
      </c>
      <c r="T140" s="307" t="e">
        <f ca="1">_xll.BDP(M140&amp;" "&amp;N140&amp;" "&amp;O140,T$2)</f>
        <v>#NAME?</v>
      </c>
      <c r="V140" s="307" t="s">
        <v>1105</v>
      </c>
      <c r="W140" s="307">
        <v>64</v>
      </c>
      <c r="X140" s="307" t="s">
        <v>390</v>
      </c>
      <c r="Y140" s="307" t="s">
        <v>973</v>
      </c>
    </row>
    <row r="141" spans="2:25">
      <c r="B141" s="335" t="s">
        <v>374</v>
      </c>
      <c r="C141" s="335" t="s">
        <v>375</v>
      </c>
      <c r="D141" s="335" t="s">
        <v>821</v>
      </c>
      <c r="E141" s="335" t="s">
        <v>822</v>
      </c>
      <c r="F141" s="335" t="s">
        <v>376</v>
      </c>
      <c r="G141" s="335" t="s">
        <v>16</v>
      </c>
      <c r="H141" s="335" t="s">
        <v>23</v>
      </c>
      <c r="I141" s="335">
        <v>0</v>
      </c>
      <c r="J141" s="335" t="s">
        <v>823</v>
      </c>
      <c r="K141" s="335" t="s">
        <v>820</v>
      </c>
      <c r="M141" s="335" t="s">
        <v>1106</v>
      </c>
      <c r="N141" s="335" t="s">
        <v>388</v>
      </c>
      <c r="O141" s="335" t="s">
        <v>389</v>
      </c>
      <c r="Q141" s="307" t="e">
        <f ca="1">_xll.BDP(M141&amp;" "&amp;N141&amp;" "&amp;O141,Q$2)</f>
        <v>#NAME?</v>
      </c>
      <c r="R141" s="307" t="e">
        <f ca="1">_xll.BDP(M141&amp;" "&amp;N141&amp;" "&amp;O141,R$2)</f>
        <v>#NAME?</v>
      </c>
      <c r="S141" s="307" t="e">
        <f ca="1">_xll.BDP(M141&amp;" "&amp;N141&amp;" "&amp;O141,S$2)</f>
        <v>#NAME?</v>
      </c>
      <c r="T141" s="307" t="e">
        <f ca="1">_xll.BDP(M141&amp;" "&amp;N141&amp;" "&amp;O141,T$2)</f>
        <v>#NAME?</v>
      </c>
      <c r="V141" s="307" t="s">
        <v>1107</v>
      </c>
      <c r="W141" s="307">
        <v>69.2</v>
      </c>
      <c r="X141" s="307" t="s">
        <v>390</v>
      </c>
      <c r="Y141" s="307" t="s">
        <v>1108</v>
      </c>
    </row>
    <row r="142" spans="2:25">
      <c r="B142" s="335" t="s">
        <v>374</v>
      </c>
      <c r="C142" s="335" t="s">
        <v>375</v>
      </c>
      <c r="D142" s="335" t="s">
        <v>821</v>
      </c>
      <c r="E142" s="335" t="s">
        <v>822</v>
      </c>
      <c r="F142" s="335" t="s">
        <v>376</v>
      </c>
      <c r="G142" s="335" t="s">
        <v>16</v>
      </c>
      <c r="H142" s="335" t="s">
        <v>398</v>
      </c>
      <c r="I142" s="335">
        <v>0</v>
      </c>
      <c r="J142" s="335" t="s">
        <v>823</v>
      </c>
      <c r="K142" s="335" t="s">
        <v>820</v>
      </c>
      <c r="M142" s="335" t="s">
        <v>1109</v>
      </c>
      <c r="N142" s="335" t="s">
        <v>388</v>
      </c>
      <c r="O142" s="335" t="s">
        <v>389</v>
      </c>
      <c r="Q142" s="307" t="e">
        <f ca="1">_xll.BDP(M142&amp;" "&amp;N142&amp;" "&amp;O142,Q$2)</f>
        <v>#NAME?</v>
      </c>
      <c r="R142" s="307" t="e">
        <f ca="1">_xll.BDP(M142&amp;" "&amp;N142&amp;" "&amp;O142,R$2)</f>
        <v>#NAME?</v>
      </c>
      <c r="S142" s="307" t="e">
        <f ca="1">_xll.BDP(M142&amp;" "&amp;N142&amp;" "&amp;O142,S$2)</f>
        <v>#NAME?</v>
      </c>
      <c r="T142" s="307" t="e">
        <f ca="1">_xll.BDP(M142&amp;" "&amp;N142&amp;" "&amp;O142,T$2)</f>
        <v>#NAME?</v>
      </c>
      <c r="V142" s="307" t="s">
        <v>1110</v>
      </c>
      <c r="W142" s="307">
        <v>69.2</v>
      </c>
      <c r="X142" s="307" t="s">
        <v>390</v>
      </c>
      <c r="Y142" s="307" t="s">
        <v>927</v>
      </c>
    </row>
    <row r="143" spans="2:25">
      <c r="B143" s="335" t="s">
        <v>374</v>
      </c>
      <c r="C143" s="335" t="s">
        <v>375</v>
      </c>
      <c r="D143" s="335" t="s">
        <v>821</v>
      </c>
      <c r="E143" s="335" t="s">
        <v>822</v>
      </c>
      <c r="F143" s="335" t="s">
        <v>376</v>
      </c>
      <c r="G143" s="335" t="s">
        <v>16</v>
      </c>
      <c r="H143" s="336" t="s">
        <v>26</v>
      </c>
      <c r="I143" s="335">
        <v>0</v>
      </c>
      <c r="J143" s="335" t="s">
        <v>823</v>
      </c>
      <c r="K143" s="335" t="s">
        <v>820</v>
      </c>
      <c r="M143" s="335" t="s">
        <v>1111</v>
      </c>
      <c r="N143" s="335" t="s">
        <v>388</v>
      </c>
      <c r="O143" s="335" t="s">
        <v>389</v>
      </c>
      <c r="Q143" s="307" t="e">
        <f ca="1">_xll.BDP(M143&amp;" "&amp;N143&amp;" "&amp;O143,Q$2)</f>
        <v>#NAME?</v>
      </c>
      <c r="R143" s="307" t="e">
        <f ca="1">_xll.BDP(M143&amp;" "&amp;N143&amp;" "&amp;O143,R$2)</f>
        <v>#NAME?</v>
      </c>
      <c r="S143" s="307" t="e">
        <f ca="1">_xll.BDP(M143&amp;" "&amp;N143&amp;" "&amp;O143,S$2)</f>
        <v>#NAME?</v>
      </c>
      <c r="T143" s="307" t="e">
        <f ca="1">_xll.BDP(M143&amp;" "&amp;N143&amp;" "&amp;O143,T$2)</f>
        <v>#NAME?</v>
      </c>
      <c r="V143" s="307" t="s">
        <v>1112</v>
      </c>
      <c r="W143" s="307">
        <v>69.3</v>
      </c>
      <c r="X143" s="307" t="s">
        <v>390</v>
      </c>
      <c r="Y143" s="307" t="s">
        <v>836</v>
      </c>
    </row>
    <row r="144" spans="2:25">
      <c r="B144" s="335" t="s">
        <v>374</v>
      </c>
      <c r="C144" s="335" t="s">
        <v>375</v>
      </c>
      <c r="D144" s="335" t="s">
        <v>821</v>
      </c>
      <c r="E144" s="335" t="s">
        <v>822</v>
      </c>
      <c r="F144" s="335" t="s">
        <v>376</v>
      </c>
      <c r="G144" s="335" t="s">
        <v>16</v>
      </c>
      <c r="H144" s="336" t="s">
        <v>19</v>
      </c>
      <c r="I144" s="335">
        <v>0</v>
      </c>
      <c r="J144" s="335" t="s">
        <v>823</v>
      </c>
      <c r="K144" s="335" t="s">
        <v>820</v>
      </c>
      <c r="M144" s="335" t="s">
        <v>1113</v>
      </c>
      <c r="N144" s="335" t="s">
        <v>388</v>
      </c>
      <c r="O144" s="335" t="s">
        <v>389</v>
      </c>
      <c r="Q144" s="307" t="e">
        <f ca="1">_xll.BDP(M144&amp;" "&amp;N144&amp;" "&amp;O144,Q$2)</f>
        <v>#NAME?</v>
      </c>
      <c r="R144" s="307" t="e">
        <f ca="1">_xll.BDP(M144&amp;" "&amp;N144&amp;" "&amp;O144,R$2)</f>
        <v>#NAME?</v>
      </c>
      <c r="S144" s="307" t="e">
        <f ca="1">_xll.BDP(M144&amp;" "&amp;N144&amp;" "&amp;O144,S$2)</f>
        <v>#NAME?</v>
      </c>
      <c r="T144" s="307" t="e">
        <f ca="1">_xll.BDP(M144&amp;" "&amp;N144&amp;" "&amp;O144,T$2)</f>
        <v>#NAME?</v>
      </c>
      <c r="V144" s="307" t="s">
        <v>1114</v>
      </c>
      <c r="W144" s="307">
        <v>69.2</v>
      </c>
      <c r="X144" s="307" t="s">
        <v>390</v>
      </c>
      <c r="Y144" s="307" t="s">
        <v>836</v>
      </c>
    </row>
    <row r="145" spans="2:25">
      <c r="B145" s="335" t="s">
        <v>374</v>
      </c>
      <c r="C145" s="335" t="s">
        <v>375</v>
      </c>
      <c r="D145" s="335" t="s">
        <v>821</v>
      </c>
      <c r="E145" s="335" t="s">
        <v>822</v>
      </c>
      <c r="F145" s="335" t="s">
        <v>376</v>
      </c>
      <c r="G145" s="335" t="s">
        <v>16</v>
      </c>
      <c r="H145" s="336" t="s">
        <v>412</v>
      </c>
      <c r="I145" s="335">
        <v>0</v>
      </c>
      <c r="J145" s="335" t="s">
        <v>823</v>
      </c>
      <c r="K145" s="335" t="s">
        <v>820</v>
      </c>
      <c r="M145" s="335" t="s">
        <v>1115</v>
      </c>
      <c r="N145" s="335" t="s">
        <v>388</v>
      </c>
      <c r="O145" s="335" t="s">
        <v>389</v>
      </c>
      <c r="Q145" s="307" t="e">
        <f ca="1">_xll.BDP(M145&amp;" "&amp;N145&amp;" "&amp;O145,Q$2)</f>
        <v>#NAME?</v>
      </c>
      <c r="R145" s="307" t="e">
        <f ca="1">_xll.BDP(M145&amp;" "&amp;N145&amp;" "&amp;O145,R$2)</f>
        <v>#NAME?</v>
      </c>
      <c r="S145" s="307" t="e">
        <f ca="1">_xll.BDP(M145&amp;" "&amp;N145&amp;" "&amp;O145,S$2)</f>
        <v>#NAME?</v>
      </c>
      <c r="T145" s="307" t="e">
        <f ca="1">_xll.BDP(M145&amp;" "&amp;N145&amp;" "&amp;O145,T$2)</f>
        <v>#NAME?</v>
      </c>
      <c r="V145" s="307" t="s">
        <v>1116</v>
      </c>
      <c r="W145" s="307">
        <v>69.599999999999994</v>
      </c>
      <c r="X145" s="307" t="s">
        <v>390</v>
      </c>
      <c r="Y145" s="307" t="s">
        <v>936</v>
      </c>
    </row>
    <row r="146" spans="2:25">
      <c r="B146" s="335" t="s">
        <v>374</v>
      </c>
      <c r="C146" s="335" t="s">
        <v>375</v>
      </c>
      <c r="D146" s="335" t="s">
        <v>821</v>
      </c>
      <c r="E146" s="335" t="s">
        <v>822</v>
      </c>
      <c r="F146" s="335" t="s">
        <v>376</v>
      </c>
      <c r="G146" s="335" t="s">
        <v>16</v>
      </c>
      <c r="H146" s="336" t="s">
        <v>7</v>
      </c>
      <c r="I146" s="335">
        <v>0</v>
      </c>
      <c r="J146" s="335" t="s">
        <v>823</v>
      </c>
      <c r="K146" s="335" t="s">
        <v>820</v>
      </c>
      <c r="M146" s="335" t="s">
        <v>1117</v>
      </c>
      <c r="N146" s="335" t="s">
        <v>388</v>
      </c>
      <c r="O146" s="335" t="s">
        <v>389</v>
      </c>
      <c r="Q146" s="307" t="e">
        <f ca="1">_xll.BDP(M146&amp;" "&amp;N146&amp;" "&amp;O146,Q$2)</f>
        <v>#NAME?</v>
      </c>
      <c r="R146" s="307" t="e">
        <f ca="1">_xll.BDP(M146&amp;" "&amp;N146&amp;" "&amp;O146,R$2)</f>
        <v>#NAME?</v>
      </c>
      <c r="S146" s="307" t="e">
        <f ca="1">_xll.BDP(M146&amp;" "&amp;N146&amp;" "&amp;O146,S$2)</f>
        <v>#NAME?</v>
      </c>
      <c r="T146" s="307" t="e">
        <f ca="1">_xll.BDP(M146&amp;" "&amp;N146&amp;" "&amp;O146,T$2)</f>
        <v>#NAME?</v>
      </c>
      <c r="V146" s="307" t="s">
        <v>1118</v>
      </c>
      <c r="W146" s="307">
        <v>69.900000000000006</v>
      </c>
      <c r="X146" s="307" t="s">
        <v>390</v>
      </c>
      <c r="Y146" s="307" t="s">
        <v>936</v>
      </c>
    </row>
    <row r="147" spans="2:25">
      <c r="B147" s="335" t="s">
        <v>374</v>
      </c>
      <c r="C147" s="335" t="s">
        <v>375</v>
      </c>
      <c r="D147" s="335" t="s">
        <v>821</v>
      </c>
      <c r="E147" s="335" t="s">
        <v>822</v>
      </c>
      <c r="F147" s="335" t="s">
        <v>376</v>
      </c>
      <c r="G147" s="335" t="s">
        <v>16</v>
      </c>
      <c r="H147" s="336" t="s">
        <v>154</v>
      </c>
      <c r="I147" s="335">
        <v>0</v>
      </c>
      <c r="J147" s="335" t="s">
        <v>823</v>
      </c>
      <c r="K147" s="335" t="s">
        <v>820</v>
      </c>
      <c r="M147" s="335" t="s">
        <v>1119</v>
      </c>
      <c r="N147" s="335" t="s">
        <v>388</v>
      </c>
      <c r="O147" s="335" t="s">
        <v>389</v>
      </c>
      <c r="Q147" s="307" t="e">
        <f ca="1">_xll.BDP(M147&amp;" "&amp;N147&amp;" "&amp;O147,Q$2)</f>
        <v>#NAME?</v>
      </c>
      <c r="R147" s="307" t="e">
        <f ca="1">_xll.BDP(M147&amp;" "&amp;N147&amp;" "&amp;O147,R$2)</f>
        <v>#NAME?</v>
      </c>
      <c r="S147" s="307" t="e">
        <f ca="1">_xll.BDP(M147&amp;" "&amp;N147&amp;" "&amp;O147,S$2)</f>
        <v>#NAME?</v>
      </c>
      <c r="T147" s="307" t="e">
        <f ca="1">_xll.BDP(M147&amp;" "&amp;N147&amp;" "&amp;O147,T$2)</f>
        <v>#NAME?</v>
      </c>
      <c r="V147" s="307" t="s">
        <v>1120</v>
      </c>
      <c r="W147" s="307">
        <v>71.599999999999994</v>
      </c>
      <c r="X147" s="307" t="s">
        <v>390</v>
      </c>
      <c r="Y147" s="307" t="s">
        <v>870</v>
      </c>
    </row>
    <row r="148" spans="2:25">
      <c r="B148" s="335" t="s">
        <v>374</v>
      </c>
      <c r="C148" s="335" t="s">
        <v>375</v>
      </c>
      <c r="D148" s="335" t="s">
        <v>821</v>
      </c>
      <c r="E148" s="335" t="s">
        <v>822</v>
      </c>
      <c r="F148" s="335" t="s">
        <v>376</v>
      </c>
      <c r="G148" s="335" t="s">
        <v>16</v>
      </c>
      <c r="H148" s="336" t="s">
        <v>8</v>
      </c>
      <c r="I148" s="335">
        <v>0</v>
      </c>
      <c r="J148" s="335" t="s">
        <v>823</v>
      </c>
      <c r="K148" s="335" t="s">
        <v>820</v>
      </c>
      <c r="M148" s="335" t="s">
        <v>1121</v>
      </c>
      <c r="N148" s="335" t="s">
        <v>388</v>
      </c>
      <c r="O148" s="335" t="s">
        <v>389</v>
      </c>
      <c r="Q148" s="307" t="e">
        <f ca="1">_xll.BDP(M148&amp;" "&amp;N148&amp;" "&amp;O148,Q$2)</f>
        <v>#NAME?</v>
      </c>
      <c r="R148" s="307" t="e">
        <f ca="1">_xll.BDP(M148&amp;" "&amp;N148&amp;" "&amp;O148,R$2)</f>
        <v>#NAME?</v>
      </c>
      <c r="S148" s="307" t="e">
        <f ca="1">_xll.BDP(M148&amp;" "&amp;N148&amp;" "&amp;O148,S$2)</f>
        <v>#NAME?</v>
      </c>
      <c r="T148" s="307" t="e">
        <f ca="1">_xll.BDP(M148&amp;" "&amp;N148&amp;" "&amp;O148,T$2)</f>
        <v>#NAME?</v>
      </c>
      <c r="V148" s="307" t="s">
        <v>1122</v>
      </c>
      <c r="W148" s="307">
        <v>72.599999999999994</v>
      </c>
      <c r="X148" s="307" t="s">
        <v>390</v>
      </c>
      <c r="Y148" s="307" t="s">
        <v>826</v>
      </c>
    </row>
    <row r="149" spans="2:25">
      <c r="B149" s="335" t="s">
        <v>374</v>
      </c>
      <c r="C149" s="335" t="s">
        <v>375</v>
      </c>
      <c r="D149" s="335" t="s">
        <v>821</v>
      </c>
      <c r="E149" s="335" t="s">
        <v>822</v>
      </c>
      <c r="F149" s="335" t="s">
        <v>376</v>
      </c>
      <c r="G149" s="335" t="s">
        <v>16</v>
      </c>
      <c r="H149" s="336" t="s">
        <v>9</v>
      </c>
      <c r="I149" s="335">
        <v>0</v>
      </c>
      <c r="J149" s="335" t="s">
        <v>823</v>
      </c>
      <c r="K149" s="335" t="s">
        <v>820</v>
      </c>
      <c r="M149" s="335" t="s">
        <v>1123</v>
      </c>
      <c r="N149" s="335" t="s">
        <v>388</v>
      </c>
      <c r="O149" s="335" t="s">
        <v>389</v>
      </c>
      <c r="Q149" s="307" t="e">
        <f ca="1">_xll.BDP(M149&amp;" "&amp;N149&amp;" "&amp;O149,Q$2)</f>
        <v>#NAME?</v>
      </c>
      <c r="R149" s="307" t="e">
        <f ca="1">_xll.BDP(M149&amp;" "&amp;N149&amp;" "&amp;O149,R$2)</f>
        <v>#NAME?</v>
      </c>
      <c r="S149" s="307" t="e">
        <f ca="1">_xll.BDP(M149&amp;" "&amp;N149&amp;" "&amp;O149,S$2)</f>
        <v>#NAME?</v>
      </c>
      <c r="T149" s="307" t="e">
        <f ca="1">_xll.BDP(M149&amp;" "&amp;N149&amp;" "&amp;O149,T$2)</f>
        <v>#NAME?</v>
      </c>
      <c r="V149" s="307" t="s">
        <v>1124</v>
      </c>
      <c r="W149" s="307">
        <v>74.2</v>
      </c>
      <c r="X149" s="307" t="s">
        <v>390</v>
      </c>
      <c r="Y149" s="307" t="s">
        <v>847</v>
      </c>
    </row>
    <row r="150" spans="2:25">
      <c r="B150" s="335" t="s">
        <v>374</v>
      </c>
      <c r="C150" s="335" t="s">
        <v>375</v>
      </c>
      <c r="D150" s="335" t="s">
        <v>821</v>
      </c>
      <c r="E150" s="335" t="s">
        <v>822</v>
      </c>
      <c r="F150" s="335" t="s">
        <v>376</v>
      </c>
      <c r="G150" s="335" t="s">
        <v>16</v>
      </c>
      <c r="H150" s="336" t="s">
        <v>10</v>
      </c>
      <c r="I150" s="335">
        <v>0</v>
      </c>
      <c r="J150" s="335" t="s">
        <v>823</v>
      </c>
      <c r="K150" s="335" t="s">
        <v>820</v>
      </c>
      <c r="M150" s="335" t="s">
        <v>1125</v>
      </c>
      <c r="N150" s="335" t="s">
        <v>388</v>
      </c>
      <c r="O150" s="335" t="s">
        <v>389</v>
      </c>
      <c r="Q150" s="307" t="e">
        <f ca="1">_xll.BDP(M150&amp;" "&amp;N150&amp;" "&amp;O150,Q$2)</f>
        <v>#NAME?</v>
      </c>
      <c r="R150" s="307" t="e">
        <f ca="1">_xll.BDP(M150&amp;" "&amp;N150&amp;" "&amp;O150,R$2)</f>
        <v>#NAME?</v>
      </c>
      <c r="S150" s="307" t="e">
        <f ca="1">_xll.BDP(M150&amp;" "&amp;N150&amp;" "&amp;O150,S$2)</f>
        <v>#NAME?</v>
      </c>
      <c r="T150" s="307" t="e">
        <f ca="1">_xll.BDP(M150&amp;" "&amp;N150&amp;" "&amp;O150,T$2)</f>
        <v>#NAME?</v>
      </c>
      <c r="V150" s="307" t="s">
        <v>1126</v>
      </c>
      <c r="W150" s="307">
        <v>74.599999999999994</v>
      </c>
      <c r="X150" s="307" t="s">
        <v>390</v>
      </c>
      <c r="Y150" s="307" t="s">
        <v>847</v>
      </c>
    </row>
    <row r="151" spans="2:25">
      <c r="B151" s="335" t="s">
        <v>374</v>
      </c>
      <c r="C151" s="335" t="s">
        <v>375</v>
      </c>
      <c r="D151" s="335" t="s">
        <v>821</v>
      </c>
      <c r="E151" s="335" t="s">
        <v>822</v>
      </c>
      <c r="F151" s="335" t="s">
        <v>376</v>
      </c>
      <c r="G151" s="335" t="s">
        <v>16</v>
      </c>
      <c r="H151" s="336" t="s">
        <v>11</v>
      </c>
      <c r="I151" s="335">
        <v>0</v>
      </c>
      <c r="J151" s="335" t="s">
        <v>823</v>
      </c>
      <c r="K151" s="335" t="s">
        <v>820</v>
      </c>
      <c r="M151" s="335" t="s">
        <v>1127</v>
      </c>
      <c r="N151" s="335" t="s">
        <v>388</v>
      </c>
      <c r="O151" s="335" t="s">
        <v>389</v>
      </c>
      <c r="Q151" s="307" t="e">
        <f ca="1">_xll.BDP(M151&amp;" "&amp;N151&amp;" "&amp;O151,Q$2)</f>
        <v>#NAME?</v>
      </c>
      <c r="R151" s="307" t="e">
        <f ca="1">_xll.BDP(M151&amp;" "&amp;N151&amp;" "&amp;O151,R$2)</f>
        <v>#NAME?</v>
      </c>
      <c r="S151" s="307" t="e">
        <f ca="1">_xll.BDP(M151&amp;" "&amp;N151&amp;" "&amp;O151,S$2)</f>
        <v>#NAME?</v>
      </c>
      <c r="T151" s="307" t="e">
        <f ca="1">_xll.BDP(M151&amp;" "&amp;N151&amp;" "&amp;O151,T$2)</f>
        <v>#NAME?</v>
      </c>
      <c r="V151" s="307" t="s">
        <v>1128</v>
      </c>
      <c r="W151" s="307">
        <v>74.400000000000006</v>
      </c>
      <c r="X151" s="307" t="s">
        <v>390</v>
      </c>
      <c r="Y151" s="307" t="s">
        <v>973</v>
      </c>
    </row>
    <row r="152" spans="2:25">
      <c r="B152" s="335" t="s">
        <v>374</v>
      </c>
      <c r="C152" s="335" t="s">
        <v>375</v>
      </c>
      <c r="D152" s="335" t="s">
        <v>821</v>
      </c>
      <c r="E152" s="335" t="s">
        <v>822</v>
      </c>
      <c r="F152" s="335" t="s">
        <v>376</v>
      </c>
      <c r="G152" s="335" t="s">
        <v>16</v>
      </c>
      <c r="H152" s="336" t="s">
        <v>13</v>
      </c>
      <c r="I152" s="335">
        <v>0</v>
      </c>
      <c r="J152" s="335" t="s">
        <v>823</v>
      </c>
      <c r="K152" s="335" t="s">
        <v>820</v>
      </c>
      <c r="M152" s="335" t="s">
        <v>1129</v>
      </c>
      <c r="N152" s="335" t="s">
        <v>388</v>
      </c>
      <c r="O152" s="335" t="s">
        <v>389</v>
      </c>
      <c r="Q152" s="307" t="e">
        <f ca="1">_xll.BDP(M152&amp;" "&amp;N152&amp;" "&amp;O152,Q$2)</f>
        <v>#NAME?</v>
      </c>
      <c r="R152" s="307" t="e">
        <f ca="1">_xll.BDP(M152&amp;" "&amp;N152&amp;" "&amp;O152,R$2)</f>
        <v>#NAME?</v>
      </c>
      <c r="S152" s="307" t="e">
        <f ca="1">_xll.BDP(M152&amp;" "&amp;N152&amp;" "&amp;O152,S$2)</f>
        <v>#NAME?</v>
      </c>
      <c r="T152" s="307" t="e">
        <f ca="1">_xll.BDP(M152&amp;" "&amp;N152&amp;" "&amp;O152,T$2)</f>
        <v>#NAME?</v>
      </c>
      <c r="V152" s="307" t="s">
        <v>1130</v>
      </c>
      <c r="W152" s="307">
        <v>73.900000000000006</v>
      </c>
      <c r="X152" s="307" t="s">
        <v>390</v>
      </c>
      <c r="Y152" s="307" t="s">
        <v>847</v>
      </c>
    </row>
    <row r="153" spans="2:25">
      <c r="B153" s="335" t="s">
        <v>374</v>
      </c>
      <c r="C153" s="335" t="s">
        <v>375</v>
      </c>
      <c r="D153" s="335" t="s">
        <v>821</v>
      </c>
      <c r="E153" s="335" t="s">
        <v>822</v>
      </c>
      <c r="F153" s="335" t="s">
        <v>376</v>
      </c>
      <c r="G153" s="335" t="s">
        <v>16</v>
      </c>
      <c r="H153" s="336" t="s">
        <v>16</v>
      </c>
      <c r="I153" s="335">
        <v>0</v>
      </c>
      <c r="J153" s="335" t="s">
        <v>823</v>
      </c>
      <c r="K153" s="335" t="s">
        <v>820</v>
      </c>
      <c r="M153" s="335" t="s">
        <v>1131</v>
      </c>
      <c r="N153" s="335" t="s">
        <v>388</v>
      </c>
      <c r="O153" s="335" t="s">
        <v>389</v>
      </c>
      <c r="Q153" s="307" t="e">
        <f ca="1">_xll.BDP(M153&amp;" "&amp;N153&amp;" "&amp;O153,Q$2)</f>
        <v>#NAME?</v>
      </c>
      <c r="R153" s="307" t="e">
        <f ca="1">_xll.BDP(M153&amp;" "&amp;N153&amp;" "&amp;O153,R$2)</f>
        <v>#NAME?</v>
      </c>
      <c r="S153" s="307" t="e">
        <f ca="1">_xll.BDP(M153&amp;" "&amp;N153&amp;" "&amp;O153,S$2)</f>
        <v>#NAME?</v>
      </c>
      <c r="T153" s="307" t="e">
        <f ca="1">_xll.BDP(M153&amp;" "&amp;N153&amp;" "&amp;O153,T$2)</f>
        <v>#NAME?</v>
      </c>
      <c r="V153" s="307" t="s">
        <v>1132</v>
      </c>
      <c r="W153" s="307">
        <v>72.3</v>
      </c>
      <c r="X153" s="307" t="s">
        <v>390</v>
      </c>
      <c r="Y153" s="307" t="s">
        <v>847</v>
      </c>
    </row>
    <row r="154" spans="2:25">
      <c r="B154" s="335" t="s">
        <v>374</v>
      </c>
      <c r="C154" s="335" t="s">
        <v>375</v>
      </c>
      <c r="D154" s="335" t="s">
        <v>821</v>
      </c>
      <c r="E154" s="335" t="s">
        <v>822</v>
      </c>
      <c r="F154" s="335" t="s">
        <v>376</v>
      </c>
      <c r="G154" s="335" t="s">
        <v>16</v>
      </c>
      <c r="H154" s="336" t="s">
        <v>17</v>
      </c>
      <c r="I154" s="335">
        <v>0</v>
      </c>
      <c r="J154" s="335" t="s">
        <v>823</v>
      </c>
      <c r="K154" s="335" t="s">
        <v>820</v>
      </c>
      <c r="M154" s="335" t="s">
        <v>1133</v>
      </c>
      <c r="N154" s="335" t="s">
        <v>388</v>
      </c>
      <c r="O154" s="335" t="s">
        <v>389</v>
      </c>
      <c r="Q154" s="307" t="e">
        <f ca="1">_xll.BDP(M154&amp;" "&amp;N154&amp;" "&amp;O154,Q$2)</f>
        <v>#NAME?</v>
      </c>
      <c r="R154" s="307" t="e">
        <f ca="1">_xll.BDP(M154&amp;" "&amp;N154&amp;" "&amp;O154,R$2)</f>
        <v>#NAME?</v>
      </c>
      <c r="S154" s="307" t="e">
        <f ca="1">_xll.BDP(M154&amp;" "&amp;N154&amp;" "&amp;O154,S$2)</f>
        <v>#NAME?</v>
      </c>
      <c r="T154" s="307" t="e">
        <f ca="1">_xll.BDP(M154&amp;" "&amp;N154&amp;" "&amp;O154,T$2)</f>
        <v>#NAME?</v>
      </c>
      <c r="V154" s="307" t="s">
        <v>1134</v>
      </c>
      <c r="W154" s="307">
        <v>68.099999999999994</v>
      </c>
      <c r="X154" s="307" t="s">
        <v>390</v>
      </c>
      <c r="Y154" s="307" t="s">
        <v>859</v>
      </c>
    </row>
    <row r="155" spans="2:25">
      <c r="B155" s="335" t="s">
        <v>374</v>
      </c>
      <c r="C155" s="335" t="s">
        <v>375</v>
      </c>
      <c r="D155" s="335" t="s">
        <v>821</v>
      </c>
      <c r="E155" s="335" t="s">
        <v>822</v>
      </c>
      <c r="F155" s="335" t="s">
        <v>376</v>
      </c>
      <c r="G155" s="335" t="s">
        <v>16</v>
      </c>
      <c r="H155" s="336" t="s">
        <v>104</v>
      </c>
      <c r="I155" s="335">
        <v>0</v>
      </c>
      <c r="J155" s="335" t="s">
        <v>823</v>
      </c>
      <c r="K155" s="335" t="s">
        <v>820</v>
      </c>
      <c r="M155" s="335" t="s">
        <v>1135</v>
      </c>
      <c r="N155" s="335" t="s">
        <v>388</v>
      </c>
      <c r="O155" s="335" t="s">
        <v>389</v>
      </c>
      <c r="Q155" s="307" t="e">
        <f ca="1">_xll.BDP(M155&amp;" "&amp;N155&amp;" "&amp;O155,Q$2)</f>
        <v>#NAME?</v>
      </c>
      <c r="R155" s="307" t="e">
        <f ca="1">_xll.BDP(M155&amp;" "&amp;N155&amp;" "&amp;O155,R$2)</f>
        <v>#NAME?</v>
      </c>
      <c r="S155" s="307" t="e">
        <f ca="1">_xll.BDP(M155&amp;" "&amp;N155&amp;" "&amp;O155,S$2)</f>
        <v>#NAME?</v>
      </c>
      <c r="T155" s="307" t="e">
        <f ca="1">_xll.BDP(M155&amp;" "&amp;N155&amp;" "&amp;O155,T$2)</f>
        <v>#NAME?</v>
      </c>
      <c r="V155" s="307" t="s">
        <v>1136</v>
      </c>
      <c r="W155" s="307">
        <v>63.7</v>
      </c>
      <c r="X155" s="307" t="s">
        <v>390</v>
      </c>
      <c r="Y155" s="307" t="s">
        <v>973</v>
      </c>
    </row>
    <row r="156" spans="2:25">
      <c r="B156" s="335" t="s">
        <v>374</v>
      </c>
      <c r="C156" s="335" t="s">
        <v>375</v>
      </c>
      <c r="D156" s="335" t="s">
        <v>821</v>
      </c>
      <c r="E156" s="335" t="s">
        <v>822</v>
      </c>
      <c r="F156" s="335" t="s">
        <v>376</v>
      </c>
      <c r="G156" s="335" t="s">
        <v>17</v>
      </c>
      <c r="H156" s="335" t="s">
        <v>23</v>
      </c>
      <c r="I156" s="335">
        <v>0</v>
      </c>
      <c r="J156" s="335" t="s">
        <v>823</v>
      </c>
      <c r="K156" s="335" t="s">
        <v>820</v>
      </c>
      <c r="M156" s="335" t="s">
        <v>1137</v>
      </c>
      <c r="N156" s="335" t="s">
        <v>388</v>
      </c>
      <c r="O156" s="335" t="s">
        <v>389</v>
      </c>
      <c r="Q156" s="307" t="e">
        <f ca="1">_xll.BDP(M156&amp;" "&amp;N156&amp;" "&amp;O156,Q$2)</f>
        <v>#NAME?</v>
      </c>
      <c r="R156" s="307" t="e">
        <f ca="1">_xll.BDP(M156&amp;" "&amp;N156&amp;" "&amp;O156,R$2)</f>
        <v>#NAME?</v>
      </c>
      <c r="S156" s="307" t="e">
        <f ca="1">_xll.BDP(M156&amp;" "&amp;N156&amp;" "&amp;O156,S$2)</f>
        <v>#NAME?</v>
      </c>
      <c r="T156" s="307" t="e">
        <f ca="1">_xll.BDP(M156&amp;" "&amp;N156&amp;" "&amp;O156,T$2)</f>
        <v>#NAME?</v>
      </c>
      <c r="V156" s="307" t="s">
        <v>1138</v>
      </c>
      <c r="W156" s="307">
        <v>78.8</v>
      </c>
      <c r="X156" s="307" t="s">
        <v>390</v>
      </c>
      <c r="Y156" s="307" t="s">
        <v>1108</v>
      </c>
    </row>
    <row r="157" spans="2:25">
      <c r="B157" s="335" t="s">
        <v>374</v>
      </c>
      <c r="C157" s="335" t="s">
        <v>375</v>
      </c>
      <c r="D157" s="335" t="s">
        <v>821</v>
      </c>
      <c r="E157" s="335" t="s">
        <v>822</v>
      </c>
      <c r="F157" s="335" t="s">
        <v>376</v>
      </c>
      <c r="G157" s="335" t="s">
        <v>17</v>
      </c>
      <c r="H157" s="335" t="s">
        <v>398</v>
      </c>
      <c r="I157" s="335">
        <v>0</v>
      </c>
      <c r="J157" s="335" t="s">
        <v>823</v>
      </c>
      <c r="K157" s="335" t="s">
        <v>820</v>
      </c>
      <c r="M157" s="335" t="s">
        <v>1139</v>
      </c>
      <c r="N157" s="335" t="s">
        <v>388</v>
      </c>
      <c r="O157" s="335" t="s">
        <v>389</v>
      </c>
      <c r="Q157" s="307" t="e">
        <f ca="1">_xll.BDP(M157&amp;" "&amp;N157&amp;" "&amp;O157,Q$2)</f>
        <v>#NAME?</v>
      </c>
      <c r="R157" s="307" t="e">
        <f ca="1">_xll.BDP(M157&amp;" "&amp;N157&amp;" "&amp;O157,R$2)</f>
        <v>#NAME?</v>
      </c>
      <c r="S157" s="307" t="e">
        <f ca="1">_xll.BDP(M157&amp;" "&amp;N157&amp;" "&amp;O157,S$2)</f>
        <v>#NAME?</v>
      </c>
      <c r="T157" s="307" t="e">
        <f ca="1">_xll.BDP(M157&amp;" "&amp;N157&amp;" "&amp;O157,T$2)</f>
        <v>#NAME?</v>
      </c>
      <c r="V157" s="307" t="s">
        <v>1140</v>
      </c>
      <c r="W157" s="307">
        <v>79</v>
      </c>
      <c r="X157" s="307" t="s">
        <v>390</v>
      </c>
      <c r="Y157" s="307" t="s">
        <v>927</v>
      </c>
    </row>
    <row r="158" spans="2:25">
      <c r="B158" s="335" t="s">
        <v>374</v>
      </c>
      <c r="C158" s="335" t="s">
        <v>375</v>
      </c>
      <c r="D158" s="335" t="s">
        <v>821</v>
      </c>
      <c r="E158" s="335" t="s">
        <v>822</v>
      </c>
      <c r="F158" s="335" t="s">
        <v>376</v>
      </c>
      <c r="G158" s="335" t="s">
        <v>17</v>
      </c>
      <c r="H158" s="336" t="s">
        <v>26</v>
      </c>
      <c r="I158" s="335">
        <v>0</v>
      </c>
      <c r="J158" s="335" t="s">
        <v>823</v>
      </c>
      <c r="K158" s="335" t="s">
        <v>820</v>
      </c>
      <c r="M158" s="335" t="s">
        <v>1141</v>
      </c>
      <c r="N158" s="335" t="s">
        <v>388</v>
      </c>
      <c r="O158" s="335" t="s">
        <v>389</v>
      </c>
      <c r="Q158" s="307" t="e">
        <f ca="1">_xll.BDP(M158&amp;" "&amp;N158&amp;" "&amp;O158,Q$2)</f>
        <v>#NAME?</v>
      </c>
      <c r="R158" s="307" t="e">
        <f ca="1">_xll.BDP(M158&amp;" "&amp;N158&amp;" "&amp;O158,R$2)</f>
        <v>#NAME?</v>
      </c>
      <c r="S158" s="307" t="e">
        <f ca="1">_xll.BDP(M158&amp;" "&amp;N158&amp;" "&amp;O158,S$2)</f>
        <v>#NAME?</v>
      </c>
      <c r="T158" s="307" t="e">
        <f ca="1">_xll.BDP(M158&amp;" "&amp;N158&amp;" "&amp;O158,T$2)</f>
        <v>#NAME?</v>
      </c>
      <c r="V158" s="307" t="s">
        <v>1142</v>
      </c>
      <c r="W158" s="307">
        <v>78.400000000000006</v>
      </c>
      <c r="X158" s="307" t="s">
        <v>390</v>
      </c>
      <c r="Y158" s="307" t="s">
        <v>900</v>
      </c>
    </row>
    <row r="159" spans="2:25">
      <c r="B159" s="335" t="s">
        <v>374</v>
      </c>
      <c r="C159" s="335" t="s">
        <v>375</v>
      </c>
      <c r="D159" s="335" t="s">
        <v>821</v>
      </c>
      <c r="E159" s="335" t="s">
        <v>822</v>
      </c>
      <c r="F159" s="335" t="s">
        <v>376</v>
      </c>
      <c r="G159" s="335" t="s">
        <v>17</v>
      </c>
      <c r="H159" s="336" t="s">
        <v>19</v>
      </c>
      <c r="I159" s="335">
        <v>0</v>
      </c>
      <c r="J159" s="335" t="s">
        <v>823</v>
      </c>
      <c r="K159" s="335" t="s">
        <v>820</v>
      </c>
      <c r="M159" s="335" t="s">
        <v>1143</v>
      </c>
      <c r="N159" s="335" t="s">
        <v>388</v>
      </c>
      <c r="O159" s="335" t="s">
        <v>389</v>
      </c>
      <c r="Q159" s="307" t="e">
        <f ca="1">_xll.BDP(M159&amp;" "&amp;N159&amp;" "&amp;O159,Q$2)</f>
        <v>#NAME?</v>
      </c>
      <c r="R159" s="307" t="e">
        <f ca="1">_xll.BDP(M159&amp;" "&amp;N159&amp;" "&amp;O159,R$2)</f>
        <v>#NAME?</v>
      </c>
      <c r="S159" s="307" t="e">
        <f ca="1">_xll.BDP(M159&amp;" "&amp;N159&amp;" "&amp;O159,S$2)</f>
        <v>#NAME?</v>
      </c>
      <c r="T159" s="307" t="e">
        <f ca="1">_xll.BDP(M159&amp;" "&amp;N159&amp;" "&amp;O159,T$2)</f>
        <v>#NAME?</v>
      </c>
      <c r="V159" s="307" t="s">
        <v>1144</v>
      </c>
      <c r="W159" s="307">
        <v>75.900000000000006</v>
      </c>
      <c r="X159" s="307" t="s">
        <v>390</v>
      </c>
      <c r="Y159" s="307" t="s">
        <v>900</v>
      </c>
    </row>
    <row r="160" spans="2:25">
      <c r="B160" s="335" t="s">
        <v>374</v>
      </c>
      <c r="C160" s="335" t="s">
        <v>375</v>
      </c>
      <c r="D160" s="335" t="s">
        <v>821</v>
      </c>
      <c r="E160" s="335" t="s">
        <v>822</v>
      </c>
      <c r="F160" s="335" t="s">
        <v>376</v>
      </c>
      <c r="G160" s="335" t="s">
        <v>17</v>
      </c>
      <c r="H160" s="336" t="s">
        <v>412</v>
      </c>
      <c r="I160" s="335">
        <v>0</v>
      </c>
      <c r="J160" s="335" t="s">
        <v>823</v>
      </c>
      <c r="K160" s="335" t="s">
        <v>820</v>
      </c>
      <c r="M160" s="335" t="s">
        <v>1145</v>
      </c>
      <c r="N160" s="335" t="s">
        <v>388</v>
      </c>
      <c r="O160" s="335" t="s">
        <v>389</v>
      </c>
      <c r="Q160" s="307" t="e">
        <f ca="1">_xll.BDP(M160&amp;" "&amp;N160&amp;" "&amp;O160,Q$2)</f>
        <v>#NAME?</v>
      </c>
      <c r="R160" s="307" t="e">
        <f ca="1">_xll.BDP(M160&amp;" "&amp;N160&amp;" "&amp;O160,R$2)</f>
        <v>#NAME?</v>
      </c>
      <c r="S160" s="307" t="e">
        <f ca="1">_xll.BDP(M160&amp;" "&amp;N160&amp;" "&amp;O160,S$2)</f>
        <v>#NAME?</v>
      </c>
      <c r="T160" s="307" t="e">
        <f ca="1">_xll.BDP(M160&amp;" "&amp;N160&amp;" "&amp;O160,T$2)</f>
        <v>#NAME?</v>
      </c>
      <c r="V160" s="307" t="s">
        <v>1146</v>
      </c>
      <c r="W160" s="307">
        <v>75</v>
      </c>
      <c r="X160" s="307" t="s">
        <v>390</v>
      </c>
      <c r="Y160" s="307" t="s">
        <v>893</v>
      </c>
    </row>
    <row r="161" spans="2:25">
      <c r="B161" s="335" t="s">
        <v>374</v>
      </c>
      <c r="C161" s="335" t="s">
        <v>375</v>
      </c>
      <c r="D161" s="335" t="s">
        <v>821</v>
      </c>
      <c r="E161" s="335" t="s">
        <v>822</v>
      </c>
      <c r="F161" s="335" t="s">
        <v>376</v>
      </c>
      <c r="G161" s="335" t="s">
        <v>17</v>
      </c>
      <c r="H161" s="336" t="s">
        <v>7</v>
      </c>
      <c r="I161" s="335">
        <v>0</v>
      </c>
      <c r="J161" s="335" t="s">
        <v>823</v>
      </c>
      <c r="K161" s="335" t="s">
        <v>820</v>
      </c>
      <c r="M161" s="335" t="s">
        <v>1147</v>
      </c>
      <c r="N161" s="335" t="s">
        <v>388</v>
      </c>
      <c r="O161" s="335" t="s">
        <v>389</v>
      </c>
      <c r="Q161" s="307" t="e">
        <f ca="1">_xll.BDP(M161&amp;" "&amp;N161&amp;" "&amp;O161,Q$2)</f>
        <v>#NAME?</v>
      </c>
      <c r="R161" s="307" t="e">
        <f ca="1">_xll.BDP(M161&amp;" "&amp;N161&amp;" "&amp;O161,R$2)</f>
        <v>#NAME?</v>
      </c>
      <c r="S161" s="307" t="e">
        <f ca="1">_xll.BDP(M161&amp;" "&amp;N161&amp;" "&amp;O161,S$2)</f>
        <v>#NAME?</v>
      </c>
      <c r="T161" s="307" t="e">
        <f ca="1">_xll.BDP(M161&amp;" "&amp;N161&amp;" "&amp;O161,T$2)</f>
        <v>#NAME?</v>
      </c>
      <c r="V161" s="307" t="s">
        <v>1148</v>
      </c>
      <c r="W161" s="307">
        <v>75.599999999999994</v>
      </c>
      <c r="X161" s="307" t="s">
        <v>390</v>
      </c>
      <c r="Y161" s="307" t="s">
        <v>1149</v>
      </c>
    </row>
    <row r="162" spans="2:25">
      <c r="B162" s="335" t="s">
        <v>374</v>
      </c>
      <c r="C162" s="335" t="s">
        <v>375</v>
      </c>
      <c r="D162" s="335" t="s">
        <v>821</v>
      </c>
      <c r="E162" s="335" t="s">
        <v>822</v>
      </c>
      <c r="F162" s="335" t="s">
        <v>376</v>
      </c>
      <c r="G162" s="335" t="s">
        <v>17</v>
      </c>
      <c r="H162" s="336" t="s">
        <v>154</v>
      </c>
      <c r="I162" s="335">
        <v>0</v>
      </c>
      <c r="J162" s="335" t="s">
        <v>823</v>
      </c>
      <c r="K162" s="335" t="s">
        <v>820</v>
      </c>
      <c r="M162" s="335" t="s">
        <v>1150</v>
      </c>
      <c r="N162" s="335" t="s">
        <v>388</v>
      </c>
      <c r="O162" s="335" t="s">
        <v>389</v>
      </c>
      <c r="Q162" s="307" t="e">
        <f ca="1">_xll.BDP(M162&amp;" "&amp;N162&amp;" "&amp;O162,Q$2)</f>
        <v>#NAME?</v>
      </c>
      <c r="R162" s="307" t="e">
        <f ca="1">_xll.BDP(M162&amp;" "&amp;N162&amp;" "&amp;O162,R$2)</f>
        <v>#NAME?</v>
      </c>
      <c r="S162" s="307" t="e">
        <f ca="1">_xll.BDP(M162&amp;" "&amp;N162&amp;" "&amp;O162,S$2)</f>
        <v>#NAME?</v>
      </c>
      <c r="T162" s="307" t="e">
        <f ca="1">_xll.BDP(M162&amp;" "&amp;N162&amp;" "&amp;O162,T$2)</f>
        <v>#NAME?</v>
      </c>
      <c r="V162" s="307" t="s">
        <v>1151</v>
      </c>
      <c r="W162" s="307">
        <v>75.599999999999994</v>
      </c>
      <c r="X162" s="307" t="s">
        <v>390</v>
      </c>
      <c r="Y162" s="307" t="s">
        <v>1149</v>
      </c>
    </row>
    <row r="163" spans="2:25">
      <c r="B163" s="335" t="s">
        <v>374</v>
      </c>
      <c r="C163" s="335" t="s">
        <v>375</v>
      </c>
      <c r="D163" s="335" t="s">
        <v>821</v>
      </c>
      <c r="E163" s="335" t="s">
        <v>822</v>
      </c>
      <c r="F163" s="335" t="s">
        <v>376</v>
      </c>
      <c r="G163" s="335" t="s">
        <v>17</v>
      </c>
      <c r="H163" s="336" t="s">
        <v>8</v>
      </c>
      <c r="I163" s="335">
        <v>0</v>
      </c>
      <c r="J163" s="335" t="s">
        <v>823</v>
      </c>
      <c r="K163" s="335" t="s">
        <v>820</v>
      </c>
      <c r="M163" s="335" t="s">
        <v>1152</v>
      </c>
      <c r="N163" s="335" t="s">
        <v>388</v>
      </c>
      <c r="O163" s="335" t="s">
        <v>389</v>
      </c>
      <c r="Q163" s="307" t="e">
        <f ca="1">_xll.BDP(M163&amp;" "&amp;N163&amp;" "&amp;O163,Q$2)</f>
        <v>#NAME?</v>
      </c>
      <c r="R163" s="307" t="e">
        <f ca="1">_xll.BDP(M163&amp;" "&amp;N163&amp;" "&amp;O163,R$2)</f>
        <v>#NAME?</v>
      </c>
      <c r="S163" s="307" t="e">
        <f ca="1">_xll.BDP(M163&amp;" "&amp;N163&amp;" "&amp;O163,S$2)</f>
        <v>#NAME?</v>
      </c>
      <c r="T163" s="307" t="e">
        <f ca="1">_xll.BDP(M163&amp;" "&amp;N163&amp;" "&amp;O163,T$2)</f>
        <v>#NAME?</v>
      </c>
      <c r="V163" s="307" t="s">
        <v>1153</v>
      </c>
      <c r="W163" s="307">
        <v>74.8</v>
      </c>
      <c r="X163" s="307" t="s">
        <v>390</v>
      </c>
      <c r="Y163" s="307" t="s">
        <v>847</v>
      </c>
    </row>
    <row r="164" spans="2:25">
      <c r="B164" s="335" t="s">
        <v>374</v>
      </c>
      <c r="C164" s="335" t="s">
        <v>375</v>
      </c>
      <c r="D164" s="335" t="s">
        <v>821</v>
      </c>
      <c r="E164" s="335" t="s">
        <v>822</v>
      </c>
      <c r="F164" s="335" t="s">
        <v>376</v>
      </c>
      <c r="G164" s="335" t="s">
        <v>17</v>
      </c>
      <c r="H164" s="336" t="s">
        <v>9</v>
      </c>
      <c r="I164" s="335">
        <v>0</v>
      </c>
      <c r="J164" s="335" t="s">
        <v>823</v>
      </c>
      <c r="K164" s="335" t="s">
        <v>820</v>
      </c>
      <c r="M164" s="335" t="s">
        <v>1154</v>
      </c>
      <c r="N164" s="335" t="s">
        <v>388</v>
      </c>
      <c r="O164" s="335" t="s">
        <v>389</v>
      </c>
      <c r="Q164" s="307" t="e">
        <f ca="1">_xll.BDP(M164&amp;" "&amp;N164&amp;" "&amp;O164,Q$2)</f>
        <v>#NAME?</v>
      </c>
      <c r="R164" s="307" t="e">
        <f ca="1">_xll.BDP(M164&amp;" "&amp;N164&amp;" "&amp;O164,R$2)</f>
        <v>#NAME?</v>
      </c>
      <c r="S164" s="307" t="e">
        <f ca="1">_xll.BDP(M164&amp;" "&amp;N164&amp;" "&amp;O164,S$2)</f>
        <v>#NAME?</v>
      </c>
      <c r="T164" s="307" t="e">
        <f ca="1">_xll.BDP(M164&amp;" "&amp;N164&amp;" "&amp;O164,T$2)</f>
        <v>#NAME?</v>
      </c>
      <c r="V164" s="307" t="s">
        <v>1155</v>
      </c>
      <c r="W164" s="307">
        <v>74.099999999999994</v>
      </c>
      <c r="X164" s="307" t="s">
        <v>390</v>
      </c>
      <c r="Y164" s="307" t="s">
        <v>847</v>
      </c>
    </row>
    <row r="165" spans="2:25">
      <c r="B165" s="335" t="s">
        <v>374</v>
      </c>
      <c r="C165" s="335" t="s">
        <v>375</v>
      </c>
      <c r="D165" s="335" t="s">
        <v>821</v>
      </c>
      <c r="E165" s="335" t="s">
        <v>822</v>
      </c>
      <c r="F165" s="335" t="s">
        <v>376</v>
      </c>
      <c r="G165" s="335" t="s">
        <v>17</v>
      </c>
      <c r="H165" s="336" t="s">
        <v>10</v>
      </c>
      <c r="I165" s="335">
        <v>0</v>
      </c>
      <c r="J165" s="335" t="s">
        <v>823</v>
      </c>
      <c r="K165" s="335" t="s">
        <v>820</v>
      </c>
      <c r="M165" s="335" t="s">
        <v>1156</v>
      </c>
      <c r="N165" s="335" t="s">
        <v>388</v>
      </c>
      <c r="O165" s="335" t="s">
        <v>389</v>
      </c>
      <c r="Q165" s="307" t="e">
        <f ca="1">_xll.BDP(M165&amp;" "&amp;N165&amp;" "&amp;O165,Q$2)</f>
        <v>#NAME?</v>
      </c>
      <c r="R165" s="307" t="e">
        <f ca="1">_xll.BDP(M165&amp;" "&amp;N165&amp;" "&amp;O165,R$2)</f>
        <v>#NAME?</v>
      </c>
      <c r="S165" s="307" t="e">
        <f ca="1">_xll.BDP(M165&amp;" "&amp;N165&amp;" "&amp;O165,S$2)</f>
        <v>#NAME?</v>
      </c>
      <c r="T165" s="307" t="e">
        <f ca="1">_xll.BDP(M165&amp;" "&amp;N165&amp;" "&amp;O165,T$2)</f>
        <v>#NAME?</v>
      </c>
      <c r="V165" s="307" t="s">
        <v>1157</v>
      </c>
      <c r="W165" s="307">
        <v>72.400000000000006</v>
      </c>
      <c r="X165" s="307" t="s">
        <v>390</v>
      </c>
      <c r="Y165" s="307" t="s">
        <v>847</v>
      </c>
    </row>
    <row r="166" spans="2:25">
      <c r="B166" s="335" t="s">
        <v>374</v>
      </c>
      <c r="C166" s="335" t="s">
        <v>375</v>
      </c>
      <c r="D166" s="335" t="s">
        <v>821</v>
      </c>
      <c r="E166" s="335" t="s">
        <v>822</v>
      </c>
      <c r="F166" s="335" t="s">
        <v>376</v>
      </c>
      <c r="G166" s="335" t="s">
        <v>17</v>
      </c>
      <c r="H166" s="336" t="s">
        <v>11</v>
      </c>
      <c r="I166" s="335">
        <v>0</v>
      </c>
      <c r="J166" s="335" t="s">
        <v>823</v>
      </c>
      <c r="K166" s="335" t="s">
        <v>820</v>
      </c>
      <c r="M166" s="335" t="s">
        <v>1158</v>
      </c>
      <c r="N166" s="335" t="s">
        <v>388</v>
      </c>
      <c r="O166" s="335" t="s">
        <v>389</v>
      </c>
      <c r="Q166" s="307" t="e">
        <f ca="1">_xll.BDP(M166&amp;" "&amp;N166&amp;" "&amp;O166,Q$2)</f>
        <v>#NAME?</v>
      </c>
      <c r="R166" s="307" t="e">
        <f ca="1">_xll.BDP(M166&amp;" "&amp;N166&amp;" "&amp;O166,R$2)</f>
        <v>#NAME?</v>
      </c>
      <c r="S166" s="307" t="e">
        <f ca="1">_xll.BDP(M166&amp;" "&amp;N166&amp;" "&amp;O166,S$2)</f>
        <v>#NAME?</v>
      </c>
      <c r="T166" s="307" t="e">
        <f ca="1">_xll.BDP(M166&amp;" "&amp;N166&amp;" "&amp;O166,T$2)</f>
        <v>#NAME?</v>
      </c>
      <c r="V166" s="307" t="s">
        <v>1159</v>
      </c>
      <c r="W166" s="307">
        <v>70.7</v>
      </c>
      <c r="X166" s="307" t="s">
        <v>390</v>
      </c>
      <c r="Y166" s="307" t="s">
        <v>847</v>
      </c>
    </row>
    <row r="167" spans="2:25">
      <c r="B167" s="335" t="s">
        <v>374</v>
      </c>
      <c r="C167" s="335" t="s">
        <v>375</v>
      </c>
      <c r="D167" s="335" t="s">
        <v>821</v>
      </c>
      <c r="E167" s="335" t="s">
        <v>822</v>
      </c>
      <c r="F167" s="335" t="s">
        <v>376</v>
      </c>
      <c r="G167" s="335" t="s">
        <v>17</v>
      </c>
      <c r="H167" s="336" t="s">
        <v>13</v>
      </c>
      <c r="I167" s="335">
        <v>0</v>
      </c>
      <c r="J167" s="335" t="s">
        <v>823</v>
      </c>
      <c r="K167" s="335" t="s">
        <v>820</v>
      </c>
      <c r="M167" s="335" t="s">
        <v>1160</v>
      </c>
      <c r="N167" s="335" t="s">
        <v>388</v>
      </c>
      <c r="O167" s="335" t="s">
        <v>389</v>
      </c>
      <c r="Q167" s="307" t="e">
        <f ca="1">_xll.BDP(M167&amp;" "&amp;N167&amp;" "&amp;O167,Q$2)</f>
        <v>#NAME?</v>
      </c>
      <c r="R167" s="307" t="e">
        <f ca="1">_xll.BDP(M167&amp;" "&amp;N167&amp;" "&amp;O167,R$2)</f>
        <v>#NAME?</v>
      </c>
      <c r="S167" s="307" t="e">
        <f ca="1">_xll.BDP(M167&amp;" "&amp;N167&amp;" "&amp;O167,S$2)</f>
        <v>#NAME?</v>
      </c>
      <c r="T167" s="307" t="e">
        <f ca="1">_xll.BDP(M167&amp;" "&amp;N167&amp;" "&amp;O167,T$2)</f>
        <v>#NAME?</v>
      </c>
      <c r="V167" s="307" t="s">
        <v>1161</v>
      </c>
      <c r="W167" s="307">
        <v>68.7</v>
      </c>
      <c r="X167" s="307" t="s">
        <v>390</v>
      </c>
      <c r="Y167" s="307" t="s">
        <v>847</v>
      </c>
    </row>
    <row r="168" spans="2:25">
      <c r="B168" s="335" t="s">
        <v>374</v>
      </c>
      <c r="C168" s="335" t="s">
        <v>375</v>
      </c>
      <c r="D168" s="335" t="s">
        <v>821</v>
      </c>
      <c r="E168" s="335" t="s">
        <v>822</v>
      </c>
      <c r="F168" s="335" t="s">
        <v>376</v>
      </c>
      <c r="G168" s="335" t="s">
        <v>17</v>
      </c>
      <c r="H168" s="336" t="s">
        <v>16</v>
      </c>
      <c r="I168" s="335">
        <v>0</v>
      </c>
      <c r="J168" s="335" t="s">
        <v>823</v>
      </c>
      <c r="K168" s="335" t="s">
        <v>820</v>
      </c>
      <c r="M168" s="335" t="s">
        <v>1162</v>
      </c>
      <c r="N168" s="335" t="s">
        <v>388</v>
      </c>
      <c r="O168" s="335" t="s">
        <v>389</v>
      </c>
      <c r="Q168" s="307" t="e">
        <f ca="1">_xll.BDP(M168&amp;" "&amp;N168&amp;" "&amp;O168,Q$2)</f>
        <v>#NAME?</v>
      </c>
      <c r="R168" s="307" t="e">
        <f ca="1">_xll.BDP(M168&amp;" "&amp;N168&amp;" "&amp;O168,R$2)</f>
        <v>#NAME?</v>
      </c>
      <c r="S168" s="307" t="e">
        <f ca="1">_xll.BDP(M168&amp;" "&amp;N168&amp;" "&amp;O168,S$2)</f>
        <v>#NAME?</v>
      </c>
      <c r="T168" s="307" t="e">
        <f ca="1">_xll.BDP(M168&amp;" "&amp;N168&amp;" "&amp;O168,T$2)</f>
        <v>#NAME?</v>
      </c>
      <c r="V168" s="307" t="s">
        <v>1163</v>
      </c>
      <c r="W168" s="307">
        <v>66.8</v>
      </c>
      <c r="X168" s="307" t="s">
        <v>390</v>
      </c>
      <c r="Y168" s="307" t="s">
        <v>973</v>
      </c>
    </row>
    <row r="169" spans="2:25">
      <c r="B169" s="335" t="s">
        <v>374</v>
      </c>
      <c r="C169" s="335" t="s">
        <v>375</v>
      </c>
      <c r="D169" s="335" t="s">
        <v>821</v>
      </c>
      <c r="E169" s="335" t="s">
        <v>822</v>
      </c>
      <c r="F169" s="335" t="s">
        <v>376</v>
      </c>
      <c r="G169" s="335" t="s">
        <v>17</v>
      </c>
      <c r="H169" s="336" t="s">
        <v>17</v>
      </c>
      <c r="I169" s="335">
        <v>0</v>
      </c>
      <c r="J169" s="335" t="s">
        <v>823</v>
      </c>
      <c r="K169" s="335" t="s">
        <v>820</v>
      </c>
      <c r="M169" s="335" t="s">
        <v>1164</v>
      </c>
      <c r="N169" s="335" t="s">
        <v>388</v>
      </c>
      <c r="O169" s="335" t="s">
        <v>389</v>
      </c>
      <c r="Q169" s="307" t="e">
        <f ca="1">_xll.BDP(M169&amp;" "&amp;N169&amp;" "&amp;O169,Q$2)</f>
        <v>#NAME?</v>
      </c>
      <c r="R169" s="307" t="e">
        <f ca="1">_xll.BDP(M169&amp;" "&amp;N169&amp;" "&amp;O169,R$2)</f>
        <v>#NAME?</v>
      </c>
      <c r="S169" s="307" t="e">
        <f ca="1">_xll.BDP(M169&amp;" "&amp;N169&amp;" "&amp;O169,S$2)</f>
        <v>#NAME?</v>
      </c>
      <c r="T169" s="307" t="e">
        <f ca="1">_xll.BDP(M169&amp;" "&amp;N169&amp;" "&amp;O169,T$2)</f>
        <v>#NAME?</v>
      </c>
      <c r="V169" s="307" t="s">
        <v>1165</v>
      </c>
      <c r="W169" s="307">
        <v>62.8</v>
      </c>
      <c r="X169" s="307" t="s">
        <v>390</v>
      </c>
      <c r="Y169" s="307" t="s">
        <v>859</v>
      </c>
    </row>
    <row r="170" spans="2:25">
      <c r="B170" s="335" t="s">
        <v>374</v>
      </c>
      <c r="C170" s="335" t="s">
        <v>375</v>
      </c>
      <c r="D170" s="335" t="s">
        <v>821</v>
      </c>
      <c r="E170" s="335" t="s">
        <v>822</v>
      </c>
      <c r="F170" s="335" t="s">
        <v>376</v>
      </c>
      <c r="G170" s="335" t="s">
        <v>17</v>
      </c>
      <c r="H170" s="336" t="s">
        <v>104</v>
      </c>
      <c r="I170" s="335">
        <v>0</v>
      </c>
      <c r="J170" s="335" t="s">
        <v>823</v>
      </c>
      <c r="K170" s="335" t="s">
        <v>820</v>
      </c>
      <c r="M170" s="335" t="s">
        <v>1166</v>
      </c>
      <c r="N170" s="335" t="s">
        <v>388</v>
      </c>
      <c r="O170" s="335" t="s">
        <v>389</v>
      </c>
      <c r="Q170" s="307" t="e">
        <f ca="1">_xll.BDP(M170&amp;" "&amp;N170&amp;" "&amp;O170,Q$2)</f>
        <v>#NAME?</v>
      </c>
      <c r="R170" s="307" t="e">
        <f ca="1">_xll.BDP(M170&amp;" "&amp;N170&amp;" "&amp;O170,R$2)</f>
        <v>#NAME?</v>
      </c>
      <c r="S170" s="307" t="e">
        <f ca="1">_xll.BDP(M170&amp;" "&amp;N170&amp;" "&amp;O170,S$2)</f>
        <v>#NAME?</v>
      </c>
      <c r="T170" s="307" t="e">
        <f ca="1">_xll.BDP(M170&amp;" "&amp;N170&amp;" "&amp;O170,T$2)</f>
        <v>#NAME?</v>
      </c>
      <c r="V170" s="307" t="s">
        <v>1167</v>
      </c>
      <c r="W170" s="307">
        <v>58.7</v>
      </c>
      <c r="X170" s="307" t="s">
        <v>390</v>
      </c>
      <c r="Y170" s="307" t="s">
        <v>973</v>
      </c>
    </row>
    <row r="171" spans="2:25">
      <c r="B171" s="335" t="s">
        <v>374</v>
      </c>
      <c r="C171" s="335" t="s">
        <v>375</v>
      </c>
      <c r="D171" s="335" t="s">
        <v>821</v>
      </c>
      <c r="E171" s="335" t="s">
        <v>822</v>
      </c>
      <c r="F171" s="335" t="s">
        <v>376</v>
      </c>
      <c r="G171" s="335" t="s">
        <v>104</v>
      </c>
      <c r="H171" s="335" t="s">
        <v>23</v>
      </c>
      <c r="I171" s="335">
        <v>0</v>
      </c>
      <c r="J171" s="335" t="s">
        <v>823</v>
      </c>
      <c r="K171" s="335" t="s">
        <v>820</v>
      </c>
      <c r="M171" s="335" t="s">
        <v>1168</v>
      </c>
      <c r="N171" s="335" t="s">
        <v>388</v>
      </c>
      <c r="O171" s="335" t="s">
        <v>389</v>
      </c>
      <c r="Q171" s="307" t="e">
        <f ca="1">_xll.BDP(M171&amp;" "&amp;N171&amp;" "&amp;O171,Q$2)</f>
        <v>#NAME?</v>
      </c>
      <c r="R171" s="307" t="e">
        <f ca="1">_xll.BDP(M171&amp;" "&amp;N171&amp;" "&amp;O171,R$2)</f>
        <v>#NAME?</v>
      </c>
      <c r="S171" s="307" t="e">
        <f ca="1">_xll.BDP(M171&amp;" "&amp;N171&amp;" "&amp;O171,S$2)</f>
        <v>#NAME?</v>
      </c>
      <c r="T171" s="307" t="e">
        <f ca="1">_xll.BDP(M171&amp;" "&amp;N171&amp;" "&amp;O171,T$2)</f>
        <v>#NAME?</v>
      </c>
      <c r="V171" s="307" t="s">
        <v>1169</v>
      </c>
      <c r="W171" s="307">
        <v>84.8</v>
      </c>
      <c r="X171" s="307" t="s">
        <v>390</v>
      </c>
      <c r="Y171" s="307" t="s">
        <v>1108</v>
      </c>
    </row>
    <row r="172" spans="2:25">
      <c r="B172" s="335" t="s">
        <v>374</v>
      </c>
      <c r="C172" s="335" t="s">
        <v>375</v>
      </c>
      <c r="D172" s="335" t="s">
        <v>821</v>
      </c>
      <c r="E172" s="335" t="s">
        <v>822</v>
      </c>
      <c r="F172" s="335" t="s">
        <v>376</v>
      </c>
      <c r="G172" s="335" t="s">
        <v>104</v>
      </c>
      <c r="H172" s="335" t="s">
        <v>398</v>
      </c>
      <c r="I172" s="335">
        <v>0</v>
      </c>
      <c r="J172" s="335" t="s">
        <v>823</v>
      </c>
      <c r="K172" s="335" t="s">
        <v>820</v>
      </c>
      <c r="M172" s="335" t="s">
        <v>1170</v>
      </c>
      <c r="N172" s="335" t="s">
        <v>388</v>
      </c>
      <c r="O172" s="335" t="s">
        <v>389</v>
      </c>
      <c r="Q172" s="307" t="e">
        <f ca="1">_xll.BDP(M172&amp;" "&amp;N172&amp;" "&amp;O172,Q$2)</f>
        <v>#NAME?</v>
      </c>
      <c r="R172" s="307" t="e">
        <f ca="1">_xll.BDP(M172&amp;" "&amp;N172&amp;" "&amp;O172,R$2)</f>
        <v>#NAME?</v>
      </c>
      <c r="S172" s="307" t="e">
        <f ca="1">_xll.BDP(M172&amp;" "&amp;N172&amp;" "&amp;O172,S$2)</f>
        <v>#NAME?</v>
      </c>
      <c r="T172" s="307" t="e">
        <f ca="1">_xll.BDP(M172&amp;" "&amp;N172&amp;" "&amp;O172,T$2)</f>
        <v>#NAME?</v>
      </c>
      <c r="V172" s="307" t="s">
        <v>1171</v>
      </c>
      <c r="W172" s="307">
        <v>83.8</v>
      </c>
      <c r="X172" s="307" t="s">
        <v>390</v>
      </c>
      <c r="Y172" s="307" t="s">
        <v>927</v>
      </c>
    </row>
    <row r="173" spans="2:25">
      <c r="B173" s="335" t="s">
        <v>374</v>
      </c>
      <c r="C173" s="335" t="s">
        <v>375</v>
      </c>
      <c r="D173" s="335" t="s">
        <v>821</v>
      </c>
      <c r="E173" s="335" t="s">
        <v>822</v>
      </c>
      <c r="F173" s="335" t="s">
        <v>376</v>
      </c>
      <c r="G173" s="335" t="s">
        <v>104</v>
      </c>
      <c r="H173" s="336" t="s">
        <v>26</v>
      </c>
      <c r="I173" s="335">
        <v>0</v>
      </c>
      <c r="J173" s="335" t="s">
        <v>823</v>
      </c>
      <c r="K173" s="335" t="s">
        <v>820</v>
      </c>
      <c r="M173" s="335" t="s">
        <v>1172</v>
      </c>
      <c r="N173" s="335" t="s">
        <v>388</v>
      </c>
      <c r="O173" s="335" t="s">
        <v>389</v>
      </c>
      <c r="Q173" s="307" t="e">
        <f ca="1">_xll.BDP(M173&amp;" "&amp;N173&amp;" "&amp;O173,Q$2)</f>
        <v>#NAME?</v>
      </c>
      <c r="R173" s="307" t="e">
        <f ca="1">_xll.BDP(M173&amp;" "&amp;N173&amp;" "&amp;O173,R$2)</f>
        <v>#NAME?</v>
      </c>
      <c r="S173" s="307" t="e">
        <f ca="1">_xll.BDP(M173&amp;" "&amp;N173&amp;" "&amp;O173,S$2)</f>
        <v>#NAME?</v>
      </c>
      <c r="T173" s="307" t="e">
        <f ca="1">_xll.BDP(M173&amp;" "&amp;N173&amp;" "&amp;O173,T$2)</f>
        <v>#NAME?</v>
      </c>
      <c r="V173" s="307" t="s">
        <v>1173</v>
      </c>
      <c r="W173" s="307">
        <v>82.2</v>
      </c>
      <c r="X173" s="307" t="s">
        <v>390</v>
      </c>
      <c r="Y173" s="307" t="s">
        <v>836</v>
      </c>
    </row>
    <row r="174" spans="2:25">
      <c r="B174" s="335" t="s">
        <v>374</v>
      </c>
      <c r="C174" s="335" t="s">
        <v>375</v>
      </c>
      <c r="D174" s="335" t="s">
        <v>821</v>
      </c>
      <c r="E174" s="335" t="s">
        <v>822</v>
      </c>
      <c r="F174" s="335" t="s">
        <v>376</v>
      </c>
      <c r="G174" s="335" t="s">
        <v>104</v>
      </c>
      <c r="H174" s="336" t="s">
        <v>19</v>
      </c>
      <c r="I174" s="335">
        <v>0</v>
      </c>
      <c r="J174" s="335" t="s">
        <v>823</v>
      </c>
      <c r="K174" s="335" t="s">
        <v>820</v>
      </c>
      <c r="M174" s="335" t="s">
        <v>1174</v>
      </c>
      <c r="N174" s="335" t="s">
        <v>388</v>
      </c>
      <c r="O174" s="335" t="s">
        <v>389</v>
      </c>
      <c r="Q174" s="307" t="e">
        <f ca="1">_xll.BDP(M174&amp;" "&amp;N174&amp;" "&amp;O174,Q$2)</f>
        <v>#NAME?</v>
      </c>
      <c r="R174" s="307" t="e">
        <f ca="1">_xll.BDP(M174&amp;" "&amp;N174&amp;" "&amp;O174,R$2)</f>
        <v>#NAME?</v>
      </c>
      <c r="S174" s="307" t="e">
        <f ca="1">_xll.BDP(M174&amp;" "&amp;N174&amp;" "&amp;O174,S$2)</f>
        <v>#NAME?</v>
      </c>
      <c r="T174" s="307" t="e">
        <f ca="1">_xll.BDP(M174&amp;" "&amp;N174&amp;" "&amp;O174,T$2)</f>
        <v>#NAME?</v>
      </c>
      <c r="V174" s="307" t="s">
        <v>1175</v>
      </c>
      <c r="W174" s="307">
        <v>79.099999999999994</v>
      </c>
      <c r="X174" s="307" t="s">
        <v>390</v>
      </c>
      <c r="Y174" s="307" t="s">
        <v>836</v>
      </c>
    </row>
    <row r="175" spans="2:25">
      <c r="B175" s="335" t="s">
        <v>374</v>
      </c>
      <c r="C175" s="335" t="s">
        <v>375</v>
      </c>
      <c r="D175" s="335" t="s">
        <v>821</v>
      </c>
      <c r="E175" s="335" t="s">
        <v>822</v>
      </c>
      <c r="F175" s="335" t="s">
        <v>376</v>
      </c>
      <c r="G175" s="335" t="s">
        <v>104</v>
      </c>
      <c r="H175" s="336" t="s">
        <v>412</v>
      </c>
      <c r="I175" s="335">
        <v>0</v>
      </c>
      <c r="J175" s="335" t="s">
        <v>823</v>
      </c>
      <c r="K175" s="335" t="s">
        <v>820</v>
      </c>
      <c r="M175" s="335" t="s">
        <v>1176</v>
      </c>
      <c r="N175" s="335" t="s">
        <v>388</v>
      </c>
      <c r="O175" s="335" t="s">
        <v>389</v>
      </c>
      <c r="Q175" s="307" t="e">
        <f ca="1">_xll.BDP(M175&amp;" "&amp;N175&amp;" "&amp;O175,Q$2)</f>
        <v>#NAME?</v>
      </c>
      <c r="R175" s="307" t="e">
        <f ca="1">_xll.BDP(M175&amp;" "&amp;N175&amp;" "&amp;O175,R$2)</f>
        <v>#NAME?</v>
      </c>
      <c r="S175" s="307" t="e">
        <f ca="1">_xll.BDP(M175&amp;" "&amp;N175&amp;" "&amp;O175,S$2)</f>
        <v>#NAME?</v>
      </c>
      <c r="T175" s="307" t="e">
        <f ca="1">_xll.BDP(M175&amp;" "&amp;N175&amp;" "&amp;O175,T$2)</f>
        <v>#NAME?</v>
      </c>
      <c r="V175" s="307" t="s">
        <v>1177</v>
      </c>
      <c r="W175" s="307">
        <v>77.599999999999994</v>
      </c>
      <c r="X175" s="307" t="s">
        <v>390</v>
      </c>
      <c r="Y175" s="307" t="s">
        <v>936</v>
      </c>
    </row>
    <row r="176" spans="2:25">
      <c r="B176" s="335" t="s">
        <v>374</v>
      </c>
      <c r="C176" s="335" t="s">
        <v>375</v>
      </c>
      <c r="D176" s="335" t="s">
        <v>821</v>
      </c>
      <c r="E176" s="335" t="s">
        <v>822</v>
      </c>
      <c r="F176" s="335" t="s">
        <v>376</v>
      </c>
      <c r="G176" s="335" t="s">
        <v>104</v>
      </c>
      <c r="H176" s="336" t="s">
        <v>7</v>
      </c>
      <c r="I176" s="335">
        <v>0</v>
      </c>
      <c r="J176" s="335" t="s">
        <v>823</v>
      </c>
      <c r="K176" s="335" t="s">
        <v>820</v>
      </c>
      <c r="M176" s="335" t="s">
        <v>1178</v>
      </c>
      <c r="N176" s="335" t="s">
        <v>388</v>
      </c>
      <c r="O176" s="335" t="s">
        <v>389</v>
      </c>
      <c r="Q176" s="307" t="e">
        <f ca="1">_xll.BDP(M176&amp;" "&amp;N176&amp;" "&amp;O176,Q$2)</f>
        <v>#NAME?</v>
      </c>
      <c r="R176" s="307" t="e">
        <f ca="1">_xll.BDP(M176&amp;" "&amp;N176&amp;" "&amp;O176,R$2)</f>
        <v>#NAME?</v>
      </c>
      <c r="S176" s="307" t="e">
        <f ca="1">_xll.BDP(M176&amp;" "&amp;N176&amp;" "&amp;O176,S$2)</f>
        <v>#NAME?</v>
      </c>
      <c r="T176" s="307" t="e">
        <f ca="1">_xll.BDP(M176&amp;" "&amp;N176&amp;" "&amp;O176,T$2)</f>
        <v>#NAME?</v>
      </c>
      <c r="V176" s="307" t="s">
        <v>1179</v>
      </c>
      <c r="W176" s="307">
        <v>77.099999999999994</v>
      </c>
      <c r="X176" s="307" t="s">
        <v>390</v>
      </c>
      <c r="Y176" s="307" t="s">
        <v>1149</v>
      </c>
    </row>
    <row r="177" spans="2:25">
      <c r="B177" s="335" t="s">
        <v>374</v>
      </c>
      <c r="C177" s="335" t="s">
        <v>375</v>
      </c>
      <c r="D177" s="335" t="s">
        <v>821</v>
      </c>
      <c r="E177" s="335" t="s">
        <v>822</v>
      </c>
      <c r="F177" s="335" t="s">
        <v>376</v>
      </c>
      <c r="G177" s="335" t="s">
        <v>104</v>
      </c>
      <c r="H177" s="336" t="s">
        <v>154</v>
      </c>
      <c r="I177" s="335">
        <v>0</v>
      </c>
      <c r="J177" s="335" t="s">
        <v>823</v>
      </c>
      <c r="K177" s="335" t="s">
        <v>820</v>
      </c>
      <c r="M177" s="335" t="s">
        <v>1180</v>
      </c>
      <c r="N177" s="335" t="s">
        <v>388</v>
      </c>
      <c r="O177" s="335" t="s">
        <v>389</v>
      </c>
      <c r="Q177" s="307" t="e">
        <f ca="1">_xll.BDP(M177&amp;" "&amp;N177&amp;" "&amp;O177,Q$2)</f>
        <v>#NAME?</v>
      </c>
      <c r="R177" s="307" t="e">
        <f ca="1">_xll.BDP(M177&amp;" "&amp;N177&amp;" "&amp;O177,R$2)</f>
        <v>#NAME?</v>
      </c>
      <c r="S177" s="307" t="e">
        <f ca="1">_xll.BDP(M177&amp;" "&amp;N177&amp;" "&amp;O177,S$2)</f>
        <v>#NAME?</v>
      </c>
      <c r="T177" s="307" t="e">
        <f ca="1">_xll.BDP(M177&amp;" "&amp;N177&amp;" "&amp;O177,T$2)</f>
        <v>#NAME?</v>
      </c>
      <c r="V177" s="307" t="s">
        <v>1181</v>
      </c>
      <c r="W177" s="307">
        <v>76.2</v>
      </c>
      <c r="X177" s="307" t="s">
        <v>390</v>
      </c>
      <c r="Y177" s="307" t="s">
        <v>1149</v>
      </c>
    </row>
    <row r="178" spans="2:25">
      <c r="B178" s="335" t="s">
        <v>374</v>
      </c>
      <c r="C178" s="335" t="s">
        <v>375</v>
      </c>
      <c r="D178" s="335" t="s">
        <v>821</v>
      </c>
      <c r="E178" s="335" t="s">
        <v>822</v>
      </c>
      <c r="F178" s="335" t="s">
        <v>376</v>
      </c>
      <c r="G178" s="335" t="s">
        <v>104</v>
      </c>
      <c r="H178" s="336" t="s">
        <v>8</v>
      </c>
      <c r="I178" s="335">
        <v>0</v>
      </c>
      <c r="J178" s="335" t="s">
        <v>823</v>
      </c>
      <c r="K178" s="335" t="s">
        <v>820</v>
      </c>
      <c r="M178" s="335" t="s">
        <v>1182</v>
      </c>
      <c r="N178" s="335" t="s">
        <v>388</v>
      </c>
      <c r="O178" s="335" t="s">
        <v>389</v>
      </c>
      <c r="Q178" s="307" t="e">
        <f ca="1">_xll.BDP(M178&amp;" "&amp;N178&amp;" "&amp;O178,Q$2)</f>
        <v>#NAME?</v>
      </c>
      <c r="R178" s="307" t="e">
        <f ca="1">_xll.BDP(M178&amp;" "&amp;N178&amp;" "&amp;O178,R$2)</f>
        <v>#NAME?</v>
      </c>
      <c r="S178" s="307" t="e">
        <f ca="1">_xll.BDP(M178&amp;" "&amp;N178&amp;" "&amp;O178,S$2)</f>
        <v>#NAME?</v>
      </c>
      <c r="T178" s="307" t="e">
        <f ca="1">_xll.BDP(M178&amp;" "&amp;N178&amp;" "&amp;O178,T$2)</f>
        <v>#NAME?</v>
      </c>
      <c r="V178" s="307" t="s">
        <v>1183</v>
      </c>
      <c r="W178" s="307">
        <v>75.099999999999994</v>
      </c>
      <c r="X178" s="307" t="s">
        <v>390</v>
      </c>
      <c r="Y178" s="307" t="s">
        <v>836</v>
      </c>
    </row>
    <row r="179" spans="2:25">
      <c r="B179" s="335" t="s">
        <v>374</v>
      </c>
      <c r="C179" s="335" t="s">
        <v>375</v>
      </c>
      <c r="D179" s="335" t="s">
        <v>821</v>
      </c>
      <c r="E179" s="335" t="s">
        <v>822</v>
      </c>
      <c r="F179" s="335" t="s">
        <v>376</v>
      </c>
      <c r="G179" s="335" t="s">
        <v>104</v>
      </c>
      <c r="H179" s="336" t="s">
        <v>9</v>
      </c>
      <c r="I179" s="335">
        <v>0</v>
      </c>
      <c r="J179" s="335" t="s">
        <v>823</v>
      </c>
      <c r="K179" s="335" t="s">
        <v>820</v>
      </c>
      <c r="M179" s="335" t="s">
        <v>1184</v>
      </c>
      <c r="N179" s="335" t="s">
        <v>388</v>
      </c>
      <c r="O179" s="335" t="s">
        <v>389</v>
      </c>
      <c r="Q179" s="307" t="e">
        <f ca="1">_xll.BDP(M179&amp;" "&amp;N179&amp;" "&amp;O179,Q$2)</f>
        <v>#NAME?</v>
      </c>
      <c r="R179" s="307" t="e">
        <f ca="1">_xll.BDP(M179&amp;" "&amp;N179&amp;" "&amp;O179,R$2)</f>
        <v>#NAME?</v>
      </c>
      <c r="S179" s="307" t="e">
        <f ca="1">_xll.BDP(M179&amp;" "&amp;N179&amp;" "&amp;O179,S$2)</f>
        <v>#NAME?</v>
      </c>
      <c r="T179" s="307" t="e">
        <f ca="1">_xll.BDP(M179&amp;" "&amp;N179&amp;" "&amp;O179,T$2)</f>
        <v>#NAME?</v>
      </c>
      <c r="V179" s="307" t="s">
        <v>1185</v>
      </c>
      <c r="W179" s="307">
        <v>73</v>
      </c>
      <c r="X179" s="307" t="s">
        <v>390</v>
      </c>
      <c r="Y179" s="307" t="s">
        <v>847</v>
      </c>
    </row>
    <row r="180" spans="2:25">
      <c r="B180" s="335" t="s">
        <v>374</v>
      </c>
      <c r="C180" s="335" t="s">
        <v>375</v>
      </c>
      <c r="D180" s="335" t="s">
        <v>821</v>
      </c>
      <c r="E180" s="335" t="s">
        <v>822</v>
      </c>
      <c r="F180" s="335" t="s">
        <v>376</v>
      </c>
      <c r="G180" s="335" t="s">
        <v>104</v>
      </c>
      <c r="H180" s="336" t="s">
        <v>10</v>
      </c>
      <c r="I180" s="335">
        <v>0</v>
      </c>
      <c r="J180" s="335" t="s">
        <v>823</v>
      </c>
      <c r="K180" s="335" t="s">
        <v>820</v>
      </c>
      <c r="M180" s="335" t="s">
        <v>1186</v>
      </c>
      <c r="N180" s="335" t="s">
        <v>388</v>
      </c>
      <c r="O180" s="335" t="s">
        <v>389</v>
      </c>
      <c r="Q180" s="307" t="e">
        <f ca="1">_xll.BDP(M180&amp;" "&amp;N180&amp;" "&amp;O180,Q$2)</f>
        <v>#NAME?</v>
      </c>
      <c r="R180" s="307" t="e">
        <f ca="1">_xll.BDP(M180&amp;" "&amp;N180&amp;" "&amp;O180,R$2)</f>
        <v>#NAME?</v>
      </c>
      <c r="S180" s="307" t="e">
        <f ca="1">_xll.BDP(M180&amp;" "&amp;N180&amp;" "&amp;O180,S$2)</f>
        <v>#NAME?</v>
      </c>
      <c r="T180" s="307" t="e">
        <f ca="1">_xll.BDP(M180&amp;" "&amp;N180&amp;" "&amp;O180,T$2)</f>
        <v>#NAME?</v>
      </c>
      <c r="V180" s="307" t="s">
        <v>1187</v>
      </c>
      <c r="W180" s="307">
        <v>70.8</v>
      </c>
      <c r="X180" s="307" t="s">
        <v>390</v>
      </c>
      <c r="Y180" s="307" t="s">
        <v>973</v>
      </c>
    </row>
    <row r="181" spans="2:25">
      <c r="B181" s="335" t="s">
        <v>374</v>
      </c>
      <c r="C181" s="335" t="s">
        <v>375</v>
      </c>
      <c r="D181" s="335" t="s">
        <v>821</v>
      </c>
      <c r="E181" s="335" t="s">
        <v>822</v>
      </c>
      <c r="F181" s="335" t="s">
        <v>376</v>
      </c>
      <c r="G181" s="335" t="s">
        <v>104</v>
      </c>
      <c r="H181" s="336" t="s">
        <v>11</v>
      </c>
      <c r="I181" s="335">
        <v>0</v>
      </c>
      <c r="J181" s="335" t="s">
        <v>823</v>
      </c>
      <c r="K181" s="335" t="s">
        <v>820</v>
      </c>
      <c r="M181" s="335" t="s">
        <v>1188</v>
      </c>
      <c r="N181" s="335" t="s">
        <v>388</v>
      </c>
      <c r="O181" s="335" t="s">
        <v>389</v>
      </c>
      <c r="Q181" s="307" t="e">
        <f ca="1">_xll.BDP(M181&amp;" "&amp;N181&amp;" "&amp;O181,Q$2)</f>
        <v>#NAME?</v>
      </c>
      <c r="R181" s="307" t="e">
        <f ca="1">_xll.BDP(M181&amp;" "&amp;N181&amp;" "&amp;O181,R$2)</f>
        <v>#NAME?</v>
      </c>
      <c r="S181" s="307" t="e">
        <f ca="1">_xll.BDP(M181&amp;" "&amp;N181&amp;" "&amp;O181,S$2)</f>
        <v>#NAME?</v>
      </c>
      <c r="T181" s="307" t="e">
        <f ca="1">_xll.BDP(M181&amp;" "&amp;N181&amp;" "&amp;O181,T$2)</f>
        <v>#NAME?</v>
      </c>
      <c r="V181" s="307" t="s">
        <v>1189</v>
      </c>
      <c r="W181" s="307">
        <v>68.900000000000006</v>
      </c>
      <c r="X181" s="307" t="s">
        <v>390</v>
      </c>
      <c r="Y181" s="307" t="s">
        <v>847</v>
      </c>
    </row>
    <row r="182" spans="2:25">
      <c r="B182" s="335" t="s">
        <v>374</v>
      </c>
      <c r="C182" s="335" t="s">
        <v>375</v>
      </c>
      <c r="D182" s="335" t="s">
        <v>821</v>
      </c>
      <c r="E182" s="335" t="s">
        <v>822</v>
      </c>
      <c r="F182" s="335" t="s">
        <v>376</v>
      </c>
      <c r="G182" s="335" t="s">
        <v>104</v>
      </c>
      <c r="H182" s="336" t="s">
        <v>13</v>
      </c>
      <c r="I182" s="335">
        <v>0</v>
      </c>
      <c r="J182" s="335" t="s">
        <v>823</v>
      </c>
      <c r="K182" s="335" t="s">
        <v>820</v>
      </c>
      <c r="M182" s="335" t="s">
        <v>1190</v>
      </c>
      <c r="N182" s="335" t="s">
        <v>388</v>
      </c>
      <c r="O182" s="335" t="s">
        <v>389</v>
      </c>
      <c r="Q182" s="307" t="e">
        <f ca="1">_xll.BDP(M182&amp;" "&amp;N182&amp;" "&amp;O182,Q$2)</f>
        <v>#NAME?</v>
      </c>
      <c r="R182" s="307" t="e">
        <f ca="1">_xll.BDP(M182&amp;" "&amp;N182&amp;" "&amp;O182,R$2)</f>
        <v>#NAME?</v>
      </c>
      <c r="S182" s="307" t="e">
        <f ca="1">_xll.BDP(M182&amp;" "&amp;N182&amp;" "&amp;O182,S$2)</f>
        <v>#NAME?</v>
      </c>
      <c r="T182" s="307" t="e">
        <f ca="1">_xll.BDP(M182&amp;" "&amp;N182&amp;" "&amp;O182,T$2)</f>
        <v>#NAME?</v>
      </c>
      <c r="V182" s="307" t="s">
        <v>1191</v>
      </c>
      <c r="W182" s="307">
        <v>66.3</v>
      </c>
      <c r="X182" s="307" t="s">
        <v>390</v>
      </c>
      <c r="Y182" s="307" t="s">
        <v>847</v>
      </c>
    </row>
    <row r="183" spans="2:25">
      <c r="B183" s="335" t="s">
        <v>374</v>
      </c>
      <c r="C183" s="335" t="s">
        <v>375</v>
      </c>
      <c r="D183" s="335" t="s">
        <v>821</v>
      </c>
      <c r="E183" s="335" t="s">
        <v>822</v>
      </c>
      <c r="F183" s="335" t="s">
        <v>376</v>
      </c>
      <c r="G183" s="335" t="s">
        <v>104</v>
      </c>
      <c r="H183" s="336" t="s">
        <v>16</v>
      </c>
      <c r="I183" s="335">
        <v>0</v>
      </c>
      <c r="J183" s="335" t="s">
        <v>823</v>
      </c>
      <c r="K183" s="335" t="s">
        <v>820</v>
      </c>
      <c r="M183" s="335" t="s">
        <v>1192</v>
      </c>
      <c r="N183" s="335" t="s">
        <v>388</v>
      </c>
      <c r="O183" s="335" t="s">
        <v>389</v>
      </c>
      <c r="Q183" s="307" t="e">
        <f ca="1">_xll.BDP(M183&amp;" "&amp;N183&amp;" "&amp;O183,Q$2)</f>
        <v>#NAME?</v>
      </c>
      <c r="R183" s="307" t="e">
        <f ca="1">_xll.BDP(M183&amp;" "&amp;N183&amp;" "&amp;O183,R$2)</f>
        <v>#NAME?</v>
      </c>
      <c r="S183" s="307" t="e">
        <f ca="1">_xll.BDP(M183&amp;" "&amp;N183&amp;" "&amp;O183,S$2)</f>
        <v>#NAME?</v>
      </c>
      <c r="T183" s="307" t="e">
        <f ca="1">_xll.BDP(M183&amp;" "&amp;N183&amp;" "&amp;O183,T$2)</f>
        <v>#NAME?</v>
      </c>
      <c r="V183" s="307" t="s">
        <v>1193</v>
      </c>
      <c r="W183" s="307">
        <v>63.8</v>
      </c>
      <c r="X183" s="307" t="s">
        <v>390</v>
      </c>
      <c r="Y183" s="307" t="s">
        <v>973</v>
      </c>
    </row>
    <row r="184" spans="2:25">
      <c r="B184" s="335" t="s">
        <v>374</v>
      </c>
      <c r="C184" s="335" t="s">
        <v>375</v>
      </c>
      <c r="D184" s="335" t="s">
        <v>821</v>
      </c>
      <c r="E184" s="335" t="s">
        <v>822</v>
      </c>
      <c r="F184" s="335" t="s">
        <v>376</v>
      </c>
      <c r="G184" s="335" t="s">
        <v>104</v>
      </c>
      <c r="H184" s="336" t="s">
        <v>17</v>
      </c>
      <c r="I184" s="335">
        <v>0</v>
      </c>
      <c r="J184" s="335" t="s">
        <v>823</v>
      </c>
      <c r="K184" s="335" t="s">
        <v>820</v>
      </c>
      <c r="M184" s="335" t="s">
        <v>1194</v>
      </c>
      <c r="N184" s="335" t="s">
        <v>388</v>
      </c>
      <c r="O184" s="335" t="s">
        <v>389</v>
      </c>
      <c r="Q184" s="307" t="e">
        <f ca="1">_xll.BDP(M184&amp;" "&amp;N184&amp;" "&amp;O184,Q$2)</f>
        <v>#NAME?</v>
      </c>
      <c r="R184" s="307" t="e">
        <f ca="1">_xll.BDP(M184&amp;" "&amp;N184&amp;" "&amp;O184,R$2)</f>
        <v>#NAME?</v>
      </c>
      <c r="S184" s="307" t="e">
        <f ca="1">_xll.BDP(M184&amp;" "&amp;N184&amp;" "&amp;O184,S$2)</f>
        <v>#NAME?</v>
      </c>
      <c r="T184" s="307" t="e">
        <f ca="1">_xll.BDP(M184&amp;" "&amp;N184&amp;" "&amp;O184,T$2)</f>
        <v>#NAME?</v>
      </c>
      <c r="V184" s="307" t="s">
        <v>1195</v>
      </c>
      <c r="W184" s="307">
        <v>59.1</v>
      </c>
      <c r="X184" s="307" t="s">
        <v>390</v>
      </c>
      <c r="Y184" s="307" t="s">
        <v>859</v>
      </c>
    </row>
    <row r="185" spans="2:25">
      <c r="B185" s="335" t="s">
        <v>374</v>
      </c>
      <c r="C185" s="335" t="s">
        <v>375</v>
      </c>
      <c r="D185" s="335" t="s">
        <v>821</v>
      </c>
      <c r="E185" s="335" t="s">
        <v>822</v>
      </c>
      <c r="F185" s="335" t="s">
        <v>376</v>
      </c>
      <c r="G185" s="335" t="s">
        <v>104</v>
      </c>
      <c r="H185" s="336" t="s">
        <v>104</v>
      </c>
      <c r="I185" s="335">
        <v>0</v>
      </c>
      <c r="J185" s="335" t="s">
        <v>823</v>
      </c>
      <c r="K185" s="335" t="s">
        <v>820</v>
      </c>
      <c r="M185" s="335" t="s">
        <v>1196</v>
      </c>
      <c r="N185" s="335" t="s">
        <v>388</v>
      </c>
      <c r="O185" s="335" t="s">
        <v>389</v>
      </c>
      <c r="Q185" s="307" t="e">
        <f ca="1">_xll.BDP(M185&amp;" "&amp;N185&amp;" "&amp;O185,Q$2)</f>
        <v>#NAME?</v>
      </c>
      <c r="R185" s="307" t="e">
        <f ca="1">_xll.BDP(M185&amp;" "&amp;N185&amp;" "&amp;O185,R$2)</f>
        <v>#NAME?</v>
      </c>
      <c r="S185" s="307" t="e">
        <f ca="1">_xll.BDP(M185&amp;" "&amp;N185&amp;" "&amp;O185,S$2)</f>
        <v>#NAME?</v>
      </c>
      <c r="T185" s="307" t="e">
        <f ca="1">_xll.BDP(M185&amp;" "&amp;N185&amp;" "&amp;O185,T$2)</f>
        <v>#NAME?</v>
      </c>
      <c r="V185" s="307" t="s">
        <v>1197</v>
      </c>
      <c r="W185" s="307">
        <v>54.9</v>
      </c>
      <c r="X185" s="307" t="s">
        <v>390</v>
      </c>
      <c r="Y185" s="307" t="s">
        <v>859</v>
      </c>
    </row>
    <row r="186" spans="2:25">
      <c r="B186" s="335" t="s">
        <v>374</v>
      </c>
      <c r="C186" s="335" t="s">
        <v>375</v>
      </c>
      <c r="D186" s="335" t="s">
        <v>821</v>
      </c>
      <c r="E186" s="335" t="s">
        <v>822</v>
      </c>
      <c r="F186" s="335" t="s">
        <v>376</v>
      </c>
      <c r="G186" s="335" t="s">
        <v>105</v>
      </c>
      <c r="H186" s="335" t="s">
        <v>23</v>
      </c>
      <c r="I186" s="335">
        <v>0</v>
      </c>
      <c r="J186" s="335" t="s">
        <v>823</v>
      </c>
      <c r="K186" s="335" t="s">
        <v>820</v>
      </c>
      <c r="M186" s="335" t="s">
        <v>1198</v>
      </c>
      <c r="N186" s="335" t="s">
        <v>388</v>
      </c>
      <c r="O186" s="335" t="s">
        <v>389</v>
      </c>
      <c r="Q186" s="307" t="e">
        <f ca="1">_xll.BDP(M186&amp;" "&amp;N186&amp;" "&amp;O186,Q$2)</f>
        <v>#NAME?</v>
      </c>
      <c r="R186" s="307" t="e">
        <f ca="1">_xll.BDP(M186&amp;" "&amp;N186&amp;" "&amp;O186,R$2)</f>
        <v>#NAME?</v>
      </c>
      <c r="S186" s="307" t="e">
        <f ca="1">_xll.BDP(M186&amp;" "&amp;N186&amp;" "&amp;O186,S$2)</f>
        <v>#NAME?</v>
      </c>
      <c r="T186" s="307" t="e">
        <f ca="1">_xll.BDP(M186&amp;" "&amp;N186&amp;" "&amp;O186,T$2)</f>
        <v>#NAME?</v>
      </c>
      <c r="V186" s="307" t="s">
        <v>1199</v>
      </c>
      <c r="W186" s="307">
        <v>89.1</v>
      </c>
      <c r="X186" s="307" t="s">
        <v>390</v>
      </c>
      <c r="Y186" s="307" t="s">
        <v>1108</v>
      </c>
    </row>
    <row r="187" spans="2:25">
      <c r="B187" s="335" t="s">
        <v>374</v>
      </c>
      <c r="C187" s="335" t="s">
        <v>375</v>
      </c>
      <c r="D187" s="335" t="s">
        <v>821</v>
      </c>
      <c r="E187" s="335" t="s">
        <v>822</v>
      </c>
      <c r="F187" s="335" t="s">
        <v>376</v>
      </c>
      <c r="G187" s="335" t="s">
        <v>105</v>
      </c>
      <c r="H187" s="335" t="s">
        <v>398</v>
      </c>
      <c r="I187" s="335">
        <v>0</v>
      </c>
      <c r="J187" s="335" t="s">
        <v>823</v>
      </c>
      <c r="K187" s="335" t="s">
        <v>820</v>
      </c>
      <c r="M187" s="335" t="s">
        <v>1200</v>
      </c>
      <c r="N187" s="335" t="s">
        <v>388</v>
      </c>
      <c r="O187" s="335" t="s">
        <v>389</v>
      </c>
      <c r="Q187" s="307" t="e">
        <f ca="1">_xll.BDP(M187&amp;" "&amp;N187&amp;" "&amp;O187,Q$2)</f>
        <v>#NAME?</v>
      </c>
      <c r="R187" s="307" t="e">
        <f ca="1">_xll.BDP(M187&amp;" "&amp;N187&amp;" "&amp;O187,R$2)</f>
        <v>#NAME?</v>
      </c>
      <c r="S187" s="307" t="e">
        <f ca="1">_xll.BDP(M187&amp;" "&amp;N187&amp;" "&amp;O187,S$2)</f>
        <v>#NAME?</v>
      </c>
      <c r="T187" s="307" t="e">
        <f ca="1">_xll.BDP(M187&amp;" "&amp;N187&amp;" "&amp;O187,T$2)</f>
        <v>#NAME?</v>
      </c>
      <c r="V187" s="307" t="s">
        <v>1201</v>
      </c>
      <c r="W187" s="307">
        <v>87</v>
      </c>
      <c r="X187" s="307" t="s">
        <v>390</v>
      </c>
      <c r="Y187" s="307" t="s">
        <v>927</v>
      </c>
    </row>
    <row r="188" spans="2:25">
      <c r="B188" s="335" t="s">
        <v>374</v>
      </c>
      <c r="C188" s="335" t="s">
        <v>375</v>
      </c>
      <c r="D188" s="335" t="s">
        <v>821</v>
      </c>
      <c r="E188" s="335" t="s">
        <v>822</v>
      </c>
      <c r="F188" s="335" t="s">
        <v>376</v>
      </c>
      <c r="G188" s="335" t="s">
        <v>105</v>
      </c>
      <c r="H188" s="336" t="s">
        <v>26</v>
      </c>
      <c r="I188" s="335">
        <v>0</v>
      </c>
      <c r="J188" s="335" t="s">
        <v>823</v>
      </c>
      <c r="K188" s="335" t="s">
        <v>820</v>
      </c>
      <c r="M188" s="335" t="s">
        <v>1202</v>
      </c>
      <c r="N188" s="335" t="s">
        <v>388</v>
      </c>
      <c r="O188" s="335" t="s">
        <v>389</v>
      </c>
      <c r="Q188" s="307" t="e">
        <f ca="1">_xll.BDP(M188&amp;" "&amp;N188&amp;" "&amp;O188,Q$2)</f>
        <v>#NAME?</v>
      </c>
      <c r="R188" s="307" t="e">
        <f ca="1">_xll.BDP(M188&amp;" "&amp;N188&amp;" "&amp;O188,R$2)</f>
        <v>#NAME?</v>
      </c>
      <c r="S188" s="307" t="e">
        <f ca="1">_xll.BDP(M188&amp;" "&amp;N188&amp;" "&amp;O188,S$2)</f>
        <v>#NAME?</v>
      </c>
      <c r="T188" s="307" t="e">
        <f ca="1">_xll.BDP(M188&amp;" "&amp;N188&amp;" "&amp;O188,T$2)</f>
        <v>#NAME?</v>
      </c>
      <c r="V188" s="307" t="s">
        <v>1203</v>
      </c>
      <c r="W188" s="307">
        <v>84</v>
      </c>
      <c r="X188" s="307" t="s">
        <v>390</v>
      </c>
      <c r="Y188" s="307" t="s">
        <v>836</v>
      </c>
    </row>
    <row r="189" spans="2:25">
      <c r="B189" s="335" t="s">
        <v>374</v>
      </c>
      <c r="C189" s="335" t="s">
        <v>375</v>
      </c>
      <c r="D189" s="335" t="s">
        <v>821</v>
      </c>
      <c r="E189" s="335" t="s">
        <v>822</v>
      </c>
      <c r="F189" s="335" t="s">
        <v>376</v>
      </c>
      <c r="G189" s="335" t="s">
        <v>105</v>
      </c>
      <c r="H189" s="336" t="s">
        <v>19</v>
      </c>
      <c r="I189" s="335">
        <v>0</v>
      </c>
      <c r="J189" s="335" t="s">
        <v>823</v>
      </c>
      <c r="K189" s="335" t="s">
        <v>820</v>
      </c>
      <c r="M189" s="335" t="s">
        <v>1204</v>
      </c>
      <c r="N189" s="335" t="s">
        <v>388</v>
      </c>
      <c r="O189" s="335" t="s">
        <v>389</v>
      </c>
      <c r="Q189" s="307" t="e">
        <f ca="1">_xll.BDP(M189&amp;" "&amp;N189&amp;" "&amp;O189,Q$2)</f>
        <v>#NAME?</v>
      </c>
      <c r="R189" s="307" t="e">
        <f ca="1">_xll.BDP(M189&amp;" "&amp;N189&amp;" "&amp;O189,R$2)</f>
        <v>#NAME?</v>
      </c>
      <c r="S189" s="307" t="e">
        <f ca="1">_xll.BDP(M189&amp;" "&amp;N189&amp;" "&amp;O189,S$2)</f>
        <v>#NAME?</v>
      </c>
      <c r="T189" s="307" t="e">
        <f ca="1">_xll.BDP(M189&amp;" "&amp;N189&amp;" "&amp;O189,T$2)</f>
        <v>#NAME?</v>
      </c>
      <c r="V189" s="307" t="s">
        <v>1205</v>
      </c>
      <c r="W189" s="307">
        <v>80.5</v>
      </c>
      <c r="X189" s="307" t="s">
        <v>390</v>
      </c>
      <c r="Y189" s="307" t="s">
        <v>836</v>
      </c>
    </row>
    <row r="190" spans="2:25">
      <c r="B190" s="335" t="s">
        <v>374</v>
      </c>
      <c r="C190" s="335" t="s">
        <v>375</v>
      </c>
      <c r="D190" s="335" t="s">
        <v>821</v>
      </c>
      <c r="E190" s="335" t="s">
        <v>822</v>
      </c>
      <c r="F190" s="335" t="s">
        <v>376</v>
      </c>
      <c r="G190" s="335" t="s">
        <v>105</v>
      </c>
      <c r="H190" s="336" t="s">
        <v>412</v>
      </c>
      <c r="I190" s="335">
        <v>0</v>
      </c>
      <c r="J190" s="335" t="s">
        <v>823</v>
      </c>
      <c r="K190" s="335" t="s">
        <v>820</v>
      </c>
      <c r="M190" s="335" t="s">
        <v>1206</v>
      </c>
      <c r="N190" s="335" t="s">
        <v>388</v>
      </c>
      <c r="O190" s="335" t="s">
        <v>389</v>
      </c>
      <c r="Q190" s="307" t="e">
        <f ca="1">_xll.BDP(M190&amp;" "&amp;N190&amp;" "&amp;O190,Q$2)</f>
        <v>#NAME?</v>
      </c>
      <c r="R190" s="307" t="e">
        <f ca="1">_xll.BDP(M190&amp;" "&amp;N190&amp;" "&amp;O190,R$2)</f>
        <v>#NAME?</v>
      </c>
      <c r="S190" s="307" t="e">
        <f ca="1">_xll.BDP(M190&amp;" "&amp;N190&amp;" "&amp;O190,S$2)</f>
        <v>#NAME?</v>
      </c>
      <c r="T190" s="307" t="e">
        <f ca="1">_xll.BDP(M190&amp;" "&amp;N190&amp;" "&amp;O190,T$2)</f>
        <v>#NAME?</v>
      </c>
      <c r="V190" s="307" t="s">
        <v>1207</v>
      </c>
      <c r="W190" s="307">
        <v>78.900000000000006</v>
      </c>
      <c r="X190" s="307" t="s">
        <v>390</v>
      </c>
      <c r="Y190" s="307" t="s">
        <v>936</v>
      </c>
    </row>
    <row r="191" spans="2:25">
      <c r="B191" s="335" t="s">
        <v>374</v>
      </c>
      <c r="C191" s="335" t="s">
        <v>375</v>
      </c>
      <c r="D191" s="335" t="s">
        <v>821</v>
      </c>
      <c r="E191" s="335" t="s">
        <v>822</v>
      </c>
      <c r="F191" s="335" t="s">
        <v>376</v>
      </c>
      <c r="G191" s="335" t="s">
        <v>105</v>
      </c>
      <c r="H191" s="336" t="s">
        <v>7</v>
      </c>
      <c r="I191" s="335">
        <v>0</v>
      </c>
      <c r="J191" s="335" t="s">
        <v>823</v>
      </c>
      <c r="K191" s="335" t="s">
        <v>820</v>
      </c>
      <c r="M191" s="335" t="s">
        <v>1208</v>
      </c>
      <c r="N191" s="335" t="s">
        <v>388</v>
      </c>
      <c r="O191" s="335" t="s">
        <v>389</v>
      </c>
      <c r="Q191" s="307" t="e">
        <f ca="1">_xll.BDP(M191&amp;" "&amp;N191&amp;" "&amp;O191,Q$2)</f>
        <v>#NAME?</v>
      </c>
      <c r="R191" s="307" t="e">
        <f ca="1">_xll.BDP(M191&amp;" "&amp;N191&amp;" "&amp;O191,R$2)</f>
        <v>#NAME?</v>
      </c>
      <c r="S191" s="307" t="e">
        <f ca="1">_xll.BDP(M191&amp;" "&amp;N191&amp;" "&amp;O191,S$2)</f>
        <v>#NAME?</v>
      </c>
      <c r="T191" s="307" t="e">
        <f ca="1">_xll.BDP(M191&amp;" "&amp;N191&amp;" "&amp;O191,T$2)</f>
        <v>#NAME?</v>
      </c>
      <c r="V191" s="307" t="s">
        <v>1209</v>
      </c>
      <c r="W191" s="307">
        <v>77.8</v>
      </c>
      <c r="X191" s="307" t="s">
        <v>390</v>
      </c>
      <c r="Y191" s="307" t="s">
        <v>1149</v>
      </c>
    </row>
    <row r="192" spans="2:25">
      <c r="B192" s="335" t="s">
        <v>374</v>
      </c>
      <c r="C192" s="335" t="s">
        <v>375</v>
      </c>
      <c r="D192" s="335" t="s">
        <v>821</v>
      </c>
      <c r="E192" s="335" t="s">
        <v>822</v>
      </c>
      <c r="F192" s="335" t="s">
        <v>376</v>
      </c>
      <c r="G192" s="335" t="s">
        <v>105</v>
      </c>
      <c r="H192" s="336" t="s">
        <v>154</v>
      </c>
      <c r="I192" s="335">
        <v>0</v>
      </c>
      <c r="J192" s="335" t="s">
        <v>823</v>
      </c>
      <c r="K192" s="335" t="s">
        <v>820</v>
      </c>
      <c r="M192" s="335" t="s">
        <v>1210</v>
      </c>
      <c r="N192" s="335" t="s">
        <v>388</v>
      </c>
      <c r="O192" s="335" t="s">
        <v>389</v>
      </c>
      <c r="Q192" s="307" t="e">
        <f ca="1">_xll.BDP(M192&amp;" "&amp;N192&amp;" "&amp;O192,Q$2)</f>
        <v>#NAME?</v>
      </c>
      <c r="R192" s="307" t="e">
        <f ca="1">_xll.BDP(M192&amp;" "&amp;N192&amp;" "&amp;O192,R$2)</f>
        <v>#NAME?</v>
      </c>
      <c r="S192" s="307" t="e">
        <f ca="1">_xll.BDP(M192&amp;" "&amp;N192&amp;" "&amp;O192,S$2)</f>
        <v>#NAME?</v>
      </c>
      <c r="T192" s="307" t="e">
        <f ca="1">_xll.BDP(M192&amp;" "&amp;N192&amp;" "&amp;O192,T$2)</f>
        <v>#NAME?</v>
      </c>
      <c r="V192" s="307" t="s">
        <v>1211</v>
      </c>
      <c r="W192" s="307">
        <v>76.8</v>
      </c>
      <c r="X192" s="307" t="s">
        <v>390</v>
      </c>
      <c r="Y192" s="307" t="s">
        <v>870</v>
      </c>
    </row>
    <row r="193" spans="2:25">
      <c r="B193" s="335" t="s">
        <v>374</v>
      </c>
      <c r="C193" s="335" t="s">
        <v>375</v>
      </c>
      <c r="D193" s="335" t="s">
        <v>821</v>
      </c>
      <c r="E193" s="335" t="s">
        <v>822</v>
      </c>
      <c r="F193" s="335" t="s">
        <v>376</v>
      </c>
      <c r="G193" s="335" t="s">
        <v>105</v>
      </c>
      <c r="H193" s="336" t="s">
        <v>8</v>
      </c>
      <c r="I193" s="335">
        <v>0</v>
      </c>
      <c r="J193" s="335" t="s">
        <v>823</v>
      </c>
      <c r="K193" s="335" t="s">
        <v>820</v>
      </c>
      <c r="M193" s="335" t="s">
        <v>1212</v>
      </c>
      <c r="N193" s="335" t="s">
        <v>388</v>
      </c>
      <c r="O193" s="335" t="s">
        <v>389</v>
      </c>
      <c r="Q193" s="307" t="e">
        <f ca="1">_xll.BDP(M193&amp;" "&amp;N193&amp;" "&amp;O193,Q$2)</f>
        <v>#NAME?</v>
      </c>
      <c r="R193" s="307" t="e">
        <f ca="1">_xll.BDP(M193&amp;" "&amp;N193&amp;" "&amp;O193,R$2)</f>
        <v>#NAME?</v>
      </c>
      <c r="S193" s="307" t="e">
        <f ca="1">_xll.BDP(M193&amp;" "&amp;N193&amp;" "&amp;O193,S$2)</f>
        <v>#NAME?</v>
      </c>
      <c r="T193" s="307" t="e">
        <f ca="1">_xll.BDP(M193&amp;" "&amp;N193&amp;" "&amp;O193,T$2)</f>
        <v>#NAME?</v>
      </c>
      <c r="V193" s="307" t="s">
        <v>1213</v>
      </c>
      <c r="W193" s="307">
        <v>75.599999999999994</v>
      </c>
      <c r="X193" s="307" t="s">
        <v>390</v>
      </c>
      <c r="Y193" s="307" t="s">
        <v>826</v>
      </c>
    </row>
    <row r="194" spans="2:25">
      <c r="B194" s="335" t="s">
        <v>374</v>
      </c>
      <c r="C194" s="335" t="s">
        <v>375</v>
      </c>
      <c r="D194" s="335" t="s">
        <v>821</v>
      </c>
      <c r="E194" s="335" t="s">
        <v>822</v>
      </c>
      <c r="F194" s="335" t="s">
        <v>376</v>
      </c>
      <c r="G194" s="335" t="s">
        <v>105</v>
      </c>
      <c r="H194" s="336" t="s">
        <v>9</v>
      </c>
      <c r="I194" s="335">
        <v>0</v>
      </c>
      <c r="J194" s="335" t="s">
        <v>823</v>
      </c>
      <c r="K194" s="335" t="s">
        <v>820</v>
      </c>
      <c r="M194" s="335" t="s">
        <v>1214</v>
      </c>
      <c r="N194" s="335" t="s">
        <v>388</v>
      </c>
      <c r="O194" s="335" t="s">
        <v>389</v>
      </c>
      <c r="Q194" s="307" t="e">
        <f ca="1">_xll.BDP(M194&amp;" "&amp;N194&amp;" "&amp;O194,Q$2)</f>
        <v>#NAME?</v>
      </c>
      <c r="R194" s="307" t="e">
        <f ca="1">_xll.BDP(M194&amp;" "&amp;N194&amp;" "&amp;O194,R$2)</f>
        <v>#NAME?</v>
      </c>
      <c r="S194" s="307" t="e">
        <f ca="1">_xll.BDP(M194&amp;" "&amp;N194&amp;" "&amp;O194,S$2)</f>
        <v>#NAME?</v>
      </c>
      <c r="T194" s="307" t="e">
        <f ca="1">_xll.BDP(M194&amp;" "&amp;N194&amp;" "&amp;O194,T$2)</f>
        <v>#NAME?</v>
      </c>
      <c r="V194" s="307" t="s">
        <v>1215</v>
      </c>
      <c r="W194" s="307">
        <v>73.099999999999994</v>
      </c>
      <c r="X194" s="307" t="s">
        <v>390</v>
      </c>
      <c r="Y194" s="307" t="s">
        <v>836</v>
      </c>
    </row>
    <row r="195" spans="2:25">
      <c r="B195" s="335" t="s">
        <v>374</v>
      </c>
      <c r="C195" s="335" t="s">
        <v>375</v>
      </c>
      <c r="D195" s="335" t="s">
        <v>821</v>
      </c>
      <c r="E195" s="335" t="s">
        <v>822</v>
      </c>
      <c r="F195" s="335" t="s">
        <v>376</v>
      </c>
      <c r="G195" s="335" t="s">
        <v>105</v>
      </c>
      <c r="H195" s="336" t="s">
        <v>10</v>
      </c>
      <c r="I195" s="335">
        <v>0</v>
      </c>
      <c r="J195" s="335" t="s">
        <v>823</v>
      </c>
      <c r="K195" s="335" t="s">
        <v>820</v>
      </c>
      <c r="M195" s="335" t="s">
        <v>1216</v>
      </c>
      <c r="N195" s="335" t="s">
        <v>388</v>
      </c>
      <c r="O195" s="335" t="s">
        <v>389</v>
      </c>
      <c r="Q195" s="307" t="e">
        <f ca="1">_xll.BDP(M195&amp;" "&amp;N195&amp;" "&amp;O195,Q$2)</f>
        <v>#NAME?</v>
      </c>
      <c r="R195" s="307" t="e">
        <f ca="1">_xll.BDP(M195&amp;" "&amp;N195&amp;" "&amp;O195,R$2)</f>
        <v>#NAME?</v>
      </c>
      <c r="S195" s="307" t="e">
        <f ca="1">_xll.BDP(M195&amp;" "&amp;N195&amp;" "&amp;O195,S$2)</f>
        <v>#NAME?</v>
      </c>
      <c r="T195" s="307" t="e">
        <f ca="1">_xll.BDP(M195&amp;" "&amp;N195&amp;" "&amp;O195,T$2)</f>
        <v>#NAME?</v>
      </c>
      <c r="V195" s="307" t="s">
        <v>1217</v>
      </c>
      <c r="W195" s="307">
        <v>70.099999999999994</v>
      </c>
      <c r="X195" s="307" t="s">
        <v>390</v>
      </c>
      <c r="Y195" s="307" t="s">
        <v>973</v>
      </c>
    </row>
    <row r="196" spans="2:25">
      <c r="B196" s="335" t="s">
        <v>374</v>
      </c>
      <c r="C196" s="335" t="s">
        <v>375</v>
      </c>
      <c r="D196" s="335" t="s">
        <v>821</v>
      </c>
      <c r="E196" s="335" t="s">
        <v>822</v>
      </c>
      <c r="F196" s="335" t="s">
        <v>376</v>
      </c>
      <c r="G196" s="335" t="s">
        <v>105</v>
      </c>
      <c r="H196" s="336" t="s">
        <v>11</v>
      </c>
      <c r="I196" s="335">
        <v>0</v>
      </c>
      <c r="J196" s="335" t="s">
        <v>823</v>
      </c>
      <c r="K196" s="335" t="s">
        <v>820</v>
      </c>
      <c r="M196" s="335" t="s">
        <v>1218</v>
      </c>
      <c r="N196" s="335" t="s">
        <v>388</v>
      </c>
      <c r="O196" s="335" t="s">
        <v>389</v>
      </c>
      <c r="Q196" s="307" t="e">
        <f ca="1">_xll.BDP(M196&amp;" "&amp;N196&amp;" "&amp;O196,Q$2)</f>
        <v>#NAME?</v>
      </c>
      <c r="R196" s="307" t="e">
        <f ca="1">_xll.BDP(M196&amp;" "&amp;N196&amp;" "&amp;O196,R$2)</f>
        <v>#NAME?</v>
      </c>
      <c r="S196" s="307" t="e">
        <f ca="1">_xll.BDP(M196&amp;" "&amp;N196&amp;" "&amp;O196,S$2)</f>
        <v>#NAME?</v>
      </c>
      <c r="T196" s="307" t="e">
        <f ca="1">_xll.BDP(M196&amp;" "&amp;N196&amp;" "&amp;O196,T$2)</f>
        <v>#NAME?</v>
      </c>
      <c r="V196" s="307" t="s">
        <v>1219</v>
      </c>
      <c r="W196" s="307">
        <v>68.099999999999994</v>
      </c>
      <c r="X196" s="307" t="s">
        <v>390</v>
      </c>
      <c r="Y196" s="307" t="s">
        <v>847</v>
      </c>
    </row>
    <row r="197" spans="2:25">
      <c r="B197" s="335" t="s">
        <v>374</v>
      </c>
      <c r="C197" s="335" t="s">
        <v>375</v>
      </c>
      <c r="D197" s="335" t="s">
        <v>821</v>
      </c>
      <c r="E197" s="335" t="s">
        <v>822</v>
      </c>
      <c r="F197" s="335" t="s">
        <v>376</v>
      </c>
      <c r="G197" s="335" t="s">
        <v>105</v>
      </c>
      <c r="H197" s="336" t="s">
        <v>13</v>
      </c>
      <c r="I197" s="335">
        <v>0</v>
      </c>
      <c r="J197" s="335" t="s">
        <v>823</v>
      </c>
      <c r="K197" s="335" t="s">
        <v>820</v>
      </c>
      <c r="M197" s="335" t="s">
        <v>1220</v>
      </c>
      <c r="N197" s="335" t="s">
        <v>388</v>
      </c>
      <c r="O197" s="335" t="s">
        <v>389</v>
      </c>
      <c r="Q197" s="307" t="e">
        <f ca="1">_xll.BDP(M197&amp;" "&amp;N197&amp;" "&amp;O197,Q$2)</f>
        <v>#NAME?</v>
      </c>
      <c r="R197" s="307" t="e">
        <f ca="1">_xll.BDP(M197&amp;" "&amp;N197&amp;" "&amp;O197,R$2)</f>
        <v>#NAME?</v>
      </c>
      <c r="S197" s="307" t="e">
        <f ca="1">_xll.BDP(M197&amp;" "&amp;N197&amp;" "&amp;O197,S$2)</f>
        <v>#NAME?</v>
      </c>
      <c r="T197" s="307" t="e">
        <f ca="1">_xll.BDP(M197&amp;" "&amp;N197&amp;" "&amp;O197,T$2)</f>
        <v>#NAME?</v>
      </c>
      <c r="V197" s="307" t="s">
        <v>1221</v>
      </c>
      <c r="W197" s="307">
        <v>64.900000000000006</v>
      </c>
      <c r="X197" s="307" t="s">
        <v>390</v>
      </c>
      <c r="Y197" s="307" t="s">
        <v>847</v>
      </c>
    </row>
    <row r="198" spans="2:25">
      <c r="B198" s="335" t="s">
        <v>374</v>
      </c>
      <c r="C198" s="335" t="s">
        <v>375</v>
      </c>
      <c r="D198" s="335" t="s">
        <v>821</v>
      </c>
      <c r="E198" s="335" t="s">
        <v>822</v>
      </c>
      <c r="F198" s="335" t="s">
        <v>376</v>
      </c>
      <c r="G198" s="335" t="s">
        <v>105</v>
      </c>
      <c r="H198" s="336" t="s">
        <v>16</v>
      </c>
      <c r="I198" s="335">
        <v>0</v>
      </c>
      <c r="J198" s="335" t="s">
        <v>823</v>
      </c>
      <c r="K198" s="335" t="s">
        <v>820</v>
      </c>
      <c r="M198" s="335" t="s">
        <v>1222</v>
      </c>
      <c r="N198" s="335" t="s">
        <v>388</v>
      </c>
      <c r="O198" s="335" t="s">
        <v>389</v>
      </c>
      <c r="Q198" s="307" t="e">
        <f ca="1">_xll.BDP(M198&amp;" "&amp;N198&amp;" "&amp;O198,Q$2)</f>
        <v>#NAME?</v>
      </c>
      <c r="R198" s="307" t="e">
        <f ca="1">_xll.BDP(M198&amp;" "&amp;N198&amp;" "&amp;O198,R$2)</f>
        <v>#NAME?</v>
      </c>
      <c r="S198" s="307" t="e">
        <f ca="1">_xll.BDP(M198&amp;" "&amp;N198&amp;" "&amp;O198,S$2)</f>
        <v>#NAME?</v>
      </c>
      <c r="T198" s="307" t="e">
        <f ca="1">_xll.BDP(M198&amp;" "&amp;N198&amp;" "&amp;O198,T$2)</f>
        <v>#NAME?</v>
      </c>
      <c r="V198" s="307" t="s">
        <v>1223</v>
      </c>
      <c r="W198" s="307">
        <v>62.3</v>
      </c>
      <c r="X198" s="307" t="s">
        <v>390</v>
      </c>
      <c r="Y198" s="307" t="s">
        <v>973</v>
      </c>
    </row>
    <row r="199" spans="2:25">
      <c r="B199" s="335" t="s">
        <v>374</v>
      </c>
      <c r="C199" s="335" t="s">
        <v>375</v>
      </c>
      <c r="D199" s="335" t="s">
        <v>821</v>
      </c>
      <c r="E199" s="335" t="s">
        <v>822</v>
      </c>
      <c r="F199" s="335" t="s">
        <v>376</v>
      </c>
      <c r="G199" s="335" t="s">
        <v>105</v>
      </c>
      <c r="H199" s="336" t="s">
        <v>17</v>
      </c>
      <c r="I199" s="335">
        <v>0</v>
      </c>
      <c r="J199" s="335" t="s">
        <v>823</v>
      </c>
      <c r="K199" s="335" t="s">
        <v>820</v>
      </c>
      <c r="M199" s="335" t="s">
        <v>1224</v>
      </c>
      <c r="N199" s="335" t="s">
        <v>388</v>
      </c>
      <c r="O199" s="335" t="s">
        <v>389</v>
      </c>
      <c r="Q199" s="307" t="e">
        <f ca="1">_xll.BDP(M199&amp;" "&amp;N199&amp;" "&amp;O199,Q$2)</f>
        <v>#NAME?</v>
      </c>
      <c r="R199" s="307" t="e">
        <f ca="1">_xll.BDP(M199&amp;" "&amp;N199&amp;" "&amp;O199,R$2)</f>
        <v>#NAME?</v>
      </c>
      <c r="S199" s="307" t="e">
        <f ca="1">_xll.BDP(M199&amp;" "&amp;N199&amp;" "&amp;O199,S$2)</f>
        <v>#NAME?</v>
      </c>
      <c r="T199" s="307" t="e">
        <f ca="1">_xll.BDP(M199&amp;" "&amp;N199&amp;" "&amp;O199,T$2)</f>
        <v>#NAME?</v>
      </c>
      <c r="V199" s="307" t="s">
        <v>1225</v>
      </c>
      <c r="W199" s="307">
        <v>57.7</v>
      </c>
      <c r="X199" s="307" t="s">
        <v>390</v>
      </c>
      <c r="Y199" s="307" t="s">
        <v>859</v>
      </c>
    </row>
    <row r="200" spans="2:25">
      <c r="B200" s="335" t="s">
        <v>374</v>
      </c>
      <c r="C200" s="335" t="s">
        <v>375</v>
      </c>
      <c r="D200" s="335" t="s">
        <v>821</v>
      </c>
      <c r="E200" s="335" t="s">
        <v>822</v>
      </c>
      <c r="F200" s="335" t="s">
        <v>376</v>
      </c>
      <c r="G200" s="335" t="s">
        <v>105</v>
      </c>
      <c r="H200" s="336" t="s">
        <v>104</v>
      </c>
      <c r="I200" s="335">
        <v>0</v>
      </c>
      <c r="J200" s="335" t="s">
        <v>823</v>
      </c>
      <c r="K200" s="335" t="s">
        <v>820</v>
      </c>
      <c r="M200" s="335" t="s">
        <v>1226</v>
      </c>
      <c r="N200" s="335" t="s">
        <v>388</v>
      </c>
      <c r="O200" s="335" t="s">
        <v>389</v>
      </c>
      <c r="Q200" s="307" t="e">
        <f ca="1">_xll.BDP(M200&amp;" "&amp;N200&amp;" "&amp;O200,Q$2)</f>
        <v>#NAME?</v>
      </c>
      <c r="R200" s="307" t="e">
        <f ca="1">_xll.BDP(M200&amp;" "&amp;N200&amp;" "&amp;O200,R$2)</f>
        <v>#NAME?</v>
      </c>
      <c r="S200" s="307" t="e">
        <f ca="1">_xll.BDP(M200&amp;" "&amp;N200&amp;" "&amp;O200,S$2)</f>
        <v>#NAME?</v>
      </c>
      <c r="T200" s="307" t="e">
        <f ca="1">_xll.BDP(M200&amp;" "&amp;N200&amp;" "&amp;O200,T$2)</f>
        <v>#NAME?</v>
      </c>
      <c r="V200" s="307" t="s">
        <v>1227</v>
      </c>
      <c r="W200" s="307">
        <v>53.4</v>
      </c>
      <c r="X200" s="307" t="s">
        <v>390</v>
      </c>
      <c r="Y200" s="307" t="s">
        <v>973</v>
      </c>
    </row>
    <row r="201" spans="2:25">
      <c r="B201" s="335" t="s">
        <v>374</v>
      </c>
      <c r="C201" s="335" t="s">
        <v>375</v>
      </c>
      <c r="D201" s="335" t="s">
        <v>821</v>
      </c>
      <c r="E201" s="335" t="s">
        <v>822</v>
      </c>
      <c r="F201" s="335" t="s">
        <v>376</v>
      </c>
      <c r="G201" s="335" t="s">
        <v>106</v>
      </c>
      <c r="H201" s="335" t="s">
        <v>23</v>
      </c>
      <c r="I201" s="335">
        <v>0</v>
      </c>
      <c r="J201" s="335" t="s">
        <v>823</v>
      </c>
      <c r="K201" s="335" t="s">
        <v>820</v>
      </c>
      <c r="M201" s="335" t="s">
        <v>1228</v>
      </c>
      <c r="N201" s="335" t="s">
        <v>388</v>
      </c>
      <c r="O201" s="335" t="s">
        <v>389</v>
      </c>
      <c r="Q201" s="307" t="e">
        <f ca="1">_xll.BDP(M201&amp;" "&amp;N201&amp;" "&amp;O201,Q$2)</f>
        <v>#NAME?</v>
      </c>
      <c r="R201" s="307" t="e">
        <f ca="1">_xll.BDP(M201&amp;" "&amp;N201&amp;" "&amp;O201,R$2)</f>
        <v>#NAME?</v>
      </c>
      <c r="S201" s="307" t="e">
        <f ca="1">_xll.BDP(M201&amp;" "&amp;N201&amp;" "&amp;O201,S$2)</f>
        <v>#NAME?</v>
      </c>
      <c r="T201" s="307" t="e">
        <f ca="1">_xll.BDP(M201&amp;" "&amp;N201&amp;" "&amp;O201,T$2)</f>
        <v>#NAME?</v>
      </c>
      <c r="V201" s="307" t="s">
        <v>1229</v>
      </c>
      <c r="W201" s="307">
        <v>90.8</v>
      </c>
      <c r="X201" s="307" t="s">
        <v>390</v>
      </c>
      <c r="Y201" s="307" t="s">
        <v>1108</v>
      </c>
    </row>
    <row r="202" spans="2:25">
      <c r="B202" s="335" t="s">
        <v>374</v>
      </c>
      <c r="C202" s="335" t="s">
        <v>375</v>
      </c>
      <c r="D202" s="335" t="s">
        <v>821</v>
      </c>
      <c r="E202" s="335" t="s">
        <v>822</v>
      </c>
      <c r="F202" s="335" t="s">
        <v>376</v>
      </c>
      <c r="G202" s="335" t="s">
        <v>106</v>
      </c>
      <c r="H202" s="335" t="s">
        <v>398</v>
      </c>
      <c r="I202" s="335">
        <v>0</v>
      </c>
      <c r="J202" s="335" t="s">
        <v>823</v>
      </c>
      <c r="K202" s="335" t="s">
        <v>820</v>
      </c>
      <c r="M202" s="335" t="s">
        <v>1230</v>
      </c>
      <c r="N202" s="335" t="s">
        <v>388</v>
      </c>
      <c r="O202" s="335" t="s">
        <v>389</v>
      </c>
      <c r="Q202" s="307" t="e">
        <f ca="1">_xll.BDP(M202&amp;" "&amp;N202&amp;" "&amp;O202,Q$2)</f>
        <v>#NAME?</v>
      </c>
      <c r="R202" s="307" t="e">
        <f ca="1">_xll.BDP(M202&amp;" "&amp;N202&amp;" "&amp;O202,R$2)</f>
        <v>#NAME?</v>
      </c>
      <c r="S202" s="307" t="e">
        <f ca="1">_xll.BDP(M202&amp;" "&amp;N202&amp;" "&amp;O202,S$2)</f>
        <v>#NAME?</v>
      </c>
      <c r="T202" s="307" t="e">
        <f ca="1">_xll.BDP(M202&amp;" "&amp;N202&amp;" "&amp;O202,T$2)</f>
        <v>#NAME?</v>
      </c>
      <c r="V202" s="307" t="s">
        <v>1231</v>
      </c>
      <c r="W202" s="307">
        <v>88.2</v>
      </c>
      <c r="X202" s="307" t="s">
        <v>390</v>
      </c>
      <c r="Y202" s="307" t="s">
        <v>927</v>
      </c>
    </row>
    <row r="203" spans="2:25">
      <c r="B203" s="335" t="s">
        <v>374</v>
      </c>
      <c r="C203" s="335" t="s">
        <v>375</v>
      </c>
      <c r="D203" s="335" t="s">
        <v>821</v>
      </c>
      <c r="E203" s="335" t="s">
        <v>822</v>
      </c>
      <c r="F203" s="335" t="s">
        <v>376</v>
      </c>
      <c r="G203" s="335" t="s">
        <v>106</v>
      </c>
      <c r="H203" s="336" t="s">
        <v>26</v>
      </c>
      <c r="I203" s="335">
        <v>0</v>
      </c>
      <c r="J203" s="335" t="s">
        <v>823</v>
      </c>
      <c r="K203" s="335" t="s">
        <v>820</v>
      </c>
      <c r="M203" s="335" t="s">
        <v>1232</v>
      </c>
      <c r="N203" s="335" t="s">
        <v>388</v>
      </c>
      <c r="O203" s="335" t="s">
        <v>389</v>
      </c>
      <c r="Q203" s="307" t="e">
        <f ca="1">_xll.BDP(M203&amp;" "&amp;N203&amp;" "&amp;O203,Q$2)</f>
        <v>#NAME?</v>
      </c>
      <c r="R203" s="307" t="e">
        <f ca="1">_xll.BDP(M203&amp;" "&amp;N203&amp;" "&amp;O203,R$2)</f>
        <v>#NAME?</v>
      </c>
      <c r="S203" s="307" t="e">
        <f ca="1">_xll.BDP(M203&amp;" "&amp;N203&amp;" "&amp;O203,S$2)</f>
        <v>#NAME?</v>
      </c>
      <c r="T203" s="307" t="e">
        <f ca="1">_xll.BDP(M203&amp;" "&amp;N203&amp;" "&amp;O203,T$2)</f>
        <v>#NAME?</v>
      </c>
      <c r="V203" s="307" t="s">
        <v>1233</v>
      </c>
      <c r="W203" s="307">
        <v>84.7</v>
      </c>
      <c r="X203" s="307" t="s">
        <v>390</v>
      </c>
      <c r="Y203" s="307" t="s">
        <v>836</v>
      </c>
    </row>
    <row r="204" spans="2:25">
      <c r="B204" s="335" t="s">
        <v>374</v>
      </c>
      <c r="C204" s="335" t="s">
        <v>375</v>
      </c>
      <c r="D204" s="335" t="s">
        <v>821</v>
      </c>
      <c r="E204" s="335" t="s">
        <v>822</v>
      </c>
      <c r="F204" s="335" t="s">
        <v>376</v>
      </c>
      <c r="G204" s="335" t="s">
        <v>106</v>
      </c>
      <c r="H204" s="336" t="s">
        <v>19</v>
      </c>
      <c r="I204" s="335">
        <v>0</v>
      </c>
      <c r="J204" s="335" t="s">
        <v>823</v>
      </c>
      <c r="K204" s="335" t="s">
        <v>820</v>
      </c>
      <c r="M204" s="335" t="s">
        <v>1234</v>
      </c>
      <c r="N204" s="335" t="s">
        <v>388</v>
      </c>
      <c r="O204" s="335" t="s">
        <v>389</v>
      </c>
      <c r="Q204" s="307" t="e">
        <f ca="1">_xll.BDP(M204&amp;" "&amp;N204&amp;" "&amp;O204,Q$2)</f>
        <v>#NAME?</v>
      </c>
      <c r="R204" s="307" t="e">
        <f ca="1">_xll.BDP(M204&amp;" "&amp;N204&amp;" "&amp;O204,R$2)</f>
        <v>#NAME?</v>
      </c>
      <c r="S204" s="307" t="e">
        <f ca="1">_xll.BDP(M204&amp;" "&amp;N204&amp;" "&amp;O204,S$2)</f>
        <v>#NAME?</v>
      </c>
      <c r="T204" s="307" t="e">
        <f ca="1">_xll.BDP(M204&amp;" "&amp;N204&amp;" "&amp;O204,T$2)</f>
        <v>#NAME?</v>
      </c>
      <c r="V204" s="307" t="s">
        <v>1235</v>
      </c>
      <c r="W204" s="307">
        <v>80.900000000000006</v>
      </c>
      <c r="X204" s="307" t="s">
        <v>390</v>
      </c>
      <c r="Y204" s="307" t="s">
        <v>836</v>
      </c>
    </row>
    <row r="205" spans="2:25">
      <c r="B205" s="335" t="s">
        <v>374</v>
      </c>
      <c r="C205" s="335" t="s">
        <v>375</v>
      </c>
      <c r="D205" s="335" t="s">
        <v>821</v>
      </c>
      <c r="E205" s="335" t="s">
        <v>822</v>
      </c>
      <c r="F205" s="335" t="s">
        <v>376</v>
      </c>
      <c r="G205" s="335" t="s">
        <v>106</v>
      </c>
      <c r="H205" s="336" t="s">
        <v>412</v>
      </c>
      <c r="I205" s="335">
        <v>0</v>
      </c>
      <c r="J205" s="335" t="s">
        <v>823</v>
      </c>
      <c r="K205" s="335" t="s">
        <v>820</v>
      </c>
      <c r="M205" s="335" t="s">
        <v>1236</v>
      </c>
      <c r="N205" s="335" t="s">
        <v>388</v>
      </c>
      <c r="O205" s="335" t="s">
        <v>389</v>
      </c>
      <c r="Q205" s="307" t="e">
        <f ca="1">_xll.BDP(M205&amp;" "&amp;N205&amp;" "&amp;O205,Q$2)</f>
        <v>#NAME?</v>
      </c>
      <c r="R205" s="307" t="e">
        <f ca="1">_xll.BDP(M205&amp;" "&amp;N205&amp;" "&amp;O205,R$2)</f>
        <v>#NAME?</v>
      </c>
      <c r="S205" s="307" t="e">
        <f ca="1">_xll.BDP(M205&amp;" "&amp;N205&amp;" "&amp;O205,S$2)</f>
        <v>#NAME?</v>
      </c>
      <c r="T205" s="307" t="e">
        <f ca="1">_xll.BDP(M205&amp;" "&amp;N205&amp;" "&amp;O205,T$2)</f>
        <v>#NAME?</v>
      </c>
      <c r="V205" s="307" t="s">
        <v>1237</v>
      </c>
      <c r="W205" s="307">
        <v>79.3</v>
      </c>
      <c r="X205" s="307" t="s">
        <v>390</v>
      </c>
      <c r="Y205" s="307" t="s">
        <v>936</v>
      </c>
    </row>
    <row r="206" spans="2:25">
      <c r="B206" s="335" t="s">
        <v>374</v>
      </c>
      <c r="C206" s="335" t="s">
        <v>375</v>
      </c>
      <c r="D206" s="335" t="s">
        <v>821</v>
      </c>
      <c r="E206" s="335" t="s">
        <v>822</v>
      </c>
      <c r="F206" s="335" t="s">
        <v>376</v>
      </c>
      <c r="G206" s="335" t="s">
        <v>106</v>
      </c>
      <c r="H206" s="336" t="s">
        <v>7</v>
      </c>
      <c r="I206" s="335">
        <v>0</v>
      </c>
      <c r="J206" s="335" t="s">
        <v>823</v>
      </c>
      <c r="K206" s="335" t="s">
        <v>820</v>
      </c>
      <c r="M206" s="335" t="s">
        <v>1238</v>
      </c>
      <c r="N206" s="335" t="s">
        <v>388</v>
      </c>
      <c r="O206" s="335" t="s">
        <v>389</v>
      </c>
      <c r="Q206" s="307" t="e">
        <f ca="1">_xll.BDP(M206&amp;" "&amp;N206&amp;" "&amp;O206,Q$2)</f>
        <v>#NAME?</v>
      </c>
      <c r="R206" s="307" t="e">
        <f ca="1">_xll.BDP(M206&amp;" "&amp;N206&amp;" "&amp;O206,R$2)</f>
        <v>#NAME?</v>
      </c>
      <c r="S206" s="307" t="e">
        <f ca="1">_xll.BDP(M206&amp;" "&amp;N206&amp;" "&amp;O206,S$2)</f>
        <v>#NAME?</v>
      </c>
      <c r="T206" s="307" t="e">
        <f ca="1">_xll.BDP(M206&amp;" "&amp;N206&amp;" "&amp;O206,T$2)</f>
        <v>#NAME?</v>
      </c>
      <c r="V206" s="307" t="s">
        <v>1239</v>
      </c>
      <c r="W206" s="307">
        <v>78.099999999999994</v>
      </c>
      <c r="X206" s="307" t="s">
        <v>390</v>
      </c>
      <c r="Y206" s="307" t="s">
        <v>936</v>
      </c>
    </row>
    <row r="207" spans="2:25">
      <c r="B207" s="335" t="s">
        <v>374</v>
      </c>
      <c r="C207" s="335" t="s">
        <v>375</v>
      </c>
      <c r="D207" s="335" t="s">
        <v>821</v>
      </c>
      <c r="E207" s="335" t="s">
        <v>822</v>
      </c>
      <c r="F207" s="335" t="s">
        <v>376</v>
      </c>
      <c r="G207" s="335" t="s">
        <v>106</v>
      </c>
      <c r="H207" s="336" t="s">
        <v>154</v>
      </c>
      <c r="I207" s="335">
        <v>0</v>
      </c>
      <c r="J207" s="335" t="s">
        <v>823</v>
      </c>
      <c r="K207" s="335" t="s">
        <v>820</v>
      </c>
      <c r="M207" s="335" t="s">
        <v>1240</v>
      </c>
      <c r="N207" s="335" t="s">
        <v>388</v>
      </c>
      <c r="O207" s="335" t="s">
        <v>389</v>
      </c>
      <c r="Q207" s="307" t="e">
        <f ca="1">_xll.BDP(M207&amp;" "&amp;N207&amp;" "&amp;O207,Q$2)</f>
        <v>#NAME?</v>
      </c>
      <c r="R207" s="307" t="e">
        <f ca="1">_xll.BDP(M207&amp;" "&amp;N207&amp;" "&amp;O207,R$2)</f>
        <v>#NAME?</v>
      </c>
      <c r="S207" s="307" t="e">
        <f ca="1">_xll.BDP(M207&amp;" "&amp;N207&amp;" "&amp;O207,S$2)</f>
        <v>#NAME?</v>
      </c>
      <c r="T207" s="307" t="e">
        <f ca="1">_xll.BDP(M207&amp;" "&amp;N207&amp;" "&amp;O207,T$2)</f>
        <v>#NAME?</v>
      </c>
      <c r="V207" s="307" t="s">
        <v>1241</v>
      </c>
      <c r="W207" s="307">
        <v>76.599999999999994</v>
      </c>
      <c r="X207" s="307" t="s">
        <v>390</v>
      </c>
      <c r="Y207" s="307" t="s">
        <v>870</v>
      </c>
    </row>
    <row r="208" spans="2:25">
      <c r="B208" s="335" t="s">
        <v>374</v>
      </c>
      <c r="C208" s="335" t="s">
        <v>375</v>
      </c>
      <c r="D208" s="335" t="s">
        <v>821</v>
      </c>
      <c r="E208" s="335" t="s">
        <v>822</v>
      </c>
      <c r="F208" s="335" t="s">
        <v>376</v>
      </c>
      <c r="G208" s="335" t="s">
        <v>106</v>
      </c>
      <c r="H208" s="336" t="s">
        <v>8</v>
      </c>
      <c r="I208" s="335">
        <v>0</v>
      </c>
      <c r="J208" s="335" t="s">
        <v>823</v>
      </c>
      <c r="K208" s="335" t="s">
        <v>820</v>
      </c>
      <c r="M208" s="335" t="s">
        <v>1242</v>
      </c>
      <c r="N208" s="335" t="s">
        <v>388</v>
      </c>
      <c r="O208" s="335" t="s">
        <v>389</v>
      </c>
      <c r="Q208" s="307" t="e">
        <f ca="1">_xll.BDP(M208&amp;" "&amp;N208&amp;" "&amp;O208,Q$2)</f>
        <v>#NAME?</v>
      </c>
      <c r="R208" s="307" t="e">
        <f ca="1">_xll.BDP(M208&amp;" "&amp;N208&amp;" "&amp;O208,R$2)</f>
        <v>#NAME?</v>
      </c>
      <c r="S208" s="307" t="e">
        <f ca="1">_xll.BDP(M208&amp;" "&amp;N208&amp;" "&amp;O208,S$2)</f>
        <v>#NAME?</v>
      </c>
      <c r="T208" s="307" t="e">
        <f ca="1">_xll.BDP(M208&amp;" "&amp;N208&amp;" "&amp;O208,T$2)</f>
        <v>#NAME?</v>
      </c>
      <c r="V208" s="307" t="s">
        <v>1243</v>
      </c>
      <c r="W208" s="307">
        <v>75.7</v>
      </c>
      <c r="X208" s="307" t="s">
        <v>390</v>
      </c>
      <c r="Y208" s="307" t="s">
        <v>847</v>
      </c>
    </row>
    <row r="209" spans="2:25">
      <c r="B209" s="335" t="s">
        <v>374</v>
      </c>
      <c r="C209" s="335" t="s">
        <v>375</v>
      </c>
      <c r="D209" s="335" t="s">
        <v>821</v>
      </c>
      <c r="E209" s="335" t="s">
        <v>822</v>
      </c>
      <c r="F209" s="335" t="s">
        <v>376</v>
      </c>
      <c r="G209" s="335" t="s">
        <v>106</v>
      </c>
      <c r="H209" s="336" t="s">
        <v>9</v>
      </c>
      <c r="I209" s="335">
        <v>0</v>
      </c>
      <c r="J209" s="335" t="s">
        <v>823</v>
      </c>
      <c r="K209" s="335" t="s">
        <v>820</v>
      </c>
      <c r="M209" s="335" t="s">
        <v>1244</v>
      </c>
      <c r="N209" s="335" t="s">
        <v>388</v>
      </c>
      <c r="O209" s="335" t="s">
        <v>389</v>
      </c>
      <c r="Q209" s="307" t="e">
        <f ca="1">_xll.BDP(M209&amp;" "&amp;N209&amp;" "&amp;O209,Q$2)</f>
        <v>#NAME?</v>
      </c>
      <c r="R209" s="307" t="e">
        <f ca="1">_xll.BDP(M209&amp;" "&amp;N209&amp;" "&amp;O209,R$2)</f>
        <v>#NAME?</v>
      </c>
      <c r="S209" s="307" t="e">
        <f ca="1">_xll.BDP(M209&amp;" "&amp;N209&amp;" "&amp;O209,S$2)</f>
        <v>#NAME?</v>
      </c>
      <c r="T209" s="307" t="e">
        <f ca="1">_xll.BDP(M209&amp;" "&amp;N209&amp;" "&amp;O209,T$2)</f>
        <v>#NAME?</v>
      </c>
      <c r="V209" s="307" t="s">
        <v>1245</v>
      </c>
      <c r="W209" s="307">
        <v>72.7</v>
      </c>
      <c r="X209" s="307" t="s">
        <v>390</v>
      </c>
      <c r="Y209" s="307" t="s">
        <v>973</v>
      </c>
    </row>
    <row r="210" spans="2:25">
      <c r="B210" s="335" t="s">
        <v>374</v>
      </c>
      <c r="C210" s="335" t="s">
        <v>375</v>
      </c>
      <c r="D210" s="335" t="s">
        <v>821</v>
      </c>
      <c r="E210" s="335" t="s">
        <v>822</v>
      </c>
      <c r="F210" s="335" t="s">
        <v>376</v>
      </c>
      <c r="G210" s="335" t="s">
        <v>106</v>
      </c>
      <c r="H210" s="336" t="s">
        <v>10</v>
      </c>
      <c r="I210" s="335">
        <v>0</v>
      </c>
      <c r="J210" s="335" t="s">
        <v>823</v>
      </c>
      <c r="K210" s="335" t="s">
        <v>820</v>
      </c>
      <c r="M210" s="335" t="s">
        <v>1246</v>
      </c>
      <c r="N210" s="335" t="s">
        <v>388</v>
      </c>
      <c r="O210" s="335" t="s">
        <v>389</v>
      </c>
      <c r="Q210" s="307" t="e">
        <f ca="1">_xll.BDP(M210&amp;" "&amp;N210&amp;" "&amp;O210,Q$2)</f>
        <v>#NAME?</v>
      </c>
      <c r="R210" s="307" t="e">
        <f ca="1">_xll.BDP(M210&amp;" "&amp;N210&amp;" "&amp;O210,R$2)</f>
        <v>#NAME?</v>
      </c>
      <c r="S210" s="307" t="e">
        <f ca="1">_xll.BDP(M210&amp;" "&amp;N210&amp;" "&amp;O210,S$2)</f>
        <v>#NAME?</v>
      </c>
      <c r="T210" s="307" t="e">
        <f ca="1">_xll.BDP(M210&amp;" "&amp;N210&amp;" "&amp;O210,T$2)</f>
        <v>#NAME?</v>
      </c>
      <c r="V210" s="307" t="s">
        <v>1247</v>
      </c>
      <c r="W210" s="307">
        <v>69.599999999999994</v>
      </c>
      <c r="X210" s="307" t="s">
        <v>390</v>
      </c>
      <c r="Y210" s="307" t="s">
        <v>847</v>
      </c>
    </row>
    <row r="211" spans="2:25">
      <c r="B211" s="335" t="s">
        <v>374</v>
      </c>
      <c r="C211" s="335" t="s">
        <v>375</v>
      </c>
      <c r="D211" s="335" t="s">
        <v>821</v>
      </c>
      <c r="E211" s="335" t="s">
        <v>822</v>
      </c>
      <c r="F211" s="335" t="s">
        <v>376</v>
      </c>
      <c r="G211" s="335" t="s">
        <v>106</v>
      </c>
      <c r="H211" s="336" t="s">
        <v>11</v>
      </c>
      <c r="I211" s="335">
        <v>0</v>
      </c>
      <c r="J211" s="335" t="s">
        <v>823</v>
      </c>
      <c r="K211" s="335" t="s">
        <v>820</v>
      </c>
      <c r="M211" s="335" t="s">
        <v>1248</v>
      </c>
      <c r="N211" s="335" t="s">
        <v>388</v>
      </c>
      <c r="O211" s="335" t="s">
        <v>389</v>
      </c>
      <c r="Q211" s="307" t="e">
        <f ca="1">_xll.BDP(M211&amp;" "&amp;N211&amp;" "&amp;O211,Q$2)</f>
        <v>#NAME?</v>
      </c>
      <c r="R211" s="307" t="e">
        <f ca="1">_xll.BDP(M211&amp;" "&amp;N211&amp;" "&amp;O211,R$2)</f>
        <v>#NAME?</v>
      </c>
      <c r="S211" s="307" t="e">
        <f ca="1">_xll.BDP(M211&amp;" "&amp;N211&amp;" "&amp;O211,S$2)</f>
        <v>#NAME?</v>
      </c>
      <c r="T211" s="307" t="e">
        <f ca="1">_xll.BDP(M211&amp;" "&amp;N211&amp;" "&amp;O211,T$2)</f>
        <v>#NAME?</v>
      </c>
      <c r="V211" s="307" t="s">
        <v>1249</v>
      </c>
      <c r="W211" s="307">
        <v>66.900000000000006</v>
      </c>
      <c r="X211" s="307" t="s">
        <v>390</v>
      </c>
      <c r="Y211" s="307" t="s">
        <v>847</v>
      </c>
    </row>
    <row r="212" spans="2:25">
      <c r="B212" s="335" t="s">
        <v>374</v>
      </c>
      <c r="C212" s="335" t="s">
        <v>375</v>
      </c>
      <c r="D212" s="335" t="s">
        <v>821</v>
      </c>
      <c r="E212" s="335" t="s">
        <v>822</v>
      </c>
      <c r="F212" s="335" t="s">
        <v>376</v>
      </c>
      <c r="G212" s="335" t="s">
        <v>106</v>
      </c>
      <c r="H212" s="336" t="s">
        <v>13</v>
      </c>
      <c r="I212" s="335">
        <v>0</v>
      </c>
      <c r="J212" s="335" t="s">
        <v>823</v>
      </c>
      <c r="K212" s="335" t="s">
        <v>820</v>
      </c>
      <c r="M212" s="335" t="s">
        <v>1250</v>
      </c>
      <c r="N212" s="335" t="s">
        <v>388</v>
      </c>
      <c r="O212" s="335" t="s">
        <v>389</v>
      </c>
      <c r="Q212" s="307" t="e">
        <f ca="1">_xll.BDP(M212&amp;" "&amp;N212&amp;" "&amp;O212,Q$2)</f>
        <v>#NAME?</v>
      </c>
      <c r="R212" s="307" t="e">
        <f ca="1">_xll.BDP(M212&amp;" "&amp;N212&amp;" "&amp;O212,R$2)</f>
        <v>#NAME?</v>
      </c>
      <c r="S212" s="307" t="e">
        <f ca="1">_xll.BDP(M212&amp;" "&amp;N212&amp;" "&amp;O212,S$2)</f>
        <v>#NAME?</v>
      </c>
      <c r="T212" s="307" t="e">
        <f ca="1">_xll.BDP(M212&amp;" "&amp;N212&amp;" "&amp;O212,T$2)</f>
        <v>#NAME?</v>
      </c>
      <c r="V212" s="307" t="s">
        <v>1251</v>
      </c>
      <c r="W212" s="307">
        <v>63.9</v>
      </c>
      <c r="X212" s="307" t="s">
        <v>390</v>
      </c>
      <c r="Y212" s="307" t="s">
        <v>847</v>
      </c>
    </row>
    <row r="213" spans="2:25">
      <c r="B213" s="335" t="s">
        <v>374</v>
      </c>
      <c r="C213" s="335" t="s">
        <v>375</v>
      </c>
      <c r="D213" s="335" t="s">
        <v>821</v>
      </c>
      <c r="E213" s="335" t="s">
        <v>822</v>
      </c>
      <c r="F213" s="335" t="s">
        <v>376</v>
      </c>
      <c r="G213" s="335" t="s">
        <v>106</v>
      </c>
      <c r="H213" s="336" t="s">
        <v>16</v>
      </c>
      <c r="I213" s="335">
        <v>0</v>
      </c>
      <c r="J213" s="335" t="s">
        <v>823</v>
      </c>
      <c r="K213" s="335" t="s">
        <v>820</v>
      </c>
      <c r="M213" s="335" t="s">
        <v>1252</v>
      </c>
      <c r="N213" s="335" t="s">
        <v>388</v>
      </c>
      <c r="O213" s="335" t="s">
        <v>389</v>
      </c>
      <c r="Q213" s="307" t="e">
        <f ca="1">_xll.BDP(M213&amp;" "&amp;N213&amp;" "&amp;O213,Q$2)</f>
        <v>#NAME?</v>
      </c>
      <c r="R213" s="307" t="e">
        <f ca="1">_xll.BDP(M213&amp;" "&amp;N213&amp;" "&amp;O213,R$2)</f>
        <v>#NAME?</v>
      </c>
      <c r="S213" s="307" t="e">
        <f ca="1">_xll.BDP(M213&amp;" "&amp;N213&amp;" "&amp;O213,S$2)</f>
        <v>#NAME?</v>
      </c>
      <c r="T213" s="307" t="e">
        <f ca="1">_xll.BDP(M213&amp;" "&amp;N213&amp;" "&amp;O213,T$2)</f>
        <v>#NAME?</v>
      </c>
      <c r="V213" s="307" t="s">
        <v>1253</v>
      </c>
      <c r="W213" s="307">
        <v>60.7</v>
      </c>
      <c r="X213" s="307" t="s">
        <v>390</v>
      </c>
      <c r="Y213" s="307" t="s">
        <v>847</v>
      </c>
    </row>
    <row r="214" spans="2:25">
      <c r="B214" s="335" t="s">
        <v>374</v>
      </c>
      <c r="C214" s="335" t="s">
        <v>375</v>
      </c>
      <c r="D214" s="335" t="s">
        <v>821</v>
      </c>
      <c r="E214" s="335" t="s">
        <v>822</v>
      </c>
      <c r="F214" s="335" t="s">
        <v>376</v>
      </c>
      <c r="G214" s="335" t="s">
        <v>106</v>
      </c>
      <c r="H214" s="336" t="s">
        <v>17</v>
      </c>
      <c r="I214" s="335">
        <v>0</v>
      </c>
      <c r="J214" s="335" t="s">
        <v>823</v>
      </c>
      <c r="K214" s="335" t="s">
        <v>820</v>
      </c>
      <c r="M214" s="335" t="s">
        <v>1254</v>
      </c>
      <c r="N214" s="335" t="s">
        <v>388</v>
      </c>
      <c r="O214" s="335" t="s">
        <v>389</v>
      </c>
      <c r="Q214" s="307" t="e">
        <f ca="1">_xll.BDP(M214&amp;" "&amp;N214&amp;" "&amp;O214,Q$2)</f>
        <v>#NAME?</v>
      </c>
      <c r="R214" s="307" t="e">
        <f ca="1">_xll.BDP(M214&amp;" "&amp;N214&amp;" "&amp;O214,R$2)</f>
        <v>#NAME?</v>
      </c>
      <c r="S214" s="307" t="e">
        <f ca="1">_xll.BDP(M214&amp;" "&amp;N214&amp;" "&amp;O214,S$2)</f>
        <v>#NAME?</v>
      </c>
      <c r="T214" s="307" t="e">
        <f ca="1">_xll.BDP(M214&amp;" "&amp;N214&amp;" "&amp;O214,T$2)</f>
        <v>#NAME?</v>
      </c>
      <c r="V214" s="307" t="s">
        <v>1255</v>
      </c>
      <c r="W214" s="307">
        <v>56.5</v>
      </c>
      <c r="X214" s="307" t="s">
        <v>390</v>
      </c>
      <c r="Y214" s="307" t="s">
        <v>973</v>
      </c>
    </row>
    <row r="215" spans="2:25">
      <c r="B215" s="335" t="s">
        <v>374</v>
      </c>
      <c r="C215" s="335" t="s">
        <v>375</v>
      </c>
      <c r="D215" s="335" t="s">
        <v>821</v>
      </c>
      <c r="E215" s="335" t="s">
        <v>822</v>
      </c>
      <c r="F215" s="335" t="s">
        <v>376</v>
      </c>
      <c r="G215" s="335" t="s">
        <v>106</v>
      </c>
      <c r="H215" s="336" t="s">
        <v>104</v>
      </c>
      <c r="I215" s="335">
        <v>0</v>
      </c>
      <c r="J215" s="335" t="s">
        <v>823</v>
      </c>
      <c r="K215" s="335" t="s">
        <v>820</v>
      </c>
      <c r="M215" s="335" t="s">
        <v>1256</v>
      </c>
      <c r="N215" s="335" t="s">
        <v>388</v>
      </c>
      <c r="O215" s="335" t="s">
        <v>389</v>
      </c>
      <c r="Q215" s="307" t="e">
        <f ca="1">_xll.BDP(M215&amp;" "&amp;N215&amp;" "&amp;O215,Q$2)</f>
        <v>#NAME?</v>
      </c>
      <c r="R215" s="307" t="e">
        <f ca="1">_xll.BDP(M215&amp;" "&amp;N215&amp;" "&amp;O215,R$2)</f>
        <v>#NAME?</v>
      </c>
      <c r="S215" s="307" t="e">
        <f ca="1">_xll.BDP(M215&amp;" "&amp;N215&amp;" "&amp;O215,S$2)</f>
        <v>#NAME?</v>
      </c>
      <c r="T215" s="307" t="e">
        <f ca="1">_xll.BDP(M215&amp;" "&amp;N215&amp;" "&amp;O215,T$2)</f>
        <v>#NAME?</v>
      </c>
      <c r="V215" s="307" t="s">
        <v>1257</v>
      </c>
      <c r="W215" s="307">
        <v>52</v>
      </c>
      <c r="X215" s="307" t="s">
        <v>390</v>
      </c>
      <c r="Y215" s="307" t="s">
        <v>859</v>
      </c>
    </row>
    <row r="216" spans="2:25">
      <c r="B216" s="335" t="s">
        <v>374</v>
      </c>
      <c r="C216" s="335" t="s">
        <v>375</v>
      </c>
      <c r="K216" s="335" t="s">
        <v>1258</v>
      </c>
      <c r="Q216" s="307"/>
      <c r="R216" s="307"/>
      <c r="S216" s="307"/>
      <c r="T216" s="307"/>
      <c r="V216" s="307"/>
      <c r="W216" s="307"/>
      <c r="X216" s="307"/>
      <c r="Y216" s="307"/>
    </row>
    <row r="217" spans="2:25">
      <c r="B217" s="335" t="s">
        <v>374</v>
      </c>
      <c r="C217" s="335" t="s">
        <v>375</v>
      </c>
      <c r="D217" s="335" t="s">
        <v>821</v>
      </c>
      <c r="E217" s="335" t="s">
        <v>822</v>
      </c>
      <c r="F217" s="335" t="s">
        <v>376</v>
      </c>
      <c r="G217" s="335" t="s">
        <v>7</v>
      </c>
      <c r="H217" s="335" t="s">
        <v>23</v>
      </c>
      <c r="I217" s="335">
        <v>0</v>
      </c>
      <c r="J217" s="335" t="s">
        <v>823</v>
      </c>
      <c r="K217" s="335" t="s">
        <v>1258</v>
      </c>
      <c r="M217" s="335" t="s">
        <v>1259</v>
      </c>
      <c r="N217" s="335" t="s">
        <v>388</v>
      </c>
      <c r="O217" s="335" t="s">
        <v>389</v>
      </c>
      <c r="Q217" s="307" t="e">
        <f ca="1">_xll.BDP(M217&amp;" "&amp;N217&amp;" "&amp;O217,Q$2)</f>
        <v>#NAME?</v>
      </c>
      <c r="R217" s="307" t="e">
        <f ca="1">_xll.BDP(M217&amp;" "&amp;N217&amp;" "&amp;O217,R$2)</f>
        <v>#NAME?</v>
      </c>
      <c r="S217" s="307" t="e">
        <f ca="1">_xll.BDP(M217&amp;" "&amp;N217&amp;" "&amp;O217,S$2)</f>
        <v>#NAME?</v>
      </c>
      <c r="T217" s="307" t="e">
        <f ca="1">_xll.BDP(M217&amp;" "&amp;N217&amp;" "&amp;O217,T$2)</f>
        <v>#NAME?</v>
      </c>
      <c r="V217" s="307" t="s">
        <v>1260</v>
      </c>
      <c r="W217" s="307">
        <v>3.5</v>
      </c>
      <c r="X217" s="307" t="s">
        <v>390</v>
      </c>
      <c r="Y217" s="307" t="s">
        <v>391</v>
      </c>
    </row>
    <row r="218" spans="2:25">
      <c r="B218" s="335" t="s">
        <v>374</v>
      </c>
      <c r="C218" s="335" t="s">
        <v>375</v>
      </c>
      <c r="D218" s="335" t="s">
        <v>821</v>
      </c>
      <c r="E218" s="335" t="s">
        <v>822</v>
      </c>
      <c r="F218" s="335" t="s">
        <v>376</v>
      </c>
      <c r="G218" s="335" t="s">
        <v>7</v>
      </c>
      <c r="H218" s="335" t="s">
        <v>398</v>
      </c>
      <c r="I218" s="335">
        <v>0</v>
      </c>
      <c r="J218" s="335" t="s">
        <v>823</v>
      </c>
      <c r="K218" s="335" t="s">
        <v>1258</v>
      </c>
      <c r="M218" s="335" t="s">
        <v>1261</v>
      </c>
      <c r="N218" s="335" t="s">
        <v>388</v>
      </c>
      <c r="O218" s="335" t="s">
        <v>389</v>
      </c>
      <c r="Q218" s="307" t="e">
        <f ca="1">_xll.BDP(M218&amp;" "&amp;N218&amp;" "&amp;O218,Q$2)</f>
        <v>#NAME?</v>
      </c>
      <c r="R218" s="307" t="e">
        <f ca="1">_xll.BDP(M218&amp;" "&amp;N218&amp;" "&amp;O218,R$2)</f>
        <v>#NAME?</v>
      </c>
      <c r="S218" s="307" t="e">
        <f ca="1">_xll.BDP(M218&amp;" "&amp;N218&amp;" "&amp;O218,S$2)</f>
        <v>#NAME?</v>
      </c>
      <c r="T218" s="307" t="e">
        <f ca="1">_xll.BDP(M218&amp;" "&amp;N218&amp;" "&amp;O218,T$2)</f>
        <v>#NAME?</v>
      </c>
      <c r="V218" s="307" t="s">
        <v>1262</v>
      </c>
      <c r="W218" s="307">
        <v>5</v>
      </c>
      <c r="X218" s="307" t="s">
        <v>390</v>
      </c>
      <c r="Y218" s="307" t="s">
        <v>829</v>
      </c>
    </row>
    <row r="219" spans="2:25">
      <c r="B219" s="335" t="s">
        <v>374</v>
      </c>
      <c r="C219" s="335" t="s">
        <v>375</v>
      </c>
      <c r="D219" s="335" t="s">
        <v>821</v>
      </c>
      <c r="E219" s="335" t="s">
        <v>822</v>
      </c>
      <c r="F219" s="335" t="s">
        <v>376</v>
      </c>
      <c r="G219" s="335" t="s">
        <v>7</v>
      </c>
      <c r="H219" s="336" t="s">
        <v>26</v>
      </c>
      <c r="I219" s="335">
        <v>0</v>
      </c>
      <c r="J219" s="335" t="s">
        <v>823</v>
      </c>
      <c r="K219" s="335" t="s">
        <v>1258</v>
      </c>
      <c r="M219" s="335" t="s">
        <v>1263</v>
      </c>
      <c r="N219" s="335" t="s">
        <v>388</v>
      </c>
      <c r="O219" s="335" t="s">
        <v>389</v>
      </c>
      <c r="Q219" s="307" t="e">
        <f ca="1">_xll.BDP(M219&amp;" "&amp;N219&amp;" "&amp;O219,Q$2)</f>
        <v>#NAME?</v>
      </c>
      <c r="R219" s="307" t="e">
        <f ca="1">_xll.BDP(M219&amp;" "&amp;N219&amp;" "&amp;O219,R$2)</f>
        <v>#NAME?</v>
      </c>
      <c r="S219" s="307" t="e">
        <f ca="1">_xll.BDP(M219&amp;" "&amp;N219&amp;" "&amp;O219,S$2)</f>
        <v>#NAME?</v>
      </c>
      <c r="T219" s="307" t="e">
        <f ca="1">_xll.BDP(M219&amp;" "&amp;N219&amp;" "&amp;O219,T$2)</f>
        <v>#NAME?</v>
      </c>
      <c r="V219" s="307" t="s">
        <v>1264</v>
      </c>
      <c r="W219" s="307">
        <v>6</v>
      </c>
      <c r="X219" s="307" t="s">
        <v>390</v>
      </c>
      <c r="Y219" s="307" t="s">
        <v>829</v>
      </c>
    </row>
    <row r="220" spans="2:25">
      <c r="B220" s="335" t="s">
        <v>374</v>
      </c>
      <c r="C220" s="335" t="s">
        <v>375</v>
      </c>
      <c r="D220" s="335" t="s">
        <v>821</v>
      </c>
      <c r="E220" s="335" t="s">
        <v>822</v>
      </c>
      <c r="F220" s="335" t="s">
        <v>376</v>
      </c>
      <c r="G220" s="335" t="s">
        <v>7</v>
      </c>
      <c r="H220" s="336" t="s">
        <v>19</v>
      </c>
      <c r="I220" s="335">
        <v>0</v>
      </c>
      <c r="J220" s="335" t="s">
        <v>823</v>
      </c>
      <c r="K220" s="335" t="s">
        <v>1258</v>
      </c>
      <c r="M220" s="335" t="s">
        <v>1265</v>
      </c>
      <c r="N220" s="335" t="s">
        <v>388</v>
      </c>
      <c r="O220" s="335" t="s">
        <v>389</v>
      </c>
      <c r="Q220" s="307" t="e">
        <f ca="1">_xll.BDP(M220&amp;" "&amp;N220&amp;" "&amp;O220,Q$2)</f>
        <v>#NAME?</v>
      </c>
      <c r="R220" s="307" t="e">
        <f ca="1">_xll.BDP(M220&amp;" "&amp;N220&amp;" "&amp;O220,R$2)</f>
        <v>#NAME?</v>
      </c>
      <c r="S220" s="307" t="e">
        <f ca="1">_xll.BDP(M220&amp;" "&amp;N220&amp;" "&amp;O220,S$2)</f>
        <v>#NAME?</v>
      </c>
      <c r="T220" s="307" t="e">
        <f ca="1">_xll.BDP(M220&amp;" "&amp;N220&amp;" "&amp;O220,T$2)</f>
        <v>#NAME?</v>
      </c>
      <c r="V220" s="307" t="s">
        <v>1266</v>
      </c>
      <c r="W220" s="307">
        <v>9.5</v>
      </c>
      <c r="X220" s="307" t="s">
        <v>390</v>
      </c>
      <c r="Y220" s="307" t="s">
        <v>829</v>
      </c>
    </row>
    <row r="221" spans="2:25">
      <c r="B221" s="335" t="s">
        <v>374</v>
      </c>
      <c r="C221" s="335" t="s">
        <v>375</v>
      </c>
      <c r="D221" s="335" t="s">
        <v>821</v>
      </c>
      <c r="E221" s="335" t="s">
        <v>822</v>
      </c>
      <c r="F221" s="335" t="s">
        <v>376</v>
      </c>
      <c r="G221" s="335" t="s">
        <v>7</v>
      </c>
      <c r="H221" s="336" t="s">
        <v>412</v>
      </c>
      <c r="I221" s="335">
        <v>0</v>
      </c>
      <c r="J221" s="335" t="s">
        <v>823</v>
      </c>
      <c r="K221" s="335" t="s">
        <v>1258</v>
      </c>
      <c r="M221" s="335" t="s">
        <v>1267</v>
      </c>
      <c r="N221" s="335" t="s">
        <v>388</v>
      </c>
      <c r="O221" s="335" t="s">
        <v>389</v>
      </c>
      <c r="Q221" s="307" t="e">
        <f ca="1">_xll.BDP(M221&amp;" "&amp;N221&amp;" "&amp;O221,Q$2)</f>
        <v>#NAME?</v>
      </c>
      <c r="R221" s="307" t="e">
        <f ca="1">_xll.BDP(M221&amp;" "&amp;N221&amp;" "&amp;O221,R$2)</f>
        <v>#NAME?</v>
      </c>
      <c r="S221" s="307" t="e">
        <f ca="1">_xll.BDP(M221&amp;" "&amp;N221&amp;" "&amp;O221,S$2)</f>
        <v>#NAME?</v>
      </c>
      <c r="T221" s="307" t="e">
        <f ca="1">_xll.BDP(M221&amp;" "&amp;N221&amp;" "&amp;O221,T$2)</f>
        <v>#NAME?</v>
      </c>
      <c r="V221" s="307" t="s">
        <v>1268</v>
      </c>
      <c r="W221" s="307">
        <v>14.5</v>
      </c>
      <c r="X221" s="307" t="s">
        <v>390</v>
      </c>
      <c r="Y221" s="307" t="s">
        <v>829</v>
      </c>
    </row>
    <row r="222" spans="2:25">
      <c r="B222" s="335" t="s">
        <v>374</v>
      </c>
      <c r="C222" s="335" t="s">
        <v>375</v>
      </c>
      <c r="D222" s="335" t="s">
        <v>821</v>
      </c>
      <c r="E222" s="335" t="s">
        <v>822</v>
      </c>
      <c r="F222" s="335" t="s">
        <v>376</v>
      </c>
      <c r="G222" s="335" t="s">
        <v>7</v>
      </c>
      <c r="H222" s="336" t="s">
        <v>7</v>
      </c>
      <c r="I222" s="335">
        <v>0</v>
      </c>
      <c r="J222" s="335" t="s">
        <v>823</v>
      </c>
      <c r="K222" s="335" t="s">
        <v>1258</v>
      </c>
      <c r="M222" s="335" t="s">
        <v>1269</v>
      </c>
      <c r="N222" s="335" t="s">
        <v>388</v>
      </c>
      <c r="O222" s="335" t="s">
        <v>389</v>
      </c>
      <c r="Q222" s="307" t="e">
        <f ca="1">_xll.BDP(M222&amp;" "&amp;N222&amp;" "&amp;O222,Q$2)</f>
        <v>#NAME?</v>
      </c>
      <c r="R222" s="307" t="e">
        <f ca="1">_xll.BDP(M222&amp;" "&amp;N222&amp;" "&amp;O222,R$2)</f>
        <v>#NAME?</v>
      </c>
      <c r="S222" s="307" t="e">
        <f ca="1">_xll.BDP(M222&amp;" "&amp;N222&amp;" "&amp;O222,S$2)</f>
        <v>#NAME?</v>
      </c>
      <c r="T222" s="307" t="e">
        <f ca="1">_xll.BDP(M222&amp;" "&amp;N222&amp;" "&amp;O222,T$2)</f>
        <v>#NAME?</v>
      </c>
      <c r="V222" s="307" t="s">
        <v>1270</v>
      </c>
      <c r="W222" s="307">
        <v>20</v>
      </c>
      <c r="X222" s="307" t="s">
        <v>390</v>
      </c>
      <c r="Y222" s="307" t="s">
        <v>836</v>
      </c>
    </row>
    <row r="223" spans="2:25">
      <c r="B223" s="335" t="s">
        <v>374</v>
      </c>
      <c r="C223" s="335" t="s">
        <v>375</v>
      </c>
      <c r="D223" s="335" t="s">
        <v>821</v>
      </c>
      <c r="E223" s="335" t="s">
        <v>822</v>
      </c>
      <c r="F223" s="335" t="s">
        <v>376</v>
      </c>
      <c r="G223" s="335" t="s">
        <v>7</v>
      </c>
      <c r="H223" s="336" t="s">
        <v>154</v>
      </c>
      <c r="I223" s="335">
        <v>0</v>
      </c>
      <c r="J223" s="335" t="s">
        <v>823</v>
      </c>
      <c r="K223" s="335" t="s">
        <v>1258</v>
      </c>
      <c r="M223" s="335" t="s">
        <v>1271</v>
      </c>
      <c r="N223" s="335" t="s">
        <v>388</v>
      </c>
      <c r="O223" s="335" t="s">
        <v>389</v>
      </c>
      <c r="Q223" s="307" t="e">
        <f ca="1">_xll.BDP(M223&amp;" "&amp;N223&amp;" "&amp;O223,Q$2)</f>
        <v>#NAME?</v>
      </c>
      <c r="R223" s="307" t="e">
        <f ca="1">_xll.BDP(M223&amp;" "&amp;N223&amp;" "&amp;O223,R$2)</f>
        <v>#NAME?</v>
      </c>
      <c r="S223" s="307" t="e">
        <f ca="1">_xll.BDP(M223&amp;" "&amp;N223&amp;" "&amp;O223,S$2)</f>
        <v>#NAME?</v>
      </c>
      <c r="T223" s="307" t="e">
        <f ca="1">_xll.BDP(M223&amp;" "&amp;N223&amp;" "&amp;O223,T$2)</f>
        <v>#NAME?</v>
      </c>
      <c r="V223" s="307" t="s">
        <v>1272</v>
      </c>
      <c r="W223" s="307">
        <v>31.5</v>
      </c>
      <c r="X223" s="307" t="s">
        <v>390</v>
      </c>
      <c r="Y223" s="307" t="s">
        <v>391</v>
      </c>
    </row>
    <row r="224" spans="2:25">
      <c r="B224" s="335" t="s">
        <v>374</v>
      </c>
      <c r="C224" s="335" t="s">
        <v>375</v>
      </c>
      <c r="D224" s="335" t="s">
        <v>821</v>
      </c>
      <c r="E224" s="335" t="s">
        <v>822</v>
      </c>
      <c r="F224" s="335" t="s">
        <v>376</v>
      </c>
      <c r="G224" s="335" t="s">
        <v>7</v>
      </c>
      <c r="H224" s="336" t="s">
        <v>8</v>
      </c>
      <c r="I224" s="335">
        <v>0</v>
      </c>
      <c r="J224" s="335" t="s">
        <v>823</v>
      </c>
      <c r="K224" s="335" t="s">
        <v>1258</v>
      </c>
      <c r="M224" s="335" t="s">
        <v>1273</v>
      </c>
      <c r="N224" s="335" t="s">
        <v>388</v>
      </c>
      <c r="O224" s="335" t="s">
        <v>389</v>
      </c>
      <c r="Q224" s="307" t="e">
        <f ca="1">_xll.BDP(M224&amp;" "&amp;N224&amp;" "&amp;O224,Q$2)</f>
        <v>#NAME?</v>
      </c>
      <c r="R224" s="307" t="e">
        <f ca="1">_xll.BDP(M224&amp;" "&amp;N224&amp;" "&amp;O224,R$2)</f>
        <v>#NAME?</v>
      </c>
      <c r="S224" s="307" t="e">
        <f ca="1">_xll.BDP(M224&amp;" "&amp;N224&amp;" "&amp;O224,S$2)</f>
        <v>#NAME?</v>
      </c>
      <c r="T224" s="307" t="e">
        <f ca="1">_xll.BDP(M224&amp;" "&amp;N224&amp;" "&amp;O224,T$2)</f>
        <v>#NAME?</v>
      </c>
      <c r="V224" s="307" t="s">
        <v>1274</v>
      </c>
      <c r="W224" s="307">
        <v>45</v>
      </c>
      <c r="X224" s="307" t="s">
        <v>390</v>
      </c>
      <c r="Y224" s="307" t="s">
        <v>829</v>
      </c>
    </row>
    <row r="225" spans="2:25">
      <c r="B225" s="335" t="s">
        <v>374</v>
      </c>
      <c r="C225" s="335" t="s">
        <v>375</v>
      </c>
      <c r="D225" s="335" t="s">
        <v>821</v>
      </c>
      <c r="E225" s="335" t="s">
        <v>822</v>
      </c>
      <c r="F225" s="335" t="s">
        <v>376</v>
      </c>
      <c r="G225" s="335" t="s">
        <v>7</v>
      </c>
      <c r="H225" s="336" t="s">
        <v>9</v>
      </c>
      <c r="I225" s="335">
        <v>0</v>
      </c>
      <c r="J225" s="335" t="s">
        <v>823</v>
      </c>
      <c r="K225" s="335" t="s">
        <v>1258</v>
      </c>
      <c r="M225" s="335" t="s">
        <v>1275</v>
      </c>
      <c r="N225" s="335" t="s">
        <v>388</v>
      </c>
      <c r="O225" s="335" t="s">
        <v>389</v>
      </c>
      <c r="Q225" s="307" t="e">
        <f ca="1">_xll.BDP(M225&amp;" "&amp;N225&amp;" "&amp;O225,Q$2)</f>
        <v>#NAME?</v>
      </c>
      <c r="R225" s="307" t="e">
        <f ca="1">_xll.BDP(M225&amp;" "&amp;N225&amp;" "&amp;O225,R$2)</f>
        <v>#NAME?</v>
      </c>
      <c r="S225" s="307" t="e">
        <f ca="1">_xll.BDP(M225&amp;" "&amp;N225&amp;" "&amp;O225,S$2)</f>
        <v>#NAME?</v>
      </c>
      <c r="T225" s="307" t="e">
        <f ca="1">_xll.BDP(M225&amp;" "&amp;N225&amp;" "&amp;O225,T$2)</f>
        <v>#NAME?</v>
      </c>
      <c r="V225" s="307" t="s">
        <v>1276</v>
      </c>
      <c r="W225" s="307">
        <v>75</v>
      </c>
      <c r="X225" s="307" t="s">
        <v>390</v>
      </c>
      <c r="Y225" s="307" t="s">
        <v>829</v>
      </c>
    </row>
    <row r="226" spans="2:25">
      <c r="B226" s="335" t="s">
        <v>374</v>
      </c>
      <c r="C226" s="335" t="s">
        <v>375</v>
      </c>
      <c r="D226" s="335" t="s">
        <v>821</v>
      </c>
      <c r="E226" s="335" t="s">
        <v>822</v>
      </c>
      <c r="F226" s="335" t="s">
        <v>376</v>
      </c>
      <c r="G226" s="335" t="s">
        <v>7</v>
      </c>
      <c r="H226" s="336" t="s">
        <v>10</v>
      </c>
      <c r="I226" s="335">
        <v>0</v>
      </c>
      <c r="J226" s="335" t="s">
        <v>823</v>
      </c>
      <c r="K226" s="335" t="s">
        <v>1258</v>
      </c>
      <c r="M226" s="335" t="s">
        <v>1277</v>
      </c>
      <c r="N226" s="335" t="s">
        <v>388</v>
      </c>
      <c r="O226" s="335" t="s">
        <v>389</v>
      </c>
      <c r="Q226" s="307" t="e">
        <f ca="1">_xll.BDP(M226&amp;" "&amp;N226&amp;" "&amp;O226,Q$2)</f>
        <v>#NAME?</v>
      </c>
      <c r="R226" s="307" t="e">
        <f ca="1">_xll.BDP(M226&amp;" "&amp;N226&amp;" "&amp;O226,R$2)</f>
        <v>#NAME?</v>
      </c>
      <c r="S226" s="307" t="e">
        <f ca="1">_xll.BDP(M226&amp;" "&amp;N226&amp;" "&amp;O226,S$2)</f>
        <v>#NAME?</v>
      </c>
      <c r="T226" s="307" t="e">
        <f ca="1">_xll.BDP(M226&amp;" "&amp;N226&amp;" "&amp;O226,T$2)</f>
        <v>#NAME?</v>
      </c>
      <c r="V226" s="307" t="s">
        <v>1278</v>
      </c>
      <c r="W226" s="307">
        <v>101</v>
      </c>
      <c r="X226" s="307" t="s">
        <v>390</v>
      </c>
      <c r="Y226" s="307" t="s">
        <v>826</v>
      </c>
    </row>
    <row r="227" spans="2:25">
      <c r="B227" s="335" t="s">
        <v>374</v>
      </c>
      <c r="C227" s="335" t="s">
        <v>375</v>
      </c>
      <c r="D227" s="335" t="s">
        <v>821</v>
      </c>
      <c r="E227" s="335" t="s">
        <v>822</v>
      </c>
      <c r="F227" s="335" t="s">
        <v>376</v>
      </c>
      <c r="G227" s="335" t="s">
        <v>7</v>
      </c>
      <c r="H227" s="336" t="s">
        <v>11</v>
      </c>
      <c r="I227" s="335">
        <v>0</v>
      </c>
      <c r="J227" s="335" t="s">
        <v>823</v>
      </c>
      <c r="K227" s="335" t="s">
        <v>1258</v>
      </c>
      <c r="M227" s="335" t="s">
        <v>1279</v>
      </c>
      <c r="N227" s="335" t="s">
        <v>388</v>
      </c>
      <c r="O227" s="335" t="s">
        <v>389</v>
      </c>
      <c r="Q227" s="307" t="e">
        <f ca="1">_xll.BDP(M227&amp;" "&amp;N227&amp;" "&amp;O227,Q$2)</f>
        <v>#NAME?</v>
      </c>
      <c r="R227" s="307" t="e">
        <f ca="1">_xll.BDP(M227&amp;" "&amp;N227&amp;" "&amp;O227,R$2)</f>
        <v>#NAME?</v>
      </c>
      <c r="S227" s="307" t="e">
        <f ca="1">_xll.BDP(M227&amp;" "&amp;N227&amp;" "&amp;O227,S$2)</f>
        <v>#NAME?</v>
      </c>
      <c r="T227" s="307" t="e">
        <f ca="1">_xll.BDP(M227&amp;" "&amp;N227&amp;" "&amp;O227,T$2)</f>
        <v>#NAME?</v>
      </c>
      <c r="V227" s="307" t="s">
        <v>1280</v>
      </c>
      <c r="W227" s="307">
        <v>122.5</v>
      </c>
      <c r="X227" s="307" t="s">
        <v>390</v>
      </c>
      <c r="Y227" s="307" t="s">
        <v>829</v>
      </c>
    </row>
    <row r="228" spans="2:25">
      <c r="B228" s="335" t="s">
        <v>374</v>
      </c>
      <c r="C228" s="335" t="s">
        <v>375</v>
      </c>
      <c r="D228" s="335" t="s">
        <v>821</v>
      </c>
      <c r="E228" s="335" t="s">
        <v>822</v>
      </c>
      <c r="F228" s="335" t="s">
        <v>376</v>
      </c>
      <c r="G228" s="335" t="s">
        <v>7</v>
      </c>
      <c r="H228" s="336" t="s">
        <v>13</v>
      </c>
      <c r="I228" s="335">
        <v>0</v>
      </c>
      <c r="J228" s="335" t="s">
        <v>823</v>
      </c>
      <c r="K228" s="335" t="s">
        <v>1258</v>
      </c>
      <c r="M228" s="335" t="s">
        <v>1281</v>
      </c>
      <c r="N228" s="335" t="s">
        <v>388</v>
      </c>
      <c r="O228" s="335" t="s">
        <v>389</v>
      </c>
      <c r="Q228" s="307" t="e">
        <f ca="1">_xll.BDP(M228&amp;" "&amp;N228&amp;" "&amp;O228,Q$2)</f>
        <v>#NAME?</v>
      </c>
      <c r="R228" s="307" t="e">
        <f ca="1">_xll.BDP(M228&amp;" "&amp;N228&amp;" "&amp;O228,R$2)</f>
        <v>#NAME?</v>
      </c>
      <c r="S228" s="307" t="e">
        <f ca="1">_xll.BDP(M228&amp;" "&amp;N228&amp;" "&amp;O228,S$2)</f>
        <v>#NAME?</v>
      </c>
      <c r="T228" s="307" t="e">
        <f ca="1">_xll.BDP(M228&amp;" "&amp;N228&amp;" "&amp;O228,T$2)</f>
        <v>#NAME?</v>
      </c>
      <c r="V228" s="307" t="s">
        <v>1282</v>
      </c>
      <c r="W228" s="307">
        <v>150.5</v>
      </c>
      <c r="X228" s="307" t="s">
        <v>390</v>
      </c>
      <c r="Y228" s="307" t="s">
        <v>1283</v>
      </c>
    </row>
    <row r="229" spans="2:25">
      <c r="B229" s="335" t="s">
        <v>374</v>
      </c>
      <c r="C229" s="335" t="s">
        <v>375</v>
      </c>
      <c r="D229" s="335" t="s">
        <v>821</v>
      </c>
      <c r="E229" s="335" t="s">
        <v>822</v>
      </c>
      <c r="F229" s="335" t="s">
        <v>376</v>
      </c>
      <c r="G229" s="335" t="s">
        <v>7</v>
      </c>
      <c r="H229" s="336" t="s">
        <v>16</v>
      </c>
      <c r="I229" s="335">
        <v>0</v>
      </c>
      <c r="J229" s="335" t="s">
        <v>823</v>
      </c>
      <c r="K229" s="335" t="s">
        <v>1258</v>
      </c>
      <c r="M229" s="335" t="s">
        <v>1284</v>
      </c>
      <c r="N229" s="335" t="s">
        <v>388</v>
      </c>
      <c r="O229" s="335" t="s">
        <v>389</v>
      </c>
      <c r="Q229" s="307" t="e">
        <f ca="1">_xll.BDP(M229&amp;" "&amp;N229&amp;" "&amp;O229,Q$2)</f>
        <v>#NAME?</v>
      </c>
      <c r="R229" s="307" t="e">
        <f ca="1">_xll.BDP(M229&amp;" "&amp;N229&amp;" "&amp;O229,R$2)</f>
        <v>#NAME?</v>
      </c>
      <c r="S229" s="307" t="e">
        <f ca="1">_xll.BDP(M229&amp;" "&amp;N229&amp;" "&amp;O229,S$2)</f>
        <v>#NAME?</v>
      </c>
      <c r="T229" s="307" t="e">
        <f ca="1">_xll.BDP(M229&amp;" "&amp;N229&amp;" "&amp;O229,T$2)</f>
        <v>#NAME?</v>
      </c>
      <c r="V229" s="307" t="s">
        <v>1285</v>
      </c>
      <c r="W229" s="307">
        <v>180.5</v>
      </c>
      <c r="X229" s="307" t="s">
        <v>390</v>
      </c>
      <c r="Y229" s="307" t="s">
        <v>391</v>
      </c>
    </row>
    <row r="230" spans="2:25">
      <c r="B230" s="335" t="s">
        <v>374</v>
      </c>
      <c r="C230" s="335" t="s">
        <v>375</v>
      </c>
      <c r="D230" s="335" t="s">
        <v>821</v>
      </c>
      <c r="E230" s="335" t="s">
        <v>822</v>
      </c>
      <c r="F230" s="335" t="s">
        <v>376</v>
      </c>
      <c r="G230" s="335" t="s">
        <v>7</v>
      </c>
      <c r="H230" s="336" t="s">
        <v>17</v>
      </c>
      <c r="I230" s="335">
        <v>0</v>
      </c>
      <c r="J230" s="335" t="s">
        <v>823</v>
      </c>
      <c r="K230" s="335" t="s">
        <v>1258</v>
      </c>
      <c r="M230" s="335" t="s">
        <v>1286</v>
      </c>
      <c r="N230" s="335" t="s">
        <v>388</v>
      </c>
      <c r="O230" s="335" t="s">
        <v>389</v>
      </c>
      <c r="Q230" s="307" t="e">
        <f ca="1">_xll.BDP(M230&amp;" "&amp;N230&amp;" "&amp;O230,Q$2)</f>
        <v>#NAME?</v>
      </c>
      <c r="R230" s="307" t="e">
        <f ca="1">_xll.BDP(M230&amp;" "&amp;N230&amp;" "&amp;O230,R$2)</f>
        <v>#NAME?</v>
      </c>
      <c r="S230" s="307" t="e">
        <f ca="1">_xll.BDP(M230&amp;" "&amp;N230&amp;" "&amp;O230,S$2)</f>
        <v>#NAME?</v>
      </c>
      <c r="T230" s="307" t="e">
        <f ca="1">_xll.BDP(M230&amp;" "&amp;N230&amp;" "&amp;O230,T$2)</f>
        <v>#NAME?</v>
      </c>
      <c r="V230" s="307" t="s">
        <v>1287</v>
      </c>
      <c r="W230" s="307">
        <v>212</v>
      </c>
      <c r="X230" s="307" t="s">
        <v>390</v>
      </c>
      <c r="Y230" s="307" t="s">
        <v>391</v>
      </c>
    </row>
    <row r="231" spans="2:25">
      <c r="B231" s="335" t="s">
        <v>374</v>
      </c>
      <c r="C231" s="335" t="s">
        <v>375</v>
      </c>
      <c r="D231" s="335" t="s">
        <v>821</v>
      </c>
      <c r="E231" s="335" t="s">
        <v>822</v>
      </c>
      <c r="F231" s="335" t="s">
        <v>376</v>
      </c>
      <c r="G231" s="335" t="s">
        <v>7</v>
      </c>
      <c r="H231" s="336" t="s">
        <v>104</v>
      </c>
      <c r="I231" s="335">
        <v>0</v>
      </c>
      <c r="J231" s="335" t="s">
        <v>823</v>
      </c>
      <c r="K231" s="335" t="s">
        <v>1258</v>
      </c>
      <c r="M231" s="335" t="s">
        <v>1288</v>
      </c>
      <c r="N231" s="335" t="s">
        <v>388</v>
      </c>
      <c r="O231" s="335" t="s">
        <v>389</v>
      </c>
      <c r="Q231" s="307" t="e">
        <f ca="1">_xll.BDP(M231&amp;" "&amp;N231&amp;" "&amp;O231,Q$2)</f>
        <v>#NAME?</v>
      </c>
      <c r="R231" s="307" t="e">
        <f ca="1">_xll.BDP(M231&amp;" "&amp;N231&amp;" "&amp;O231,R$2)</f>
        <v>#NAME?</v>
      </c>
      <c r="S231" s="307" t="e">
        <f ca="1">_xll.BDP(M231&amp;" "&amp;N231&amp;" "&amp;O231,S$2)</f>
        <v>#NAME?</v>
      </c>
      <c r="T231" s="307" t="e">
        <f ca="1">_xll.BDP(M231&amp;" "&amp;N231&amp;" "&amp;O231,T$2)</f>
        <v>#NAME?</v>
      </c>
      <c r="V231" s="307" t="s">
        <v>1289</v>
      </c>
      <c r="W231" s="307">
        <v>234.5</v>
      </c>
      <c r="X231" s="307" t="s">
        <v>390</v>
      </c>
      <c r="Y231" s="307" t="s">
        <v>1290</v>
      </c>
    </row>
    <row r="232" spans="2:25">
      <c r="B232" s="335" t="s">
        <v>374</v>
      </c>
      <c r="C232" s="335" t="s">
        <v>375</v>
      </c>
      <c r="D232" s="335" t="s">
        <v>821</v>
      </c>
      <c r="E232" s="335" t="s">
        <v>822</v>
      </c>
      <c r="F232" s="335" t="s">
        <v>376</v>
      </c>
      <c r="G232" s="335" t="s">
        <v>8</v>
      </c>
      <c r="H232" s="335" t="s">
        <v>23</v>
      </c>
      <c r="I232" s="335">
        <v>0</v>
      </c>
      <c r="J232" s="335" t="s">
        <v>823</v>
      </c>
      <c r="K232" s="335" t="s">
        <v>1258</v>
      </c>
      <c r="M232" s="335" t="s">
        <v>1291</v>
      </c>
      <c r="N232" s="335" t="s">
        <v>388</v>
      </c>
      <c r="O232" s="335" t="s">
        <v>389</v>
      </c>
      <c r="Q232" s="307" t="e">
        <f ca="1">_xll.BDP(M232&amp;" "&amp;N232&amp;" "&amp;O232,Q$2)</f>
        <v>#NAME?</v>
      </c>
      <c r="R232" s="307" t="e">
        <f ca="1">_xll.BDP(M232&amp;" "&amp;N232&amp;" "&amp;O232,R$2)</f>
        <v>#NAME?</v>
      </c>
      <c r="S232" s="307" t="e">
        <f ca="1">_xll.BDP(M232&amp;" "&amp;N232&amp;" "&amp;O232,S$2)</f>
        <v>#NAME?</v>
      </c>
      <c r="T232" s="307" t="e">
        <f ca="1">_xll.BDP(M232&amp;" "&amp;N232&amp;" "&amp;O232,T$2)</f>
        <v>#NAME?</v>
      </c>
      <c r="V232" s="307" t="s">
        <v>1292</v>
      </c>
      <c r="W232" s="307">
        <v>7.5</v>
      </c>
      <c r="X232" s="307" t="s">
        <v>390</v>
      </c>
      <c r="Y232" s="307" t="s">
        <v>391</v>
      </c>
    </row>
    <row r="233" spans="2:25">
      <c r="B233" s="335" t="s">
        <v>374</v>
      </c>
      <c r="C233" s="335" t="s">
        <v>375</v>
      </c>
      <c r="D233" s="335" t="s">
        <v>821</v>
      </c>
      <c r="E233" s="335" t="s">
        <v>822</v>
      </c>
      <c r="F233" s="335" t="s">
        <v>376</v>
      </c>
      <c r="G233" s="335" t="s">
        <v>8</v>
      </c>
      <c r="H233" s="335" t="s">
        <v>398</v>
      </c>
      <c r="I233" s="335">
        <v>0</v>
      </c>
      <c r="J233" s="335" t="s">
        <v>823</v>
      </c>
      <c r="K233" s="335" t="s">
        <v>1258</v>
      </c>
      <c r="M233" s="335" t="s">
        <v>1293</v>
      </c>
      <c r="N233" s="335" t="s">
        <v>388</v>
      </c>
      <c r="O233" s="335" t="s">
        <v>389</v>
      </c>
      <c r="Q233" s="307" t="e">
        <f ca="1">_xll.BDP(M233&amp;" "&amp;N233&amp;" "&amp;O233,Q$2)</f>
        <v>#NAME?</v>
      </c>
      <c r="R233" s="307" t="e">
        <f ca="1">_xll.BDP(M233&amp;" "&amp;N233&amp;" "&amp;O233,R$2)</f>
        <v>#NAME?</v>
      </c>
      <c r="S233" s="307" t="e">
        <f ca="1">_xll.BDP(M233&amp;" "&amp;N233&amp;" "&amp;O233,S$2)</f>
        <v>#NAME?</v>
      </c>
      <c r="T233" s="307" t="e">
        <f ca="1">_xll.BDP(M233&amp;" "&amp;N233&amp;" "&amp;O233,T$2)</f>
        <v>#NAME?</v>
      </c>
      <c r="V233" s="307" t="s">
        <v>1294</v>
      </c>
      <c r="W233" s="307">
        <v>10.5</v>
      </c>
      <c r="X233" s="307" t="s">
        <v>390</v>
      </c>
      <c r="Y233" s="307" t="s">
        <v>829</v>
      </c>
    </row>
    <row r="234" spans="2:25">
      <c r="B234" s="335" t="s">
        <v>374</v>
      </c>
      <c r="C234" s="335" t="s">
        <v>375</v>
      </c>
      <c r="D234" s="335" t="s">
        <v>821</v>
      </c>
      <c r="E234" s="335" t="s">
        <v>822</v>
      </c>
      <c r="F234" s="335" t="s">
        <v>376</v>
      </c>
      <c r="G234" s="335" t="s">
        <v>8</v>
      </c>
      <c r="H234" s="336" t="s">
        <v>26</v>
      </c>
      <c r="I234" s="335">
        <v>0</v>
      </c>
      <c r="J234" s="335" t="s">
        <v>823</v>
      </c>
      <c r="K234" s="335" t="s">
        <v>1258</v>
      </c>
      <c r="M234" s="335" t="s">
        <v>1295</v>
      </c>
      <c r="N234" s="335" t="s">
        <v>388</v>
      </c>
      <c r="O234" s="335" t="s">
        <v>389</v>
      </c>
      <c r="Q234" s="307" t="e">
        <f ca="1">_xll.BDP(M234&amp;" "&amp;N234&amp;" "&amp;O234,Q$2)</f>
        <v>#NAME?</v>
      </c>
      <c r="R234" s="307" t="e">
        <f ca="1">_xll.BDP(M234&amp;" "&amp;N234&amp;" "&amp;O234,R$2)</f>
        <v>#NAME?</v>
      </c>
      <c r="S234" s="307" t="e">
        <f ca="1">_xll.BDP(M234&amp;" "&amp;N234&amp;" "&amp;O234,S$2)</f>
        <v>#NAME?</v>
      </c>
      <c r="T234" s="307" t="e">
        <f ca="1">_xll.BDP(M234&amp;" "&amp;N234&amp;" "&amp;O234,T$2)</f>
        <v>#NAME?</v>
      </c>
      <c r="V234" s="307" t="s">
        <v>1296</v>
      </c>
      <c r="W234" s="307">
        <v>12</v>
      </c>
      <c r="X234" s="307" t="s">
        <v>390</v>
      </c>
      <c r="Y234" s="307" t="s">
        <v>829</v>
      </c>
    </row>
    <row r="235" spans="2:25">
      <c r="B235" s="335" t="s">
        <v>374</v>
      </c>
      <c r="C235" s="335" t="s">
        <v>375</v>
      </c>
      <c r="D235" s="335" t="s">
        <v>821</v>
      </c>
      <c r="E235" s="335" t="s">
        <v>822</v>
      </c>
      <c r="F235" s="335" t="s">
        <v>376</v>
      </c>
      <c r="G235" s="335" t="s">
        <v>8</v>
      </c>
      <c r="H235" s="336" t="s">
        <v>19</v>
      </c>
      <c r="I235" s="335">
        <v>0</v>
      </c>
      <c r="J235" s="335" t="s">
        <v>823</v>
      </c>
      <c r="K235" s="335" t="s">
        <v>1258</v>
      </c>
      <c r="M235" s="335" t="s">
        <v>1297</v>
      </c>
      <c r="N235" s="335" t="s">
        <v>388</v>
      </c>
      <c r="O235" s="335" t="s">
        <v>389</v>
      </c>
      <c r="Q235" s="307" t="e">
        <f ca="1">_xll.BDP(M235&amp;" "&amp;N235&amp;" "&amp;O235,Q$2)</f>
        <v>#NAME?</v>
      </c>
      <c r="R235" s="307" t="e">
        <f ca="1">_xll.BDP(M235&amp;" "&amp;N235&amp;" "&amp;O235,R$2)</f>
        <v>#NAME?</v>
      </c>
      <c r="S235" s="307" t="e">
        <f ca="1">_xll.BDP(M235&amp;" "&amp;N235&amp;" "&amp;O235,S$2)</f>
        <v>#NAME?</v>
      </c>
      <c r="T235" s="307" t="e">
        <f ca="1">_xll.BDP(M235&amp;" "&amp;N235&amp;" "&amp;O235,T$2)</f>
        <v>#NAME?</v>
      </c>
      <c r="V235" s="307" t="s">
        <v>1298</v>
      </c>
      <c r="W235" s="307">
        <v>22</v>
      </c>
      <c r="X235" s="307" t="s">
        <v>390</v>
      </c>
      <c r="Y235" s="307" t="s">
        <v>829</v>
      </c>
    </row>
    <row r="236" spans="2:25">
      <c r="B236" s="335" t="s">
        <v>374</v>
      </c>
      <c r="C236" s="335" t="s">
        <v>375</v>
      </c>
      <c r="D236" s="335" t="s">
        <v>821</v>
      </c>
      <c r="E236" s="335" t="s">
        <v>822</v>
      </c>
      <c r="F236" s="335" t="s">
        <v>376</v>
      </c>
      <c r="G236" s="335" t="s">
        <v>8</v>
      </c>
      <c r="H236" s="336" t="s">
        <v>412</v>
      </c>
      <c r="I236" s="335">
        <v>0</v>
      </c>
      <c r="J236" s="335" t="s">
        <v>823</v>
      </c>
      <c r="K236" s="335" t="s">
        <v>1258</v>
      </c>
      <c r="M236" s="335" t="s">
        <v>1299</v>
      </c>
      <c r="N236" s="335" t="s">
        <v>388</v>
      </c>
      <c r="O236" s="335" t="s">
        <v>389</v>
      </c>
      <c r="Q236" s="307" t="e">
        <f ca="1">_xll.BDP(M236&amp;" "&amp;N236&amp;" "&amp;O236,Q$2)</f>
        <v>#NAME?</v>
      </c>
      <c r="R236" s="307" t="e">
        <f ca="1">_xll.BDP(M236&amp;" "&amp;N236&amp;" "&amp;O236,R$2)</f>
        <v>#NAME?</v>
      </c>
      <c r="S236" s="307" t="e">
        <f ca="1">_xll.BDP(M236&amp;" "&amp;N236&amp;" "&amp;O236,S$2)</f>
        <v>#NAME?</v>
      </c>
      <c r="T236" s="307" t="e">
        <f ca="1">_xll.BDP(M236&amp;" "&amp;N236&amp;" "&amp;O236,T$2)</f>
        <v>#NAME?</v>
      </c>
      <c r="V236" s="307" t="s">
        <v>1300</v>
      </c>
      <c r="W236" s="307">
        <v>34</v>
      </c>
      <c r="X236" s="307" t="s">
        <v>390</v>
      </c>
      <c r="Y236" s="307" t="s">
        <v>1283</v>
      </c>
    </row>
    <row r="237" spans="2:25">
      <c r="B237" s="335" t="s">
        <v>374</v>
      </c>
      <c r="C237" s="335" t="s">
        <v>375</v>
      </c>
      <c r="D237" s="335" t="s">
        <v>821</v>
      </c>
      <c r="E237" s="335" t="s">
        <v>822</v>
      </c>
      <c r="F237" s="335" t="s">
        <v>376</v>
      </c>
      <c r="G237" s="335" t="s">
        <v>8</v>
      </c>
      <c r="H237" s="336" t="s">
        <v>7</v>
      </c>
      <c r="I237" s="335">
        <v>0</v>
      </c>
      <c r="J237" s="335" t="s">
        <v>823</v>
      </c>
      <c r="K237" s="335" t="s">
        <v>1258</v>
      </c>
      <c r="M237" s="335" t="s">
        <v>1301</v>
      </c>
      <c r="N237" s="335" t="s">
        <v>388</v>
      </c>
      <c r="O237" s="335" t="s">
        <v>389</v>
      </c>
      <c r="Q237" s="307" t="e">
        <f ca="1">_xll.BDP(M237&amp;" "&amp;N237&amp;" "&amp;O237,Q$2)</f>
        <v>#NAME?</v>
      </c>
      <c r="R237" s="307" t="e">
        <f ca="1">_xll.BDP(M237&amp;" "&amp;N237&amp;" "&amp;O237,R$2)</f>
        <v>#NAME?</v>
      </c>
      <c r="S237" s="307" t="e">
        <f ca="1">_xll.BDP(M237&amp;" "&amp;N237&amp;" "&amp;O237,S$2)</f>
        <v>#NAME?</v>
      </c>
      <c r="T237" s="307" t="e">
        <f ca="1">_xll.BDP(M237&amp;" "&amp;N237&amp;" "&amp;O237,T$2)</f>
        <v>#NAME?</v>
      </c>
      <c r="V237" s="307" t="s">
        <v>1302</v>
      </c>
      <c r="W237" s="307">
        <v>46.5</v>
      </c>
      <c r="X237" s="307" t="s">
        <v>390</v>
      </c>
      <c r="Y237" s="307" t="s">
        <v>1303</v>
      </c>
    </row>
    <row r="238" spans="2:25">
      <c r="B238" s="335" t="s">
        <v>374</v>
      </c>
      <c r="C238" s="335" t="s">
        <v>375</v>
      </c>
      <c r="D238" s="335" t="s">
        <v>821</v>
      </c>
      <c r="E238" s="335" t="s">
        <v>822</v>
      </c>
      <c r="F238" s="335" t="s">
        <v>376</v>
      </c>
      <c r="G238" s="335" t="s">
        <v>8</v>
      </c>
      <c r="H238" s="336" t="s">
        <v>154</v>
      </c>
      <c r="I238" s="335">
        <v>0</v>
      </c>
      <c r="J238" s="335" t="s">
        <v>823</v>
      </c>
      <c r="K238" s="335" t="s">
        <v>1258</v>
      </c>
      <c r="M238" s="335" t="s">
        <v>1304</v>
      </c>
      <c r="N238" s="335" t="s">
        <v>388</v>
      </c>
      <c r="O238" s="335" t="s">
        <v>389</v>
      </c>
      <c r="Q238" s="307" t="e">
        <f ca="1">_xll.BDP(M238&amp;" "&amp;N238&amp;" "&amp;O238,Q$2)</f>
        <v>#NAME?</v>
      </c>
      <c r="R238" s="307" t="e">
        <f ca="1">_xll.BDP(M238&amp;" "&amp;N238&amp;" "&amp;O238,R$2)</f>
        <v>#NAME?</v>
      </c>
      <c r="S238" s="307" t="e">
        <f ca="1">_xll.BDP(M238&amp;" "&amp;N238&amp;" "&amp;O238,S$2)</f>
        <v>#NAME?</v>
      </c>
      <c r="T238" s="307" t="e">
        <f ca="1">_xll.BDP(M238&amp;" "&amp;N238&amp;" "&amp;O238,T$2)</f>
        <v>#NAME?</v>
      </c>
      <c r="V238" s="307" t="s">
        <v>1305</v>
      </c>
      <c r="W238" s="307">
        <v>73</v>
      </c>
      <c r="X238" s="307" t="s">
        <v>390</v>
      </c>
      <c r="Y238" s="307" t="s">
        <v>836</v>
      </c>
    </row>
    <row r="239" spans="2:25">
      <c r="B239" s="335" t="s">
        <v>374</v>
      </c>
      <c r="C239" s="335" t="s">
        <v>375</v>
      </c>
      <c r="D239" s="335" t="s">
        <v>821</v>
      </c>
      <c r="E239" s="335" t="s">
        <v>822</v>
      </c>
      <c r="F239" s="335" t="s">
        <v>376</v>
      </c>
      <c r="G239" s="335" t="s">
        <v>8</v>
      </c>
      <c r="H239" s="336" t="s">
        <v>8</v>
      </c>
      <c r="I239" s="335">
        <v>0</v>
      </c>
      <c r="J239" s="335" t="s">
        <v>823</v>
      </c>
      <c r="K239" s="335" t="s">
        <v>1258</v>
      </c>
      <c r="M239" s="335" t="s">
        <v>1306</v>
      </c>
      <c r="N239" s="335" t="s">
        <v>388</v>
      </c>
      <c r="O239" s="335" t="s">
        <v>389</v>
      </c>
      <c r="Q239" s="307" t="e">
        <f ca="1">_xll.BDP(M239&amp;" "&amp;N239&amp;" "&amp;O239,Q$2)</f>
        <v>#NAME?</v>
      </c>
      <c r="R239" s="307" t="e">
        <f ca="1">_xll.BDP(M239&amp;" "&amp;N239&amp;" "&amp;O239,R$2)</f>
        <v>#NAME?</v>
      </c>
      <c r="S239" s="307" t="e">
        <f ca="1">_xll.BDP(M239&amp;" "&amp;N239&amp;" "&amp;O239,S$2)</f>
        <v>#NAME?</v>
      </c>
      <c r="T239" s="307" t="e">
        <f ca="1">_xll.BDP(M239&amp;" "&amp;N239&amp;" "&amp;O239,T$2)</f>
        <v>#NAME?</v>
      </c>
      <c r="V239" s="307" t="s">
        <v>1307</v>
      </c>
      <c r="W239" s="307">
        <v>101</v>
      </c>
      <c r="X239" s="307" t="s">
        <v>390</v>
      </c>
      <c r="Y239" s="307" t="s">
        <v>829</v>
      </c>
    </row>
    <row r="240" spans="2:25">
      <c r="B240" s="335" t="s">
        <v>374</v>
      </c>
      <c r="C240" s="335" t="s">
        <v>375</v>
      </c>
      <c r="D240" s="335" t="s">
        <v>821</v>
      </c>
      <c r="E240" s="335" t="s">
        <v>822</v>
      </c>
      <c r="F240" s="335" t="s">
        <v>376</v>
      </c>
      <c r="G240" s="335" t="s">
        <v>8</v>
      </c>
      <c r="H240" s="336" t="s">
        <v>9</v>
      </c>
      <c r="I240" s="335">
        <v>0</v>
      </c>
      <c r="J240" s="335" t="s">
        <v>823</v>
      </c>
      <c r="K240" s="335" t="s">
        <v>1258</v>
      </c>
      <c r="M240" s="335" t="s">
        <v>1308</v>
      </c>
      <c r="N240" s="335" t="s">
        <v>388</v>
      </c>
      <c r="O240" s="335" t="s">
        <v>389</v>
      </c>
      <c r="Q240" s="307" t="e">
        <f ca="1">_xll.BDP(M240&amp;" "&amp;N240&amp;" "&amp;O240,Q$2)</f>
        <v>#NAME?</v>
      </c>
      <c r="R240" s="307" t="e">
        <f ca="1">_xll.BDP(M240&amp;" "&amp;N240&amp;" "&amp;O240,R$2)</f>
        <v>#NAME?</v>
      </c>
      <c r="S240" s="307" t="e">
        <f ca="1">_xll.BDP(M240&amp;" "&amp;N240&amp;" "&amp;O240,S$2)</f>
        <v>#NAME?</v>
      </c>
      <c r="T240" s="307" t="e">
        <f ca="1">_xll.BDP(M240&amp;" "&amp;N240&amp;" "&amp;O240,T$2)</f>
        <v>#NAME?</v>
      </c>
      <c r="V240" s="307" t="s">
        <v>1309</v>
      </c>
      <c r="W240" s="307">
        <v>157</v>
      </c>
      <c r="X240" s="307" t="s">
        <v>390</v>
      </c>
      <c r="Y240" s="307" t="s">
        <v>829</v>
      </c>
    </row>
    <row r="241" spans="2:25">
      <c r="B241" s="335" t="s">
        <v>374</v>
      </c>
      <c r="C241" s="335" t="s">
        <v>375</v>
      </c>
      <c r="D241" s="335" t="s">
        <v>821</v>
      </c>
      <c r="E241" s="335" t="s">
        <v>822</v>
      </c>
      <c r="F241" s="335" t="s">
        <v>376</v>
      </c>
      <c r="G241" s="335" t="s">
        <v>8</v>
      </c>
      <c r="H241" s="336" t="s">
        <v>10</v>
      </c>
      <c r="I241" s="335">
        <v>0</v>
      </c>
      <c r="J241" s="335" t="s">
        <v>823</v>
      </c>
      <c r="K241" s="335" t="s">
        <v>1258</v>
      </c>
      <c r="M241" s="335" t="s">
        <v>1310</v>
      </c>
      <c r="N241" s="335" t="s">
        <v>388</v>
      </c>
      <c r="O241" s="335" t="s">
        <v>389</v>
      </c>
      <c r="Q241" s="307" t="e">
        <f ca="1">_xll.BDP(M241&amp;" "&amp;N241&amp;" "&amp;O241,Q$2)</f>
        <v>#NAME?</v>
      </c>
      <c r="R241" s="307" t="e">
        <f ca="1">_xll.BDP(M241&amp;" "&amp;N241&amp;" "&amp;O241,R$2)</f>
        <v>#NAME?</v>
      </c>
      <c r="S241" s="307" t="e">
        <f ca="1">_xll.BDP(M241&amp;" "&amp;N241&amp;" "&amp;O241,S$2)</f>
        <v>#NAME?</v>
      </c>
      <c r="T241" s="307" t="e">
        <f ca="1">_xll.BDP(M241&amp;" "&amp;N241&amp;" "&amp;O241,T$2)</f>
        <v>#NAME?</v>
      </c>
      <c r="V241" s="307" t="s">
        <v>1311</v>
      </c>
      <c r="W241" s="307">
        <v>206</v>
      </c>
      <c r="X241" s="307" t="s">
        <v>390</v>
      </c>
      <c r="Y241" s="307" t="s">
        <v>847</v>
      </c>
    </row>
    <row r="242" spans="2:25">
      <c r="B242" s="335" t="s">
        <v>374</v>
      </c>
      <c r="C242" s="335" t="s">
        <v>375</v>
      </c>
      <c r="D242" s="335" t="s">
        <v>821</v>
      </c>
      <c r="E242" s="335" t="s">
        <v>822</v>
      </c>
      <c r="F242" s="335" t="s">
        <v>376</v>
      </c>
      <c r="G242" s="335" t="s">
        <v>8</v>
      </c>
      <c r="H242" s="336" t="s">
        <v>11</v>
      </c>
      <c r="I242" s="335">
        <v>0</v>
      </c>
      <c r="J242" s="335" t="s">
        <v>823</v>
      </c>
      <c r="K242" s="335" t="s">
        <v>1258</v>
      </c>
      <c r="M242" s="335" t="s">
        <v>1312</v>
      </c>
      <c r="N242" s="335" t="s">
        <v>388</v>
      </c>
      <c r="O242" s="335" t="s">
        <v>389</v>
      </c>
      <c r="Q242" s="307" t="e">
        <f ca="1">_xll.BDP(M242&amp;" "&amp;N242&amp;" "&amp;O242,Q$2)</f>
        <v>#NAME?</v>
      </c>
      <c r="R242" s="307" t="e">
        <f ca="1">_xll.BDP(M242&amp;" "&amp;N242&amp;" "&amp;O242,R$2)</f>
        <v>#NAME?</v>
      </c>
      <c r="S242" s="307" t="e">
        <f ca="1">_xll.BDP(M242&amp;" "&amp;N242&amp;" "&amp;O242,S$2)</f>
        <v>#NAME?</v>
      </c>
      <c r="T242" s="307" t="e">
        <f ca="1">_xll.BDP(M242&amp;" "&amp;N242&amp;" "&amp;O242,T$2)</f>
        <v>#NAME?</v>
      </c>
      <c r="V242" s="307" t="s">
        <v>1313</v>
      </c>
      <c r="W242" s="307">
        <v>245</v>
      </c>
      <c r="X242" s="307" t="s">
        <v>390</v>
      </c>
      <c r="Y242" s="307" t="s">
        <v>829</v>
      </c>
    </row>
    <row r="243" spans="2:25">
      <c r="B243" s="335" t="s">
        <v>374</v>
      </c>
      <c r="C243" s="335" t="s">
        <v>375</v>
      </c>
      <c r="D243" s="335" t="s">
        <v>821</v>
      </c>
      <c r="E243" s="335" t="s">
        <v>822</v>
      </c>
      <c r="F243" s="335" t="s">
        <v>376</v>
      </c>
      <c r="G243" s="335" t="s">
        <v>8</v>
      </c>
      <c r="H243" s="336" t="s">
        <v>13</v>
      </c>
      <c r="I243" s="335">
        <v>0</v>
      </c>
      <c r="J243" s="335" t="s">
        <v>823</v>
      </c>
      <c r="K243" s="335" t="s">
        <v>1258</v>
      </c>
      <c r="M243" s="335" t="s">
        <v>1314</v>
      </c>
      <c r="N243" s="335" t="s">
        <v>388</v>
      </c>
      <c r="O243" s="335" t="s">
        <v>389</v>
      </c>
      <c r="Q243" s="307" t="e">
        <f ca="1">_xll.BDP(M243&amp;" "&amp;N243&amp;" "&amp;O243,Q$2)</f>
        <v>#NAME?</v>
      </c>
      <c r="R243" s="307" t="e">
        <f ca="1">_xll.BDP(M243&amp;" "&amp;N243&amp;" "&amp;O243,R$2)</f>
        <v>#NAME?</v>
      </c>
      <c r="S243" s="307" t="e">
        <f ca="1">_xll.BDP(M243&amp;" "&amp;N243&amp;" "&amp;O243,S$2)</f>
        <v>#NAME?</v>
      </c>
      <c r="T243" s="307" t="e">
        <f ca="1">_xll.BDP(M243&amp;" "&amp;N243&amp;" "&amp;O243,T$2)</f>
        <v>#NAME?</v>
      </c>
      <c r="V243" s="307" t="s">
        <v>1315</v>
      </c>
      <c r="W243" s="307">
        <v>299</v>
      </c>
      <c r="X243" s="307" t="s">
        <v>390</v>
      </c>
      <c r="Y243" s="307" t="s">
        <v>847</v>
      </c>
    </row>
    <row r="244" spans="2:25">
      <c r="B244" s="335" t="s">
        <v>374</v>
      </c>
      <c r="C244" s="335" t="s">
        <v>375</v>
      </c>
      <c r="D244" s="335" t="s">
        <v>821</v>
      </c>
      <c r="E244" s="335" t="s">
        <v>822</v>
      </c>
      <c r="F244" s="335" t="s">
        <v>376</v>
      </c>
      <c r="G244" s="335" t="s">
        <v>8</v>
      </c>
      <c r="H244" s="336" t="s">
        <v>16</v>
      </c>
      <c r="I244" s="335">
        <v>0</v>
      </c>
      <c r="J244" s="335" t="s">
        <v>823</v>
      </c>
      <c r="K244" s="335" t="s">
        <v>1258</v>
      </c>
      <c r="M244" s="335" t="s">
        <v>1316</v>
      </c>
      <c r="N244" s="335" t="s">
        <v>388</v>
      </c>
      <c r="O244" s="335" t="s">
        <v>389</v>
      </c>
      <c r="Q244" s="307" t="e">
        <f ca="1">_xll.BDP(M244&amp;" "&amp;N244&amp;" "&amp;O244,Q$2)</f>
        <v>#NAME?</v>
      </c>
      <c r="R244" s="307" t="e">
        <f ca="1">_xll.BDP(M244&amp;" "&amp;N244&amp;" "&amp;O244,R$2)</f>
        <v>#NAME?</v>
      </c>
      <c r="S244" s="307" t="e">
        <f ca="1">_xll.BDP(M244&amp;" "&amp;N244&amp;" "&amp;O244,S$2)</f>
        <v>#NAME?</v>
      </c>
      <c r="T244" s="307" t="e">
        <f ca="1">_xll.BDP(M244&amp;" "&amp;N244&amp;" "&amp;O244,T$2)</f>
        <v>#NAME?</v>
      </c>
      <c r="V244" s="307" t="s">
        <v>1317</v>
      </c>
      <c r="W244" s="307">
        <v>359</v>
      </c>
      <c r="X244" s="307" t="s">
        <v>390</v>
      </c>
      <c r="Y244" s="307" t="s">
        <v>391</v>
      </c>
    </row>
    <row r="245" spans="2:25">
      <c r="B245" s="335" t="s">
        <v>374</v>
      </c>
      <c r="C245" s="335" t="s">
        <v>375</v>
      </c>
      <c r="D245" s="335" t="s">
        <v>821</v>
      </c>
      <c r="E245" s="335" t="s">
        <v>822</v>
      </c>
      <c r="F245" s="335" t="s">
        <v>376</v>
      </c>
      <c r="G245" s="335" t="s">
        <v>8</v>
      </c>
      <c r="H245" s="336" t="s">
        <v>17</v>
      </c>
      <c r="I245" s="335">
        <v>0</v>
      </c>
      <c r="J245" s="335" t="s">
        <v>823</v>
      </c>
      <c r="K245" s="335" t="s">
        <v>1258</v>
      </c>
      <c r="M245" s="335" t="s">
        <v>1318</v>
      </c>
      <c r="N245" s="335" t="s">
        <v>388</v>
      </c>
      <c r="O245" s="335" t="s">
        <v>389</v>
      </c>
      <c r="Q245" s="307" t="e">
        <f ca="1">_xll.BDP(M245&amp;" "&amp;N245&amp;" "&amp;O245,Q$2)</f>
        <v>#NAME?</v>
      </c>
      <c r="R245" s="307" t="e">
        <f ca="1">_xll.BDP(M245&amp;" "&amp;N245&amp;" "&amp;O245,R$2)</f>
        <v>#NAME?</v>
      </c>
      <c r="S245" s="307" t="e">
        <f ca="1">_xll.BDP(M245&amp;" "&amp;N245&amp;" "&amp;O245,S$2)</f>
        <v>#NAME?</v>
      </c>
      <c r="T245" s="307" t="e">
        <f ca="1">_xll.BDP(M245&amp;" "&amp;N245&amp;" "&amp;O245,T$2)</f>
        <v>#NAME?</v>
      </c>
      <c r="V245" s="307" t="s">
        <v>1319</v>
      </c>
      <c r="W245" s="307">
        <v>424</v>
      </c>
      <c r="X245" s="307" t="s">
        <v>390</v>
      </c>
      <c r="Y245" s="307" t="s">
        <v>1320</v>
      </c>
    </row>
    <row r="246" spans="2:25">
      <c r="B246" s="335" t="s">
        <v>374</v>
      </c>
      <c r="C246" s="335" t="s">
        <v>375</v>
      </c>
      <c r="D246" s="335" t="s">
        <v>821</v>
      </c>
      <c r="E246" s="335" t="s">
        <v>822</v>
      </c>
      <c r="F246" s="335" t="s">
        <v>376</v>
      </c>
      <c r="G246" s="335" t="s">
        <v>8</v>
      </c>
      <c r="H246" s="336" t="s">
        <v>104</v>
      </c>
      <c r="I246" s="335">
        <v>0</v>
      </c>
      <c r="J246" s="335" t="s">
        <v>823</v>
      </c>
      <c r="K246" s="335" t="s">
        <v>1258</v>
      </c>
      <c r="M246" s="335" t="s">
        <v>1321</v>
      </c>
      <c r="N246" s="335" t="s">
        <v>388</v>
      </c>
      <c r="O246" s="335" t="s">
        <v>389</v>
      </c>
      <c r="Q246" s="307" t="e">
        <f ca="1">_xll.BDP(M246&amp;" "&amp;N246&amp;" "&amp;O246,Q$2)</f>
        <v>#NAME?</v>
      </c>
      <c r="R246" s="307" t="e">
        <f ca="1">_xll.BDP(M246&amp;" "&amp;N246&amp;" "&amp;O246,R$2)</f>
        <v>#NAME?</v>
      </c>
      <c r="S246" s="307" t="e">
        <f ca="1">_xll.BDP(M246&amp;" "&amp;N246&amp;" "&amp;O246,S$2)</f>
        <v>#NAME?</v>
      </c>
      <c r="T246" s="307" t="e">
        <f ca="1">_xll.BDP(M246&amp;" "&amp;N246&amp;" "&amp;O246,T$2)</f>
        <v>#NAME?</v>
      </c>
      <c r="V246" s="307" t="s">
        <v>1322</v>
      </c>
      <c r="W246" s="307">
        <v>470</v>
      </c>
      <c r="X246" s="307" t="s">
        <v>390</v>
      </c>
      <c r="Y246" s="307" t="s">
        <v>829</v>
      </c>
    </row>
    <row r="247" spans="2:25">
      <c r="B247" s="335" t="s">
        <v>374</v>
      </c>
      <c r="C247" s="335" t="s">
        <v>375</v>
      </c>
      <c r="D247" s="335" t="s">
        <v>821</v>
      </c>
      <c r="E247" s="335" t="s">
        <v>822</v>
      </c>
      <c r="F247" s="335" t="s">
        <v>376</v>
      </c>
      <c r="G247" s="335" t="s">
        <v>9</v>
      </c>
      <c r="H247" s="335" t="s">
        <v>23</v>
      </c>
      <c r="I247" s="335">
        <v>0</v>
      </c>
      <c r="J247" s="335" t="s">
        <v>823</v>
      </c>
      <c r="K247" s="335" t="s">
        <v>1258</v>
      </c>
      <c r="M247" s="335" t="s">
        <v>1323</v>
      </c>
      <c r="N247" s="335" t="s">
        <v>388</v>
      </c>
      <c r="O247" s="335" t="s">
        <v>389</v>
      </c>
      <c r="Q247" s="307" t="e">
        <f ca="1">_xll.BDP(M247&amp;" "&amp;N247&amp;" "&amp;O247,Q$2)</f>
        <v>#NAME?</v>
      </c>
      <c r="R247" s="307" t="e">
        <f ca="1">_xll.BDP(M247&amp;" "&amp;N247&amp;" "&amp;O247,R$2)</f>
        <v>#NAME?</v>
      </c>
      <c r="S247" s="307" t="e">
        <f ca="1">_xll.BDP(M247&amp;" "&amp;N247&amp;" "&amp;O247,S$2)</f>
        <v>#NAME?</v>
      </c>
      <c r="T247" s="307" t="e">
        <f ca="1">_xll.BDP(M247&amp;" "&amp;N247&amp;" "&amp;O247,T$2)</f>
        <v>#NAME?</v>
      </c>
      <c r="V247" s="307" t="s">
        <v>1324</v>
      </c>
      <c r="W247" s="307">
        <v>14</v>
      </c>
      <c r="X247" s="307" t="s">
        <v>390</v>
      </c>
      <c r="Y247" s="307" t="s">
        <v>391</v>
      </c>
    </row>
    <row r="248" spans="2:25">
      <c r="B248" s="335" t="s">
        <v>374</v>
      </c>
      <c r="C248" s="335" t="s">
        <v>375</v>
      </c>
      <c r="D248" s="335" t="s">
        <v>821</v>
      </c>
      <c r="E248" s="335" t="s">
        <v>822</v>
      </c>
      <c r="F248" s="335" t="s">
        <v>376</v>
      </c>
      <c r="G248" s="335" t="s">
        <v>9</v>
      </c>
      <c r="H248" s="335" t="s">
        <v>398</v>
      </c>
      <c r="I248" s="335">
        <v>0</v>
      </c>
      <c r="J248" s="335" t="s">
        <v>823</v>
      </c>
      <c r="K248" s="335" t="s">
        <v>1258</v>
      </c>
      <c r="M248" s="335" t="s">
        <v>1325</v>
      </c>
      <c r="N248" s="335" t="s">
        <v>388</v>
      </c>
      <c r="O248" s="335" t="s">
        <v>389</v>
      </c>
      <c r="Q248" s="307" t="e">
        <f ca="1">_xll.BDP(M248&amp;" "&amp;N248&amp;" "&amp;O248,Q$2)</f>
        <v>#NAME?</v>
      </c>
      <c r="R248" s="307" t="e">
        <f ca="1">_xll.BDP(M248&amp;" "&amp;N248&amp;" "&amp;O248,R$2)</f>
        <v>#NAME?</v>
      </c>
      <c r="S248" s="307" t="e">
        <f ca="1">_xll.BDP(M248&amp;" "&amp;N248&amp;" "&amp;O248,S$2)</f>
        <v>#NAME?</v>
      </c>
      <c r="T248" s="307" t="e">
        <f ca="1">_xll.BDP(M248&amp;" "&amp;N248&amp;" "&amp;O248,T$2)</f>
        <v>#NAME?</v>
      </c>
      <c r="V248" s="307" t="s">
        <v>1326</v>
      </c>
      <c r="W248" s="307">
        <v>21</v>
      </c>
      <c r="X248" s="307" t="s">
        <v>390</v>
      </c>
      <c r="Y248" s="307" t="s">
        <v>826</v>
      </c>
    </row>
    <row r="249" spans="2:25">
      <c r="B249" s="335" t="s">
        <v>374</v>
      </c>
      <c r="C249" s="335" t="s">
        <v>375</v>
      </c>
      <c r="D249" s="335" t="s">
        <v>821</v>
      </c>
      <c r="E249" s="335" t="s">
        <v>822</v>
      </c>
      <c r="F249" s="335" t="s">
        <v>376</v>
      </c>
      <c r="G249" s="335" t="s">
        <v>9</v>
      </c>
      <c r="H249" s="336" t="s">
        <v>26</v>
      </c>
      <c r="I249" s="335">
        <v>0</v>
      </c>
      <c r="J249" s="335" t="s">
        <v>823</v>
      </c>
      <c r="K249" s="335" t="s">
        <v>1258</v>
      </c>
      <c r="M249" s="335" t="s">
        <v>1327</v>
      </c>
      <c r="N249" s="335" t="s">
        <v>388</v>
      </c>
      <c r="O249" s="335" t="s">
        <v>389</v>
      </c>
      <c r="Q249" s="307" t="e">
        <f ca="1">_xll.BDP(M249&amp;" "&amp;N249&amp;" "&amp;O249,Q$2)</f>
        <v>#NAME?</v>
      </c>
      <c r="R249" s="307" t="e">
        <f ca="1">_xll.BDP(M249&amp;" "&amp;N249&amp;" "&amp;O249,R$2)</f>
        <v>#NAME?</v>
      </c>
      <c r="S249" s="307" t="e">
        <f ca="1">_xll.BDP(M249&amp;" "&amp;N249&amp;" "&amp;O249,S$2)</f>
        <v>#NAME?</v>
      </c>
      <c r="T249" s="307" t="e">
        <f ca="1">_xll.BDP(M249&amp;" "&amp;N249&amp;" "&amp;O249,T$2)</f>
        <v>#NAME?</v>
      </c>
      <c r="V249" s="307" t="s">
        <v>1328</v>
      </c>
      <c r="W249" s="307">
        <v>25.5</v>
      </c>
      <c r="X249" s="307" t="s">
        <v>390</v>
      </c>
      <c r="Y249" s="307" t="s">
        <v>836</v>
      </c>
    </row>
    <row r="250" spans="2:25">
      <c r="B250" s="335" t="s">
        <v>374</v>
      </c>
      <c r="C250" s="335" t="s">
        <v>375</v>
      </c>
      <c r="D250" s="335" t="s">
        <v>821</v>
      </c>
      <c r="E250" s="335" t="s">
        <v>822</v>
      </c>
      <c r="F250" s="335" t="s">
        <v>376</v>
      </c>
      <c r="G250" s="335" t="s">
        <v>9</v>
      </c>
      <c r="H250" s="336" t="s">
        <v>19</v>
      </c>
      <c r="I250" s="335">
        <v>0</v>
      </c>
      <c r="J250" s="335" t="s">
        <v>823</v>
      </c>
      <c r="K250" s="335" t="s">
        <v>1258</v>
      </c>
      <c r="M250" s="335" t="s">
        <v>1329</v>
      </c>
      <c r="N250" s="335" t="s">
        <v>388</v>
      </c>
      <c r="O250" s="335" t="s">
        <v>389</v>
      </c>
      <c r="Q250" s="307" t="e">
        <f ca="1">_xll.BDP(M250&amp;" "&amp;N250&amp;" "&amp;O250,Q$2)</f>
        <v>#NAME?</v>
      </c>
      <c r="R250" s="307" t="e">
        <f ca="1">_xll.BDP(M250&amp;" "&amp;N250&amp;" "&amp;O250,R$2)</f>
        <v>#NAME?</v>
      </c>
      <c r="S250" s="307" t="e">
        <f ca="1">_xll.BDP(M250&amp;" "&amp;N250&amp;" "&amp;O250,S$2)</f>
        <v>#NAME?</v>
      </c>
      <c r="T250" s="307" t="e">
        <f ca="1">_xll.BDP(M250&amp;" "&amp;N250&amp;" "&amp;O250,T$2)</f>
        <v>#NAME?</v>
      </c>
      <c r="V250" s="307" t="s">
        <v>1330</v>
      </c>
      <c r="W250" s="307">
        <v>44.5</v>
      </c>
      <c r="X250" s="307" t="s">
        <v>390</v>
      </c>
      <c r="Y250" s="307" t="s">
        <v>893</v>
      </c>
    </row>
    <row r="251" spans="2:25">
      <c r="B251" s="335" t="s">
        <v>374</v>
      </c>
      <c r="C251" s="335" t="s">
        <v>375</v>
      </c>
      <c r="D251" s="335" t="s">
        <v>821</v>
      </c>
      <c r="E251" s="335" t="s">
        <v>822</v>
      </c>
      <c r="F251" s="335" t="s">
        <v>376</v>
      </c>
      <c r="G251" s="335" t="s">
        <v>9</v>
      </c>
      <c r="H251" s="336" t="s">
        <v>412</v>
      </c>
      <c r="I251" s="335">
        <v>0</v>
      </c>
      <c r="J251" s="335" t="s">
        <v>823</v>
      </c>
      <c r="K251" s="335" t="s">
        <v>1258</v>
      </c>
      <c r="M251" s="335" t="s">
        <v>1331</v>
      </c>
      <c r="N251" s="335" t="s">
        <v>388</v>
      </c>
      <c r="O251" s="335" t="s">
        <v>389</v>
      </c>
      <c r="Q251" s="307" t="e">
        <f ca="1">_xll.BDP(M251&amp;" "&amp;N251&amp;" "&amp;O251,Q$2)</f>
        <v>#NAME?</v>
      </c>
      <c r="R251" s="307" t="e">
        <f ca="1">_xll.BDP(M251&amp;" "&amp;N251&amp;" "&amp;O251,R$2)</f>
        <v>#NAME?</v>
      </c>
      <c r="S251" s="307" t="e">
        <f ca="1">_xll.BDP(M251&amp;" "&amp;N251&amp;" "&amp;O251,S$2)</f>
        <v>#NAME?</v>
      </c>
      <c r="T251" s="307" t="e">
        <f ca="1">_xll.BDP(M251&amp;" "&amp;N251&amp;" "&amp;O251,T$2)</f>
        <v>#NAME?</v>
      </c>
      <c r="V251" s="307" t="s">
        <v>1332</v>
      </c>
      <c r="W251" s="307">
        <v>63.5</v>
      </c>
      <c r="X251" s="307" t="s">
        <v>390</v>
      </c>
      <c r="Y251" s="307" t="s">
        <v>836</v>
      </c>
    </row>
    <row r="252" spans="2:25">
      <c r="B252" s="335" t="s">
        <v>374</v>
      </c>
      <c r="C252" s="335" t="s">
        <v>375</v>
      </c>
      <c r="D252" s="335" t="s">
        <v>821</v>
      </c>
      <c r="E252" s="335" t="s">
        <v>822</v>
      </c>
      <c r="F252" s="335" t="s">
        <v>376</v>
      </c>
      <c r="G252" s="335" t="s">
        <v>9</v>
      </c>
      <c r="H252" s="336" t="s">
        <v>7</v>
      </c>
      <c r="I252" s="335">
        <v>0</v>
      </c>
      <c r="J252" s="335" t="s">
        <v>823</v>
      </c>
      <c r="K252" s="335" t="s">
        <v>1258</v>
      </c>
      <c r="M252" s="335" t="s">
        <v>1333</v>
      </c>
      <c r="N252" s="335" t="s">
        <v>388</v>
      </c>
      <c r="O252" s="335" t="s">
        <v>389</v>
      </c>
      <c r="Q252" s="307" t="e">
        <f ca="1">_xll.BDP(M252&amp;" "&amp;N252&amp;" "&amp;O252,Q$2)</f>
        <v>#NAME?</v>
      </c>
      <c r="R252" s="307" t="e">
        <f ca="1">_xll.BDP(M252&amp;" "&amp;N252&amp;" "&amp;O252,R$2)</f>
        <v>#NAME?</v>
      </c>
      <c r="S252" s="307" t="e">
        <f ca="1">_xll.BDP(M252&amp;" "&amp;N252&amp;" "&amp;O252,S$2)</f>
        <v>#NAME?</v>
      </c>
      <c r="T252" s="307" t="e">
        <f ca="1">_xll.BDP(M252&amp;" "&amp;N252&amp;" "&amp;O252,T$2)</f>
        <v>#NAME?</v>
      </c>
      <c r="V252" s="307" t="s">
        <v>1334</v>
      </c>
      <c r="W252" s="307">
        <v>83.5</v>
      </c>
      <c r="X252" s="307" t="s">
        <v>390</v>
      </c>
      <c r="Y252" s="307" t="s">
        <v>836</v>
      </c>
    </row>
    <row r="253" spans="2:25">
      <c r="B253" s="335" t="s">
        <v>374</v>
      </c>
      <c r="C253" s="335" t="s">
        <v>375</v>
      </c>
      <c r="D253" s="335" t="s">
        <v>821</v>
      </c>
      <c r="E253" s="335" t="s">
        <v>822</v>
      </c>
      <c r="F253" s="335" t="s">
        <v>376</v>
      </c>
      <c r="G253" s="335" t="s">
        <v>9</v>
      </c>
      <c r="H253" s="336" t="s">
        <v>154</v>
      </c>
      <c r="I253" s="335">
        <v>0</v>
      </c>
      <c r="J253" s="335" t="s">
        <v>823</v>
      </c>
      <c r="K253" s="335" t="s">
        <v>1258</v>
      </c>
      <c r="M253" s="335" t="s">
        <v>1335</v>
      </c>
      <c r="N253" s="335" t="s">
        <v>388</v>
      </c>
      <c r="O253" s="335" t="s">
        <v>389</v>
      </c>
      <c r="Q253" s="307" t="e">
        <f ca="1">_xll.BDP(M253&amp;" "&amp;N253&amp;" "&amp;O253,Q$2)</f>
        <v>#NAME?</v>
      </c>
      <c r="R253" s="307" t="e">
        <f ca="1">_xll.BDP(M253&amp;" "&amp;N253&amp;" "&amp;O253,R$2)</f>
        <v>#NAME?</v>
      </c>
      <c r="S253" s="307" t="e">
        <f ca="1">_xll.BDP(M253&amp;" "&amp;N253&amp;" "&amp;O253,S$2)</f>
        <v>#NAME?</v>
      </c>
      <c r="T253" s="307" t="e">
        <f ca="1">_xll.BDP(M253&amp;" "&amp;N253&amp;" "&amp;O253,T$2)</f>
        <v>#NAME?</v>
      </c>
      <c r="V253" s="307" t="s">
        <v>1336</v>
      </c>
      <c r="W253" s="307">
        <v>126</v>
      </c>
      <c r="X253" s="307" t="s">
        <v>390</v>
      </c>
      <c r="Y253" s="307" t="s">
        <v>391</v>
      </c>
    </row>
    <row r="254" spans="2:25">
      <c r="B254" s="335" t="s">
        <v>374</v>
      </c>
      <c r="C254" s="335" t="s">
        <v>375</v>
      </c>
      <c r="D254" s="335" t="s">
        <v>821</v>
      </c>
      <c r="E254" s="335" t="s">
        <v>822</v>
      </c>
      <c r="F254" s="335" t="s">
        <v>376</v>
      </c>
      <c r="G254" s="335" t="s">
        <v>9</v>
      </c>
      <c r="H254" s="336" t="s">
        <v>8</v>
      </c>
      <c r="I254" s="335">
        <v>0</v>
      </c>
      <c r="J254" s="335" t="s">
        <v>823</v>
      </c>
      <c r="K254" s="335" t="s">
        <v>1258</v>
      </c>
      <c r="M254" s="335" t="s">
        <v>1337</v>
      </c>
      <c r="N254" s="335" t="s">
        <v>388</v>
      </c>
      <c r="O254" s="335" t="s">
        <v>389</v>
      </c>
      <c r="Q254" s="307" t="e">
        <f ca="1">_xll.BDP(M254&amp;" "&amp;N254&amp;" "&amp;O254,Q$2)</f>
        <v>#NAME?</v>
      </c>
      <c r="R254" s="307" t="e">
        <f ca="1">_xll.BDP(M254&amp;" "&amp;N254&amp;" "&amp;O254,R$2)</f>
        <v>#NAME?</v>
      </c>
      <c r="S254" s="307" t="e">
        <f ca="1">_xll.BDP(M254&amp;" "&amp;N254&amp;" "&amp;O254,S$2)</f>
        <v>#NAME?</v>
      </c>
      <c r="T254" s="307" t="e">
        <f ca="1">_xll.BDP(M254&amp;" "&amp;N254&amp;" "&amp;O254,T$2)</f>
        <v>#NAME?</v>
      </c>
      <c r="V254" s="307" t="s">
        <v>1338</v>
      </c>
      <c r="W254" s="307">
        <v>168</v>
      </c>
      <c r="X254" s="307" t="s">
        <v>390</v>
      </c>
      <c r="Y254" s="307" t="s">
        <v>836</v>
      </c>
    </row>
    <row r="255" spans="2:25">
      <c r="B255" s="335" t="s">
        <v>374</v>
      </c>
      <c r="C255" s="335" t="s">
        <v>375</v>
      </c>
      <c r="D255" s="335" t="s">
        <v>821</v>
      </c>
      <c r="E255" s="335" t="s">
        <v>822</v>
      </c>
      <c r="F255" s="335" t="s">
        <v>376</v>
      </c>
      <c r="G255" s="335" t="s">
        <v>9</v>
      </c>
      <c r="H255" s="336" t="s">
        <v>9</v>
      </c>
      <c r="I255" s="335">
        <v>0</v>
      </c>
      <c r="J255" s="335" t="s">
        <v>823</v>
      </c>
      <c r="K255" s="335" t="s">
        <v>1258</v>
      </c>
      <c r="M255" s="335" t="s">
        <v>1339</v>
      </c>
      <c r="N255" s="335" t="s">
        <v>388</v>
      </c>
      <c r="O255" s="335" t="s">
        <v>389</v>
      </c>
      <c r="Q255" s="307" t="e">
        <f ca="1">_xll.BDP(M255&amp;" "&amp;N255&amp;" "&amp;O255,Q$2)</f>
        <v>#NAME?</v>
      </c>
      <c r="R255" s="307" t="e">
        <f ca="1">_xll.BDP(M255&amp;" "&amp;N255&amp;" "&amp;O255,R$2)</f>
        <v>#NAME?</v>
      </c>
      <c r="S255" s="307" t="e">
        <f ca="1">_xll.BDP(M255&amp;" "&amp;N255&amp;" "&amp;O255,S$2)</f>
        <v>#NAME?</v>
      </c>
      <c r="T255" s="307" t="e">
        <f ca="1">_xll.BDP(M255&amp;" "&amp;N255&amp;" "&amp;O255,T$2)</f>
        <v>#NAME?</v>
      </c>
      <c r="V255" s="307" t="s">
        <v>1340</v>
      </c>
      <c r="W255" s="307">
        <v>248</v>
      </c>
      <c r="X255" s="307" t="s">
        <v>390</v>
      </c>
      <c r="Y255" s="307" t="s">
        <v>847</v>
      </c>
    </row>
    <row r="256" spans="2:25">
      <c r="B256" s="335" t="s">
        <v>374</v>
      </c>
      <c r="C256" s="335" t="s">
        <v>375</v>
      </c>
      <c r="D256" s="335" t="s">
        <v>821</v>
      </c>
      <c r="E256" s="335" t="s">
        <v>822</v>
      </c>
      <c r="F256" s="335" t="s">
        <v>376</v>
      </c>
      <c r="G256" s="335" t="s">
        <v>9</v>
      </c>
      <c r="H256" s="336" t="s">
        <v>10</v>
      </c>
      <c r="I256" s="335">
        <v>0</v>
      </c>
      <c r="J256" s="335" t="s">
        <v>823</v>
      </c>
      <c r="K256" s="335" t="s">
        <v>1258</v>
      </c>
      <c r="M256" s="335" t="s">
        <v>1341</v>
      </c>
      <c r="N256" s="335" t="s">
        <v>388</v>
      </c>
      <c r="O256" s="335" t="s">
        <v>389</v>
      </c>
      <c r="Q256" s="307" t="e">
        <f ca="1">_xll.BDP(M256&amp;" "&amp;N256&amp;" "&amp;O256,Q$2)</f>
        <v>#NAME?</v>
      </c>
      <c r="R256" s="307" t="e">
        <f ca="1">_xll.BDP(M256&amp;" "&amp;N256&amp;" "&amp;O256,R$2)</f>
        <v>#NAME?</v>
      </c>
      <c r="S256" s="307" t="e">
        <f ca="1">_xll.BDP(M256&amp;" "&amp;N256&amp;" "&amp;O256,S$2)</f>
        <v>#NAME?</v>
      </c>
      <c r="T256" s="307" t="e">
        <f ca="1">_xll.BDP(M256&amp;" "&amp;N256&amp;" "&amp;O256,T$2)</f>
        <v>#NAME?</v>
      </c>
      <c r="V256" s="307" t="s">
        <v>1342</v>
      </c>
      <c r="W256" s="307">
        <v>311</v>
      </c>
      <c r="X256" s="307" t="s">
        <v>390</v>
      </c>
      <c r="Y256" s="307" t="s">
        <v>1343</v>
      </c>
    </row>
    <row r="257" spans="2:25">
      <c r="B257" s="335" t="s">
        <v>374</v>
      </c>
      <c r="C257" s="335" t="s">
        <v>375</v>
      </c>
      <c r="D257" s="335" t="s">
        <v>821</v>
      </c>
      <c r="E257" s="335" t="s">
        <v>822</v>
      </c>
      <c r="F257" s="335" t="s">
        <v>376</v>
      </c>
      <c r="G257" s="335" t="s">
        <v>9</v>
      </c>
      <c r="H257" s="336" t="s">
        <v>11</v>
      </c>
      <c r="I257" s="335">
        <v>0</v>
      </c>
      <c r="J257" s="335" t="s">
        <v>823</v>
      </c>
      <c r="K257" s="335" t="s">
        <v>1258</v>
      </c>
      <c r="M257" s="335" t="s">
        <v>1344</v>
      </c>
      <c r="N257" s="335" t="s">
        <v>388</v>
      </c>
      <c r="O257" s="335" t="s">
        <v>389</v>
      </c>
      <c r="Q257" s="307" t="e">
        <f ca="1">_xll.BDP(M257&amp;" "&amp;N257&amp;" "&amp;O257,Q$2)</f>
        <v>#NAME?</v>
      </c>
      <c r="R257" s="307" t="e">
        <f ca="1">_xll.BDP(M257&amp;" "&amp;N257&amp;" "&amp;O257,R$2)</f>
        <v>#NAME?</v>
      </c>
      <c r="S257" s="307" t="e">
        <f ca="1">_xll.BDP(M257&amp;" "&amp;N257&amp;" "&amp;O257,S$2)</f>
        <v>#NAME?</v>
      </c>
      <c r="T257" s="307" t="e">
        <f ca="1">_xll.BDP(M257&amp;" "&amp;N257&amp;" "&amp;O257,T$2)</f>
        <v>#NAME?</v>
      </c>
      <c r="V257" s="307" t="s">
        <v>1345</v>
      </c>
      <c r="W257" s="307">
        <v>369</v>
      </c>
      <c r="X257" s="307" t="s">
        <v>390</v>
      </c>
      <c r="Y257" s="307" t="s">
        <v>847</v>
      </c>
    </row>
    <row r="258" spans="2:25">
      <c r="B258" s="335" t="s">
        <v>374</v>
      </c>
      <c r="C258" s="335" t="s">
        <v>375</v>
      </c>
      <c r="D258" s="335" t="s">
        <v>821</v>
      </c>
      <c r="E258" s="335" t="s">
        <v>822</v>
      </c>
      <c r="F258" s="335" t="s">
        <v>376</v>
      </c>
      <c r="G258" s="335" t="s">
        <v>9</v>
      </c>
      <c r="H258" s="336" t="s">
        <v>13</v>
      </c>
      <c r="I258" s="335">
        <v>0</v>
      </c>
      <c r="J258" s="335" t="s">
        <v>823</v>
      </c>
      <c r="K258" s="335" t="s">
        <v>1258</v>
      </c>
      <c r="M258" s="335" t="s">
        <v>1346</v>
      </c>
      <c r="N258" s="335" t="s">
        <v>388</v>
      </c>
      <c r="O258" s="335" t="s">
        <v>389</v>
      </c>
      <c r="Q258" s="307" t="e">
        <f ca="1">_xll.BDP(M258&amp;" "&amp;N258&amp;" "&amp;O258,Q$2)</f>
        <v>#NAME?</v>
      </c>
      <c r="R258" s="307" t="e">
        <f ca="1">_xll.BDP(M258&amp;" "&amp;N258&amp;" "&amp;O258,R$2)</f>
        <v>#NAME?</v>
      </c>
      <c r="S258" s="307" t="e">
        <f ca="1">_xll.BDP(M258&amp;" "&amp;N258&amp;" "&amp;O258,S$2)</f>
        <v>#NAME?</v>
      </c>
      <c r="T258" s="307" t="e">
        <f ca="1">_xll.BDP(M258&amp;" "&amp;N258&amp;" "&amp;O258,T$2)</f>
        <v>#NAME?</v>
      </c>
      <c r="V258" s="307" t="s">
        <v>1347</v>
      </c>
      <c r="W258" s="307">
        <v>447</v>
      </c>
      <c r="X258" s="307" t="s">
        <v>390</v>
      </c>
      <c r="Y258" s="307" t="s">
        <v>847</v>
      </c>
    </row>
    <row r="259" spans="2:25">
      <c r="B259" s="335" t="s">
        <v>374</v>
      </c>
      <c r="C259" s="335" t="s">
        <v>375</v>
      </c>
      <c r="D259" s="335" t="s">
        <v>821</v>
      </c>
      <c r="E259" s="335" t="s">
        <v>822</v>
      </c>
      <c r="F259" s="335" t="s">
        <v>376</v>
      </c>
      <c r="G259" s="335" t="s">
        <v>9</v>
      </c>
      <c r="H259" s="336" t="s">
        <v>16</v>
      </c>
      <c r="I259" s="335">
        <v>0</v>
      </c>
      <c r="J259" s="335" t="s">
        <v>823</v>
      </c>
      <c r="K259" s="335" t="s">
        <v>1258</v>
      </c>
      <c r="M259" s="335" t="s">
        <v>1348</v>
      </c>
      <c r="N259" s="335" t="s">
        <v>388</v>
      </c>
      <c r="O259" s="335" t="s">
        <v>389</v>
      </c>
      <c r="Q259" s="307" t="e">
        <f ca="1">_xll.BDP(M259&amp;" "&amp;N259&amp;" "&amp;O259,Q$2)</f>
        <v>#NAME?</v>
      </c>
      <c r="R259" s="307" t="e">
        <f ca="1">_xll.BDP(M259&amp;" "&amp;N259&amp;" "&amp;O259,R$2)</f>
        <v>#NAME?</v>
      </c>
      <c r="S259" s="307" t="e">
        <f ca="1">_xll.BDP(M259&amp;" "&amp;N259&amp;" "&amp;O259,S$2)</f>
        <v>#NAME?</v>
      </c>
      <c r="T259" s="307" t="e">
        <f ca="1">_xll.BDP(M259&amp;" "&amp;N259&amp;" "&amp;O259,T$2)</f>
        <v>#NAME?</v>
      </c>
      <c r="V259" s="307" t="s">
        <v>1349</v>
      </c>
      <c r="W259" s="307">
        <v>536</v>
      </c>
      <c r="X259" s="307" t="s">
        <v>390</v>
      </c>
      <c r="Y259" s="307" t="s">
        <v>847</v>
      </c>
    </row>
    <row r="260" spans="2:25">
      <c r="B260" s="335" t="s">
        <v>374</v>
      </c>
      <c r="C260" s="335" t="s">
        <v>375</v>
      </c>
      <c r="D260" s="335" t="s">
        <v>821</v>
      </c>
      <c r="E260" s="335" t="s">
        <v>822</v>
      </c>
      <c r="F260" s="335" t="s">
        <v>376</v>
      </c>
      <c r="G260" s="335" t="s">
        <v>9</v>
      </c>
      <c r="H260" s="336" t="s">
        <v>17</v>
      </c>
      <c r="I260" s="335">
        <v>0</v>
      </c>
      <c r="J260" s="335" t="s">
        <v>823</v>
      </c>
      <c r="K260" s="335" t="s">
        <v>1258</v>
      </c>
      <c r="M260" s="335" t="s">
        <v>1350</v>
      </c>
      <c r="N260" s="335" t="s">
        <v>388</v>
      </c>
      <c r="O260" s="335" t="s">
        <v>389</v>
      </c>
      <c r="Q260" s="307" t="e">
        <f ca="1">_xll.BDP(M260&amp;" "&amp;N260&amp;" "&amp;O260,Q$2)</f>
        <v>#NAME?</v>
      </c>
      <c r="R260" s="307" t="e">
        <f ca="1">_xll.BDP(M260&amp;" "&amp;N260&amp;" "&amp;O260,R$2)</f>
        <v>#NAME?</v>
      </c>
      <c r="S260" s="307" t="e">
        <f ca="1">_xll.BDP(M260&amp;" "&amp;N260&amp;" "&amp;O260,S$2)</f>
        <v>#NAME?</v>
      </c>
      <c r="T260" s="307" t="e">
        <f ca="1">_xll.BDP(M260&amp;" "&amp;N260&amp;" "&amp;O260,T$2)</f>
        <v>#NAME?</v>
      </c>
      <c r="V260" s="307" t="s">
        <v>1351</v>
      </c>
      <c r="W260" s="307">
        <v>630</v>
      </c>
      <c r="X260" s="307" t="s">
        <v>390</v>
      </c>
      <c r="Y260" s="307" t="s">
        <v>847</v>
      </c>
    </row>
    <row r="261" spans="2:25">
      <c r="B261" s="335" t="s">
        <v>374</v>
      </c>
      <c r="C261" s="335" t="s">
        <v>375</v>
      </c>
      <c r="D261" s="335" t="s">
        <v>821</v>
      </c>
      <c r="E261" s="335" t="s">
        <v>822</v>
      </c>
      <c r="F261" s="335" t="s">
        <v>376</v>
      </c>
      <c r="G261" s="335" t="s">
        <v>9</v>
      </c>
      <c r="H261" s="336" t="s">
        <v>104</v>
      </c>
      <c r="I261" s="335">
        <v>0</v>
      </c>
      <c r="J261" s="335" t="s">
        <v>823</v>
      </c>
      <c r="K261" s="335" t="s">
        <v>1258</v>
      </c>
      <c r="M261" s="335" t="s">
        <v>1352</v>
      </c>
      <c r="N261" s="335" t="s">
        <v>388</v>
      </c>
      <c r="O261" s="335" t="s">
        <v>389</v>
      </c>
      <c r="Q261" s="307" t="e">
        <f ca="1">_xll.BDP(M261&amp;" "&amp;N261&amp;" "&amp;O261,Q$2)</f>
        <v>#NAME?</v>
      </c>
      <c r="R261" s="307" t="e">
        <f ca="1">_xll.BDP(M261&amp;" "&amp;N261&amp;" "&amp;O261,R$2)</f>
        <v>#NAME?</v>
      </c>
      <c r="S261" s="307" t="e">
        <f ca="1">_xll.BDP(M261&amp;" "&amp;N261&amp;" "&amp;O261,S$2)</f>
        <v>#NAME?</v>
      </c>
      <c r="T261" s="307" t="e">
        <f ca="1">_xll.BDP(M261&amp;" "&amp;N261&amp;" "&amp;O261,T$2)</f>
        <v>#NAME?</v>
      </c>
      <c r="V261" s="307" t="s">
        <v>1353</v>
      </c>
      <c r="W261" s="307">
        <v>695</v>
      </c>
      <c r="X261" s="307" t="s">
        <v>390</v>
      </c>
      <c r="Y261" s="307" t="s">
        <v>859</v>
      </c>
    </row>
    <row r="262" spans="2:25">
      <c r="B262" s="335" t="s">
        <v>374</v>
      </c>
      <c r="C262" s="335" t="s">
        <v>375</v>
      </c>
      <c r="D262" s="335" t="s">
        <v>821</v>
      </c>
      <c r="E262" s="335" t="s">
        <v>822</v>
      </c>
      <c r="F262" s="335" t="s">
        <v>376</v>
      </c>
      <c r="G262" s="335" t="s">
        <v>10</v>
      </c>
      <c r="H262" s="335" t="s">
        <v>23</v>
      </c>
      <c r="I262" s="335">
        <v>0</v>
      </c>
      <c r="J262" s="335" t="s">
        <v>823</v>
      </c>
      <c r="K262" s="335" t="s">
        <v>1258</v>
      </c>
      <c r="M262" s="335" t="s">
        <v>1354</v>
      </c>
      <c r="N262" s="335" t="s">
        <v>388</v>
      </c>
      <c r="O262" s="335" t="s">
        <v>389</v>
      </c>
      <c r="Q262" s="307" t="e">
        <f ca="1">_xll.BDP(M262&amp;" "&amp;N262&amp;" "&amp;O262,Q$2)</f>
        <v>#NAME?</v>
      </c>
      <c r="R262" s="307" t="e">
        <f ca="1">_xll.BDP(M262&amp;" "&amp;N262&amp;" "&amp;O262,R$2)</f>
        <v>#NAME?</v>
      </c>
      <c r="S262" s="307" t="e">
        <f ca="1">_xll.BDP(M262&amp;" "&amp;N262&amp;" "&amp;O262,S$2)</f>
        <v>#NAME?</v>
      </c>
      <c r="T262" s="307" t="e">
        <f ca="1">_xll.BDP(M262&amp;" "&amp;N262&amp;" "&amp;O262,T$2)</f>
        <v>#NAME?</v>
      </c>
      <c r="V262" s="307" t="s">
        <v>1355</v>
      </c>
      <c r="W262" s="307">
        <v>27.5</v>
      </c>
      <c r="X262" s="307" t="s">
        <v>390</v>
      </c>
      <c r="Y262" s="307" t="s">
        <v>1108</v>
      </c>
    </row>
    <row r="263" spans="2:25">
      <c r="B263" s="335" t="s">
        <v>374</v>
      </c>
      <c r="C263" s="335" t="s">
        <v>375</v>
      </c>
      <c r="D263" s="335" t="s">
        <v>821</v>
      </c>
      <c r="E263" s="335" t="s">
        <v>822</v>
      </c>
      <c r="F263" s="335" t="s">
        <v>376</v>
      </c>
      <c r="G263" s="335" t="s">
        <v>10</v>
      </c>
      <c r="H263" s="335" t="s">
        <v>398</v>
      </c>
      <c r="I263" s="335">
        <v>0</v>
      </c>
      <c r="J263" s="335" t="s">
        <v>823</v>
      </c>
      <c r="K263" s="335" t="s">
        <v>1258</v>
      </c>
      <c r="M263" s="335" t="s">
        <v>1356</v>
      </c>
      <c r="N263" s="335" t="s">
        <v>388</v>
      </c>
      <c r="O263" s="335" t="s">
        <v>389</v>
      </c>
      <c r="Q263" s="307" t="e">
        <f ca="1">_xll.BDP(M263&amp;" "&amp;N263&amp;" "&amp;O263,Q$2)</f>
        <v>#NAME?</v>
      </c>
      <c r="R263" s="307" t="e">
        <f ca="1">_xll.BDP(M263&amp;" "&amp;N263&amp;" "&amp;O263,R$2)</f>
        <v>#NAME?</v>
      </c>
      <c r="S263" s="307" t="e">
        <f ca="1">_xll.BDP(M263&amp;" "&amp;N263&amp;" "&amp;O263,S$2)</f>
        <v>#NAME?</v>
      </c>
      <c r="T263" s="307" t="e">
        <f ca="1">_xll.BDP(M263&amp;" "&amp;N263&amp;" "&amp;O263,T$2)</f>
        <v>#NAME?</v>
      </c>
      <c r="V263" s="307" t="s">
        <v>1357</v>
      </c>
      <c r="W263" s="307">
        <v>41.5</v>
      </c>
      <c r="X263" s="307" t="s">
        <v>390</v>
      </c>
      <c r="Y263" s="307" t="s">
        <v>893</v>
      </c>
    </row>
    <row r="264" spans="2:25">
      <c r="B264" s="335" t="s">
        <v>374</v>
      </c>
      <c r="C264" s="335" t="s">
        <v>375</v>
      </c>
      <c r="D264" s="335" t="s">
        <v>821</v>
      </c>
      <c r="E264" s="335" t="s">
        <v>822</v>
      </c>
      <c r="F264" s="335" t="s">
        <v>376</v>
      </c>
      <c r="G264" s="335" t="s">
        <v>10</v>
      </c>
      <c r="H264" s="336" t="s">
        <v>26</v>
      </c>
      <c r="I264" s="335">
        <v>0</v>
      </c>
      <c r="J264" s="335" t="s">
        <v>823</v>
      </c>
      <c r="K264" s="335" t="s">
        <v>1258</v>
      </c>
      <c r="M264" s="335" t="s">
        <v>1358</v>
      </c>
      <c r="N264" s="335" t="s">
        <v>388</v>
      </c>
      <c r="O264" s="335" t="s">
        <v>389</v>
      </c>
      <c r="Q264" s="307" t="e">
        <f ca="1">_xll.BDP(M264&amp;" "&amp;N264&amp;" "&amp;O264,Q$2)</f>
        <v>#NAME?</v>
      </c>
      <c r="R264" s="307" t="e">
        <f ca="1">_xll.BDP(M264&amp;" "&amp;N264&amp;" "&amp;O264,R$2)</f>
        <v>#NAME?</v>
      </c>
      <c r="S264" s="307" t="e">
        <f ca="1">_xll.BDP(M264&amp;" "&amp;N264&amp;" "&amp;O264,S$2)</f>
        <v>#NAME?</v>
      </c>
      <c r="T264" s="307" t="e">
        <f ca="1">_xll.BDP(M264&amp;" "&amp;N264&amp;" "&amp;O264,T$2)</f>
        <v>#NAME?</v>
      </c>
      <c r="V264" s="307" t="s">
        <v>1359</v>
      </c>
      <c r="W264" s="307">
        <v>49</v>
      </c>
      <c r="X264" s="307" t="s">
        <v>390</v>
      </c>
      <c r="Y264" s="307" t="s">
        <v>836</v>
      </c>
    </row>
    <row r="265" spans="2:25">
      <c r="B265" s="335" t="s">
        <v>374</v>
      </c>
      <c r="C265" s="335" t="s">
        <v>375</v>
      </c>
      <c r="D265" s="335" t="s">
        <v>821</v>
      </c>
      <c r="E265" s="335" t="s">
        <v>822</v>
      </c>
      <c r="F265" s="335" t="s">
        <v>376</v>
      </c>
      <c r="G265" s="335" t="s">
        <v>10</v>
      </c>
      <c r="H265" s="336" t="s">
        <v>19</v>
      </c>
      <c r="I265" s="335">
        <v>0</v>
      </c>
      <c r="J265" s="335" t="s">
        <v>823</v>
      </c>
      <c r="K265" s="335" t="s">
        <v>1258</v>
      </c>
      <c r="M265" s="335" t="s">
        <v>1360</v>
      </c>
      <c r="N265" s="335" t="s">
        <v>388</v>
      </c>
      <c r="O265" s="335" t="s">
        <v>389</v>
      </c>
      <c r="Q265" s="307" t="e">
        <f ca="1">_xll.BDP(M265&amp;" "&amp;N265&amp;" "&amp;O265,Q$2)</f>
        <v>#NAME?</v>
      </c>
      <c r="R265" s="307" t="e">
        <f ca="1">_xll.BDP(M265&amp;" "&amp;N265&amp;" "&amp;O265,R$2)</f>
        <v>#NAME?</v>
      </c>
      <c r="S265" s="307" t="e">
        <f ca="1">_xll.BDP(M265&amp;" "&amp;N265&amp;" "&amp;O265,S$2)</f>
        <v>#NAME?</v>
      </c>
      <c r="T265" s="307" t="e">
        <f ca="1">_xll.BDP(M265&amp;" "&amp;N265&amp;" "&amp;O265,T$2)</f>
        <v>#NAME?</v>
      </c>
      <c r="V265" s="307" t="s">
        <v>1361</v>
      </c>
      <c r="W265" s="307">
        <v>75.5</v>
      </c>
      <c r="X265" s="307" t="s">
        <v>390</v>
      </c>
      <c r="Y265" s="307" t="s">
        <v>836</v>
      </c>
    </row>
    <row r="266" spans="2:25">
      <c r="B266" s="335" t="s">
        <v>374</v>
      </c>
      <c r="C266" s="335" t="s">
        <v>375</v>
      </c>
      <c r="D266" s="335" t="s">
        <v>821</v>
      </c>
      <c r="E266" s="335" t="s">
        <v>822</v>
      </c>
      <c r="F266" s="335" t="s">
        <v>376</v>
      </c>
      <c r="G266" s="335" t="s">
        <v>10</v>
      </c>
      <c r="H266" s="336" t="s">
        <v>412</v>
      </c>
      <c r="I266" s="335">
        <v>0</v>
      </c>
      <c r="J266" s="335" t="s">
        <v>823</v>
      </c>
      <c r="K266" s="335" t="s">
        <v>1258</v>
      </c>
      <c r="M266" s="335" t="s">
        <v>1362</v>
      </c>
      <c r="N266" s="335" t="s">
        <v>388</v>
      </c>
      <c r="O266" s="335" t="s">
        <v>389</v>
      </c>
      <c r="Q266" s="307" t="e">
        <f ca="1">_xll.BDP(M266&amp;" "&amp;N266&amp;" "&amp;O266,Q$2)</f>
        <v>#NAME?</v>
      </c>
      <c r="R266" s="307" t="e">
        <f ca="1">_xll.BDP(M266&amp;" "&amp;N266&amp;" "&amp;O266,R$2)</f>
        <v>#NAME?</v>
      </c>
      <c r="S266" s="307" t="e">
        <f ca="1">_xll.BDP(M266&amp;" "&amp;N266&amp;" "&amp;O266,S$2)</f>
        <v>#NAME?</v>
      </c>
      <c r="T266" s="307" t="e">
        <f ca="1">_xll.BDP(M266&amp;" "&amp;N266&amp;" "&amp;O266,T$2)</f>
        <v>#NAME?</v>
      </c>
      <c r="V266" s="307" t="s">
        <v>1363</v>
      </c>
      <c r="W266" s="307">
        <v>102</v>
      </c>
      <c r="X266" s="307" t="s">
        <v>390</v>
      </c>
      <c r="Y266" s="307" t="s">
        <v>870</v>
      </c>
    </row>
    <row r="267" spans="2:25">
      <c r="B267" s="335" t="s">
        <v>374</v>
      </c>
      <c r="C267" s="335" t="s">
        <v>375</v>
      </c>
      <c r="D267" s="335" t="s">
        <v>821</v>
      </c>
      <c r="E267" s="335" t="s">
        <v>822</v>
      </c>
      <c r="F267" s="335" t="s">
        <v>376</v>
      </c>
      <c r="G267" s="335" t="s">
        <v>10</v>
      </c>
      <c r="H267" s="336" t="s">
        <v>7</v>
      </c>
      <c r="I267" s="335">
        <v>0</v>
      </c>
      <c r="J267" s="335" t="s">
        <v>823</v>
      </c>
      <c r="K267" s="335" t="s">
        <v>1258</v>
      </c>
      <c r="M267" s="335" t="s">
        <v>1364</v>
      </c>
      <c r="N267" s="335" t="s">
        <v>388</v>
      </c>
      <c r="O267" s="335" t="s">
        <v>389</v>
      </c>
      <c r="Q267" s="307" t="e">
        <f ca="1">_xll.BDP(M267&amp;" "&amp;N267&amp;" "&amp;O267,Q$2)</f>
        <v>#NAME?</v>
      </c>
      <c r="R267" s="307" t="e">
        <f ca="1">_xll.BDP(M267&amp;" "&amp;N267&amp;" "&amp;O267,R$2)</f>
        <v>#NAME?</v>
      </c>
      <c r="S267" s="307" t="e">
        <f ca="1">_xll.BDP(M267&amp;" "&amp;N267&amp;" "&amp;O267,S$2)</f>
        <v>#NAME?</v>
      </c>
      <c r="T267" s="307" t="e">
        <f ca="1">_xll.BDP(M267&amp;" "&amp;N267&amp;" "&amp;O267,T$2)</f>
        <v>#NAME?</v>
      </c>
      <c r="V267" s="307" t="s">
        <v>1365</v>
      </c>
      <c r="W267" s="307">
        <v>132</v>
      </c>
      <c r="X267" s="307" t="s">
        <v>390</v>
      </c>
      <c r="Y267" s="307" t="s">
        <v>900</v>
      </c>
    </row>
    <row r="268" spans="2:25">
      <c r="B268" s="335" t="s">
        <v>374</v>
      </c>
      <c r="C268" s="335" t="s">
        <v>375</v>
      </c>
      <c r="D268" s="335" t="s">
        <v>821</v>
      </c>
      <c r="E268" s="335" t="s">
        <v>822</v>
      </c>
      <c r="F268" s="335" t="s">
        <v>376</v>
      </c>
      <c r="G268" s="335" t="s">
        <v>10</v>
      </c>
      <c r="H268" s="336" t="s">
        <v>154</v>
      </c>
      <c r="I268" s="335">
        <v>0</v>
      </c>
      <c r="J268" s="335" t="s">
        <v>823</v>
      </c>
      <c r="K268" s="335" t="s">
        <v>1258</v>
      </c>
      <c r="M268" s="335" t="s">
        <v>1366</v>
      </c>
      <c r="N268" s="335" t="s">
        <v>388</v>
      </c>
      <c r="O268" s="335" t="s">
        <v>389</v>
      </c>
      <c r="Q268" s="307" t="e">
        <f ca="1">_xll.BDP(M268&amp;" "&amp;N268&amp;" "&amp;O268,Q$2)</f>
        <v>#NAME?</v>
      </c>
      <c r="R268" s="307" t="e">
        <f ca="1">_xll.BDP(M268&amp;" "&amp;N268&amp;" "&amp;O268,R$2)</f>
        <v>#NAME?</v>
      </c>
      <c r="S268" s="307" t="e">
        <f ca="1">_xll.BDP(M268&amp;" "&amp;N268&amp;" "&amp;O268,S$2)</f>
        <v>#NAME?</v>
      </c>
      <c r="T268" s="307" t="e">
        <f ca="1">_xll.BDP(M268&amp;" "&amp;N268&amp;" "&amp;O268,T$2)</f>
        <v>#NAME?</v>
      </c>
      <c r="V268" s="307" t="s">
        <v>1367</v>
      </c>
      <c r="W268" s="307">
        <v>186</v>
      </c>
      <c r="X268" s="307" t="s">
        <v>390</v>
      </c>
      <c r="Y268" s="307" t="s">
        <v>391</v>
      </c>
    </row>
    <row r="269" spans="2:25">
      <c r="B269" s="335" t="s">
        <v>374</v>
      </c>
      <c r="C269" s="335" t="s">
        <v>375</v>
      </c>
      <c r="D269" s="335" t="s">
        <v>821</v>
      </c>
      <c r="E269" s="335" t="s">
        <v>822</v>
      </c>
      <c r="F269" s="335" t="s">
        <v>376</v>
      </c>
      <c r="G269" s="335" t="s">
        <v>10</v>
      </c>
      <c r="H269" s="336" t="s">
        <v>8</v>
      </c>
      <c r="I269" s="335">
        <v>0</v>
      </c>
      <c r="J269" s="335" t="s">
        <v>823</v>
      </c>
      <c r="K269" s="335" t="s">
        <v>1258</v>
      </c>
      <c r="M269" s="335" t="s">
        <v>1368</v>
      </c>
      <c r="N269" s="335" t="s">
        <v>388</v>
      </c>
      <c r="O269" s="335" t="s">
        <v>389</v>
      </c>
      <c r="Q269" s="307" t="e">
        <f ca="1">_xll.BDP(M269&amp;" "&amp;N269&amp;" "&amp;O269,Q$2)</f>
        <v>#NAME?</v>
      </c>
      <c r="R269" s="307" t="e">
        <f ca="1">_xll.BDP(M269&amp;" "&amp;N269&amp;" "&amp;O269,R$2)</f>
        <v>#NAME?</v>
      </c>
      <c r="S269" s="307" t="e">
        <f ca="1">_xll.BDP(M269&amp;" "&amp;N269&amp;" "&amp;O269,S$2)</f>
        <v>#NAME?</v>
      </c>
      <c r="T269" s="307" t="e">
        <f ca="1">_xll.BDP(M269&amp;" "&amp;N269&amp;" "&amp;O269,T$2)</f>
        <v>#NAME?</v>
      </c>
      <c r="V269" s="307" t="s">
        <v>1369</v>
      </c>
      <c r="W269" s="307">
        <v>241</v>
      </c>
      <c r="X269" s="307" t="s">
        <v>390</v>
      </c>
      <c r="Y269" s="307" t="s">
        <v>826</v>
      </c>
    </row>
    <row r="270" spans="2:25">
      <c r="B270" s="335" t="s">
        <v>374</v>
      </c>
      <c r="C270" s="335" t="s">
        <v>375</v>
      </c>
      <c r="D270" s="335" t="s">
        <v>821</v>
      </c>
      <c r="E270" s="335" t="s">
        <v>822</v>
      </c>
      <c r="F270" s="335" t="s">
        <v>376</v>
      </c>
      <c r="G270" s="335" t="s">
        <v>10</v>
      </c>
      <c r="H270" s="336" t="s">
        <v>9</v>
      </c>
      <c r="I270" s="335">
        <v>0</v>
      </c>
      <c r="J270" s="335" t="s">
        <v>823</v>
      </c>
      <c r="K270" s="335" t="s">
        <v>1258</v>
      </c>
      <c r="M270" s="335" t="s">
        <v>1370</v>
      </c>
      <c r="N270" s="335" t="s">
        <v>388</v>
      </c>
      <c r="O270" s="335" t="s">
        <v>389</v>
      </c>
      <c r="Q270" s="307" t="e">
        <f ca="1">_xll.BDP(M270&amp;" "&amp;N270&amp;" "&amp;O270,Q$2)</f>
        <v>#NAME?</v>
      </c>
      <c r="R270" s="307" t="e">
        <f ca="1">_xll.BDP(M270&amp;" "&amp;N270&amp;" "&amp;O270,R$2)</f>
        <v>#NAME?</v>
      </c>
      <c r="S270" s="307" t="e">
        <f ca="1">_xll.BDP(M270&amp;" "&amp;N270&amp;" "&amp;O270,S$2)</f>
        <v>#NAME?</v>
      </c>
      <c r="T270" s="307" t="e">
        <f ca="1">_xll.BDP(M270&amp;" "&amp;N270&amp;" "&amp;O270,T$2)</f>
        <v>#NAME?</v>
      </c>
      <c r="V270" s="307" t="s">
        <v>1371</v>
      </c>
      <c r="W270" s="307">
        <v>341</v>
      </c>
      <c r="X270" s="307" t="s">
        <v>390</v>
      </c>
      <c r="Y270" s="307" t="s">
        <v>973</v>
      </c>
    </row>
    <row r="271" spans="2:25">
      <c r="B271" s="335" t="s">
        <v>374</v>
      </c>
      <c r="C271" s="335" t="s">
        <v>375</v>
      </c>
      <c r="D271" s="335" t="s">
        <v>821</v>
      </c>
      <c r="E271" s="335" t="s">
        <v>822</v>
      </c>
      <c r="F271" s="335" t="s">
        <v>376</v>
      </c>
      <c r="G271" s="335" t="s">
        <v>10</v>
      </c>
      <c r="H271" s="336" t="s">
        <v>10</v>
      </c>
      <c r="I271" s="335">
        <v>0</v>
      </c>
      <c r="J271" s="335" t="s">
        <v>823</v>
      </c>
      <c r="K271" s="335" t="s">
        <v>1258</v>
      </c>
      <c r="M271" s="335" t="s">
        <v>1372</v>
      </c>
      <c r="N271" s="335" t="s">
        <v>388</v>
      </c>
      <c r="O271" s="335" t="s">
        <v>389</v>
      </c>
      <c r="Q271" s="307" t="e">
        <f ca="1">_xll.BDP(M271&amp;" "&amp;N271&amp;" "&amp;O271,Q$2)</f>
        <v>#NAME?</v>
      </c>
      <c r="R271" s="307" t="e">
        <f ca="1">_xll.BDP(M271&amp;" "&amp;N271&amp;" "&amp;O271,R$2)</f>
        <v>#NAME?</v>
      </c>
      <c r="S271" s="307" t="e">
        <f ca="1">_xll.BDP(M271&amp;" "&amp;N271&amp;" "&amp;O271,S$2)</f>
        <v>#NAME?</v>
      </c>
      <c r="T271" s="307" t="e">
        <f ca="1">_xll.BDP(M271&amp;" "&amp;N271&amp;" "&amp;O271,T$2)</f>
        <v>#NAME?</v>
      </c>
      <c r="V271" s="307" t="s">
        <v>1373</v>
      </c>
      <c r="W271" s="307">
        <v>421</v>
      </c>
      <c r="X271" s="307" t="s">
        <v>390</v>
      </c>
      <c r="Y271" s="307" t="s">
        <v>973</v>
      </c>
    </row>
    <row r="272" spans="2:25">
      <c r="B272" s="335" t="s">
        <v>374</v>
      </c>
      <c r="C272" s="335" t="s">
        <v>375</v>
      </c>
      <c r="D272" s="335" t="s">
        <v>821</v>
      </c>
      <c r="E272" s="335" t="s">
        <v>822</v>
      </c>
      <c r="F272" s="335" t="s">
        <v>376</v>
      </c>
      <c r="G272" s="335" t="s">
        <v>10</v>
      </c>
      <c r="H272" s="336" t="s">
        <v>11</v>
      </c>
      <c r="I272" s="335">
        <v>0</v>
      </c>
      <c r="J272" s="335" t="s">
        <v>823</v>
      </c>
      <c r="K272" s="335" t="s">
        <v>1258</v>
      </c>
      <c r="M272" s="335" t="s">
        <v>1374</v>
      </c>
      <c r="N272" s="335" t="s">
        <v>388</v>
      </c>
      <c r="O272" s="335" t="s">
        <v>389</v>
      </c>
      <c r="Q272" s="307" t="e">
        <f ca="1">_xll.BDP(M272&amp;" "&amp;N272&amp;" "&amp;O272,Q$2)</f>
        <v>#NAME?</v>
      </c>
      <c r="R272" s="307" t="e">
        <f ca="1">_xll.BDP(M272&amp;" "&amp;N272&amp;" "&amp;O272,R$2)</f>
        <v>#NAME?</v>
      </c>
      <c r="S272" s="307" t="e">
        <f ca="1">_xll.BDP(M272&amp;" "&amp;N272&amp;" "&amp;O272,S$2)</f>
        <v>#NAME?</v>
      </c>
      <c r="T272" s="307" t="e">
        <f ca="1">_xll.BDP(M272&amp;" "&amp;N272&amp;" "&amp;O272,T$2)</f>
        <v>#NAME?</v>
      </c>
      <c r="V272" s="307" t="s">
        <v>1375</v>
      </c>
      <c r="W272" s="307">
        <v>491</v>
      </c>
      <c r="X272" s="307" t="s">
        <v>390</v>
      </c>
      <c r="Y272" s="307" t="s">
        <v>847</v>
      </c>
    </row>
    <row r="273" spans="2:25">
      <c r="B273" s="335" t="s">
        <v>374</v>
      </c>
      <c r="C273" s="335" t="s">
        <v>375</v>
      </c>
      <c r="D273" s="335" t="s">
        <v>821</v>
      </c>
      <c r="E273" s="335" t="s">
        <v>822</v>
      </c>
      <c r="F273" s="335" t="s">
        <v>376</v>
      </c>
      <c r="G273" s="335" t="s">
        <v>10</v>
      </c>
      <c r="H273" s="336" t="s">
        <v>13</v>
      </c>
      <c r="I273" s="335">
        <v>0</v>
      </c>
      <c r="J273" s="335" t="s">
        <v>823</v>
      </c>
      <c r="K273" s="335" t="s">
        <v>1258</v>
      </c>
      <c r="M273" s="335" t="s">
        <v>1376</v>
      </c>
      <c r="N273" s="335" t="s">
        <v>388</v>
      </c>
      <c r="O273" s="335" t="s">
        <v>389</v>
      </c>
      <c r="Q273" s="307" t="e">
        <f ca="1">_xll.BDP(M273&amp;" "&amp;N273&amp;" "&amp;O273,Q$2)</f>
        <v>#NAME?</v>
      </c>
      <c r="R273" s="307" t="e">
        <f ca="1">_xll.BDP(M273&amp;" "&amp;N273&amp;" "&amp;O273,R$2)</f>
        <v>#NAME?</v>
      </c>
      <c r="S273" s="307" t="e">
        <f ca="1">_xll.BDP(M273&amp;" "&amp;N273&amp;" "&amp;O273,S$2)</f>
        <v>#NAME?</v>
      </c>
      <c r="T273" s="307" t="e">
        <f ca="1">_xll.BDP(M273&amp;" "&amp;N273&amp;" "&amp;O273,T$2)</f>
        <v>#NAME?</v>
      </c>
      <c r="V273" s="307" t="s">
        <v>1377</v>
      </c>
      <c r="W273" s="307">
        <v>593</v>
      </c>
      <c r="X273" s="307" t="s">
        <v>390</v>
      </c>
      <c r="Y273" s="307" t="s">
        <v>847</v>
      </c>
    </row>
    <row r="274" spans="2:25">
      <c r="B274" s="335" t="s">
        <v>374</v>
      </c>
      <c r="C274" s="335" t="s">
        <v>375</v>
      </c>
      <c r="D274" s="335" t="s">
        <v>821</v>
      </c>
      <c r="E274" s="335" t="s">
        <v>822</v>
      </c>
      <c r="F274" s="335" t="s">
        <v>376</v>
      </c>
      <c r="G274" s="335" t="s">
        <v>10</v>
      </c>
      <c r="H274" s="336" t="s">
        <v>16</v>
      </c>
      <c r="I274" s="335">
        <v>0</v>
      </c>
      <c r="J274" s="335" t="s">
        <v>823</v>
      </c>
      <c r="K274" s="335" t="s">
        <v>1258</v>
      </c>
      <c r="M274" s="335" t="s">
        <v>1378</v>
      </c>
      <c r="N274" s="335" t="s">
        <v>388</v>
      </c>
      <c r="O274" s="335" t="s">
        <v>389</v>
      </c>
      <c r="Q274" s="307" t="e">
        <f ca="1">_xll.BDP(M274&amp;" "&amp;N274&amp;" "&amp;O274,Q$2)</f>
        <v>#NAME?</v>
      </c>
      <c r="R274" s="307" t="e">
        <f ca="1">_xll.BDP(M274&amp;" "&amp;N274&amp;" "&amp;O274,R$2)</f>
        <v>#NAME?</v>
      </c>
      <c r="S274" s="307" t="e">
        <f ca="1">_xll.BDP(M274&amp;" "&amp;N274&amp;" "&amp;O274,S$2)</f>
        <v>#NAME?</v>
      </c>
      <c r="T274" s="307" t="e">
        <f ca="1">_xll.BDP(M274&amp;" "&amp;N274&amp;" "&amp;O274,T$2)</f>
        <v>#NAME?</v>
      </c>
      <c r="V274" s="307" t="s">
        <v>1379</v>
      </c>
      <c r="W274" s="307">
        <v>705</v>
      </c>
      <c r="X274" s="307" t="s">
        <v>390</v>
      </c>
      <c r="Y274" s="307" t="s">
        <v>973</v>
      </c>
    </row>
    <row r="275" spans="2:25">
      <c r="B275" s="335" t="s">
        <v>374</v>
      </c>
      <c r="C275" s="335" t="s">
        <v>375</v>
      </c>
      <c r="D275" s="335" t="s">
        <v>821</v>
      </c>
      <c r="E275" s="335" t="s">
        <v>822</v>
      </c>
      <c r="F275" s="335" t="s">
        <v>376</v>
      </c>
      <c r="G275" s="335" t="s">
        <v>10</v>
      </c>
      <c r="H275" s="336" t="s">
        <v>17</v>
      </c>
      <c r="I275" s="335">
        <v>0</v>
      </c>
      <c r="J275" s="335" t="s">
        <v>823</v>
      </c>
      <c r="K275" s="335" t="s">
        <v>1258</v>
      </c>
      <c r="M275" s="335" t="s">
        <v>1380</v>
      </c>
      <c r="N275" s="335" t="s">
        <v>388</v>
      </c>
      <c r="O275" s="335" t="s">
        <v>389</v>
      </c>
      <c r="Q275" s="307" t="e">
        <f ca="1">_xll.BDP(M275&amp;" "&amp;N275&amp;" "&amp;O275,Q$2)</f>
        <v>#NAME?</v>
      </c>
      <c r="R275" s="307" t="e">
        <f ca="1">_xll.BDP(M275&amp;" "&amp;N275&amp;" "&amp;O275,R$2)</f>
        <v>#NAME?</v>
      </c>
      <c r="S275" s="307" t="e">
        <f ca="1">_xll.BDP(M275&amp;" "&amp;N275&amp;" "&amp;O275,S$2)</f>
        <v>#NAME?</v>
      </c>
      <c r="T275" s="307" t="e">
        <f ca="1">_xll.BDP(M275&amp;" "&amp;N275&amp;" "&amp;O275,T$2)</f>
        <v>#NAME?</v>
      </c>
      <c r="V275" s="307" t="s">
        <v>1381</v>
      </c>
      <c r="W275" s="307">
        <v>833</v>
      </c>
      <c r="X275" s="307" t="s">
        <v>390</v>
      </c>
      <c r="Y275" s="307" t="s">
        <v>847</v>
      </c>
    </row>
    <row r="276" spans="2:25">
      <c r="B276" s="335" t="s">
        <v>374</v>
      </c>
      <c r="C276" s="335" t="s">
        <v>375</v>
      </c>
      <c r="D276" s="335" t="s">
        <v>821</v>
      </c>
      <c r="E276" s="335" t="s">
        <v>822</v>
      </c>
      <c r="F276" s="335" t="s">
        <v>376</v>
      </c>
      <c r="G276" s="335" t="s">
        <v>10</v>
      </c>
      <c r="H276" s="336" t="s">
        <v>104</v>
      </c>
      <c r="I276" s="335">
        <v>0</v>
      </c>
      <c r="J276" s="335" t="s">
        <v>823</v>
      </c>
      <c r="K276" s="335" t="s">
        <v>1258</v>
      </c>
      <c r="M276" s="335" t="s">
        <v>1382</v>
      </c>
      <c r="N276" s="335" t="s">
        <v>388</v>
      </c>
      <c r="O276" s="335" t="s">
        <v>389</v>
      </c>
      <c r="Q276" s="307" t="e">
        <f ca="1">_xll.BDP(M276&amp;" "&amp;N276&amp;" "&amp;O276,Q$2)</f>
        <v>#NAME?</v>
      </c>
      <c r="R276" s="307" t="e">
        <f ca="1">_xll.BDP(M276&amp;" "&amp;N276&amp;" "&amp;O276,R$2)</f>
        <v>#NAME?</v>
      </c>
      <c r="S276" s="307" t="e">
        <f ca="1">_xll.BDP(M276&amp;" "&amp;N276&amp;" "&amp;O276,S$2)</f>
        <v>#NAME?</v>
      </c>
      <c r="T276" s="307" t="e">
        <f ca="1">_xll.BDP(M276&amp;" "&amp;N276&amp;" "&amp;O276,T$2)</f>
        <v>#NAME?</v>
      </c>
      <c r="V276" s="307" t="s">
        <v>1383</v>
      </c>
      <c r="W276" s="307">
        <v>911</v>
      </c>
      <c r="X276" s="307" t="s">
        <v>390</v>
      </c>
      <c r="Y276" s="307" t="s">
        <v>859</v>
      </c>
    </row>
    <row r="277" spans="2:25">
      <c r="B277" s="335" t="s">
        <v>374</v>
      </c>
      <c r="C277" s="335" t="s">
        <v>375</v>
      </c>
      <c r="D277" s="335" t="s">
        <v>821</v>
      </c>
      <c r="E277" s="335" t="s">
        <v>822</v>
      </c>
      <c r="F277" s="335" t="s">
        <v>376</v>
      </c>
      <c r="G277" s="335" t="s">
        <v>11</v>
      </c>
      <c r="H277" s="335" t="s">
        <v>23</v>
      </c>
      <c r="I277" s="335">
        <v>0</v>
      </c>
      <c r="J277" s="335" t="s">
        <v>823</v>
      </c>
      <c r="K277" s="335" t="s">
        <v>1258</v>
      </c>
      <c r="M277" s="335" t="s">
        <v>1384</v>
      </c>
      <c r="N277" s="335" t="s">
        <v>388</v>
      </c>
      <c r="O277" s="335" t="s">
        <v>389</v>
      </c>
      <c r="Q277" s="307" t="e">
        <f ca="1">_xll.BDP(M277&amp;" "&amp;N277&amp;" "&amp;O277,Q$2)</f>
        <v>#NAME?</v>
      </c>
      <c r="R277" s="307" t="e">
        <f ca="1">_xll.BDP(M277&amp;" "&amp;N277&amp;" "&amp;O277,R$2)</f>
        <v>#NAME?</v>
      </c>
      <c r="S277" s="307" t="e">
        <f ca="1">_xll.BDP(M277&amp;" "&amp;N277&amp;" "&amp;O277,S$2)</f>
        <v>#NAME?</v>
      </c>
      <c r="T277" s="307" t="e">
        <f ca="1">_xll.BDP(M277&amp;" "&amp;N277&amp;" "&amp;O277,T$2)</f>
        <v>#NAME?</v>
      </c>
      <c r="V277" s="307" t="s">
        <v>1385</v>
      </c>
      <c r="W277" s="307">
        <v>42.5</v>
      </c>
      <c r="X277" s="307" t="s">
        <v>390</v>
      </c>
      <c r="Y277" s="307" t="s">
        <v>893</v>
      </c>
    </row>
    <row r="278" spans="2:25">
      <c r="B278" s="335" t="s">
        <v>374</v>
      </c>
      <c r="C278" s="335" t="s">
        <v>375</v>
      </c>
      <c r="D278" s="335" t="s">
        <v>821</v>
      </c>
      <c r="E278" s="335" t="s">
        <v>822</v>
      </c>
      <c r="F278" s="335" t="s">
        <v>376</v>
      </c>
      <c r="G278" s="335" t="s">
        <v>11</v>
      </c>
      <c r="H278" s="335" t="s">
        <v>398</v>
      </c>
      <c r="I278" s="335">
        <v>0</v>
      </c>
      <c r="J278" s="335" t="s">
        <v>823</v>
      </c>
      <c r="K278" s="335" t="s">
        <v>1258</v>
      </c>
      <c r="M278" s="335" t="s">
        <v>1386</v>
      </c>
      <c r="N278" s="335" t="s">
        <v>388</v>
      </c>
      <c r="O278" s="335" t="s">
        <v>389</v>
      </c>
      <c r="Q278" s="307" t="e">
        <f ca="1">_xll.BDP(M278&amp;" "&amp;N278&amp;" "&amp;O278,Q$2)</f>
        <v>#NAME?</v>
      </c>
      <c r="R278" s="307" t="e">
        <f ca="1">_xll.BDP(M278&amp;" "&amp;N278&amp;" "&amp;O278,R$2)</f>
        <v>#NAME?</v>
      </c>
      <c r="S278" s="307" t="e">
        <f ca="1">_xll.BDP(M278&amp;" "&amp;N278&amp;" "&amp;O278,S$2)</f>
        <v>#NAME?</v>
      </c>
      <c r="T278" s="307" t="e">
        <f ca="1">_xll.BDP(M278&amp;" "&amp;N278&amp;" "&amp;O278,T$2)</f>
        <v>#NAME?</v>
      </c>
      <c r="V278" s="307" t="s">
        <v>1387</v>
      </c>
      <c r="W278" s="307">
        <v>62.5</v>
      </c>
      <c r="X278" s="307" t="s">
        <v>390</v>
      </c>
      <c r="Y278" s="307" t="s">
        <v>927</v>
      </c>
    </row>
    <row r="279" spans="2:25">
      <c r="B279" s="335" t="s">
        <v>374</v>
      </c>
      <c r="C279" s="335" t="s">
        <v>375</v>
      </c>
      <c r="D279" s="335" t="s">
        <v>821</v>
      </c>
      <c r="E279" s="335" t="s">
        <v>822</v>
      </c>
      <c r="F279" s="335" t="s">
        <v>376</v>
      </c>
      <c r="G279" s="335" t="s">
        <v>11</v>
      </c>
      <c r="H279" s="336" t="s">
        <v>26</v>
      </c>
      <c r="I279" s="335">
        <v>0</v>
      </c>
      <c r="J279" s="335" t="s">
        <v>823</v>
      </c>
      <c r="K279" s="335" t="s">
        <v>1258</v>
      </c>
      <c r="M279" s="335" t="s">
        <v>1388</v>
      </c>
      <c r="N279" s="335" t="s">
        <v>388</v>
      </c>
      <c r="O279" s="335" t="s">
        <v>389</v>
      </c>
      <c r="Q279" s="307" t="e">
        <f ca="1">_xll.BDP(M279&amp;" "&amp;N279&amp;" "&amp;O279,Q$2)</f>
        <v>#NAME?</v>
      </c>
      <c r="R279" s="307" t="e">
        <f ca="1">_xll.BDP(M279&amp;" "&amp;N279&amp;" "&amp;O279,R$2)</f>
        <v>#NAME?</v>
      </c>
      <c r="S279" s="307" t="e">
        <f ca="1">_xll.BDP(M279&amp;" "&amp;N279&amp;" "&amp;O279,S$2)</f>
        <v>#NAME?</v>
      </c>
      <c r="T279" s="307" t="e">
        <f ca="1">_xll.BDP(M279&amp;" "&amp;N279&amp;" "&amp;O279,T$2)</f>
        <v>#NAME?</v>
      </c>
      <c r="V279" s="307" t="s">
        <v>1389</v>
      </c>
      <c r="W279" s="307">
        <v>75.5</v>
      </c>
      <c r="X279" s="307" t="s">
        <v>390</v>
      </c>
      <c r="Y279" s="307" t="s">
        <v>836</v>
      </c>
    </row>
    <row r="280" spans="2:25">
      <c r="B280" s="335" t="s">
        <v>374</v>
      </c>
      <c r="C280" s="335" t="s">
        <v>375</v>
      </c>
      <c r="D280" s="335" t="s">
        <v>821</v>
      </c>
      <c r="E280" s="335" t="s">
        <v>822</v>
      </c>
      <c r="F280" s="335" t="s">
        <v>376</v>
      </c>
      <c r="G280" s="335" t="s">
        <v>11</v>
      </c>
      <c r="H280" s="336" t="s">
        <v>19</v>
      </c>
      <c r="I280" s="335">
        <v>0</v>
      </c>
      <c r="J280" s="335" t="s">
        <v>823</v>
      </c>
      <c r="K280" s="335" t="s">
        <v>1258</v>
      </c>
      <c r="M280" s="335" t="s">
        <v>1390</v>
      </c>
      <c r="N280" s="335" t="s">
        <v>388</v>
      </c>
      <c r="O280" s="335" t="s">
        <v>389</v>
      </c>
      <c r="Q280" s="307" t="e">
        <f ca="1">_xll.BDP(M280&amp;" "&amp;N280&amp;" "&amp;O280,Q$2)</f>
        <v>#NAME?</v>
      </c>
      <c r="R280" s="307" t="e">
        <f ca="1">_xll.BDP(M280&amp;" "&amp;N280&amp;" "&amp;O280,R$2)</f>
        <v>#NAME?</v>
      </c>
      <c r="S280" s="307" t="e">
        <f ca="1">_xll.BDP(M280&amp;" "&amp;N280&amp;" "&amp;O280,S$2)</f>
        <v>#NAME?</v>
      </c>
      <c r="T280" s="307" t="e">
        <f ca="1">_xll.BDP(M280&amp;" "&amp;N280&amp;" "&amp;O280,T$2)</f>
        <v>#NAME?</v>
      </c>
      <c r="V280" s="307" t="s">
        <v>1391</v>
      </c>
      <c r="W280" s="307">
        <v>114</v>
      </c>
      <c r="X280" s="307" t="s">
        <v>390</v>
      </c>
      <c r="Y280" s="307" t="s">
        <v>836</v>
      </c>
    </row>
    <row r="281" spans="2:25">
      <c r="B281" s="335" t="s">
        <v>374</v>
      </c>
      <c r="C281" s="335" t="s">
        <v>375</v>
      </c>
      <c r="D281" s="335" t="s">
        <v>821</v>
      </c>
      <c r="E281" s="335" t="s">
        <v>822</v>
      </c>
      <c r="F281" s="335" t="s">
        <v>376</v>
      </c>
      <c r="G281" s="335" t="s">
        <v>11</v>
      </c>
      <c r="H281" s="336" t="s">
        <v>412</v>
      </c>
      <c r="I281" s="335">
        <v>0</v>
      </c>
      <c r="J281" s="335" t="s">
        <v>823</v>
      </c>
      <c r="K281" s="335" t="s">
        <v>1258</v>
      </c>
      <c r="M281" s="335" t="s">
        <v>1392</v>
      </c>
      <c r="N281" s="335" t="s">
        <v>388</v>
      </c>
      <c r="O281" s="335" t="s">
        <v>389</v>
      </c>
      <c r="Q281" s="307" t="e">
        <f ca="1">_xll.BDP(M281&amp;" "&amp;N281&amp;" "&amp;O281,Q$2)</f>
        <v>#NAME?</v>
      </c>
      <c r="R281" s="307" t="e">
        <f ca="1">_xll.BDP(M281&amp;" "&amp;N281&amp;" "&amp;O281,R$2)</f>
        <v>#NAME?</v>
      </c>
      <c r="S281" s="307" t="e">
        <f ca="1">_xll.BDP(M281&amp;" "&amp;N281&amp;" "&amp;O281,S$2)</f>
        <v>#NAME?</v>
      </c>
      <c r="T281" s="307" t="e">
        <f ca="1">_xll.BDP(M281&amp;" "&amp;N281&amp;" "&amp;O281,T$2)</f>
        <v>#NAME?</v>
      </c>
      <c r="V281" s="307" t="s">
        <v>1393</v>
      </c>
      <c r="W281" s="307">
        <v>150</v>
      </c>
      <c r="X281" s="307" t="s">
        <v>390</v>
      </c>
      <c r="Y281" s="307" t="s">
        <v>1394</v>
      </c>
    </row>
    <row r="282" spans="2:25">
      <c r="B282" s="335" t="s">
        <v>374</v>
      </c>
      <c r="C282" s="335" t="s">
        <v>375</v>
      </c>
      <c r="D282" s="335" t="s">
        <v>821</v>
      </c>
      <c r="E282" s="335" t="s">
        <v>822</v>
      </c>
      <c r="F282" s="335" t="s">
        <v>376</v>
      </c>
      <c r="G282" s="335" t="s">
        <v>11</v>
      </c>
      <c r="H282" s="336" t="s">
        <v>7</v>
      </c>
      <c r="I282" s="335">
        <v>0</v>
      </c>
      <c r="J282" s="335" t="s">
        <v>823</v>
      </c>
      <c r="K282" s="335" t="s">
        <v>1258</v>
      </c>
      <c r="M282" s="335" t="s">
        <v>1395</v>
      </c>
      <c r="N282" s="335" t="s">
        <v>388</v>
      </c>
      <c r="O282" s="335" t="s">
        <v>389</v>
      </c>
      <c r="Q282" s="307" t="e">
        <f ca="1">_xll.BDP(M282&amp;" "&amp;N282&amp;" "&amp;O282,Q$2)</f>
        <v>#NAME?</v>
      </c>
      <c r="R282" s="307" t="e">
        <f ca="1">_xll.BDP(M282&amp;" "&amp;N282&amp;" "&amp;O282,R$2)</f>
        <v>#NAME?</v>
      </c>
      <c r="S282" s="307" t="e">
        <f ca="1">_xll.BDP(M282&amp;" "&amp;N282&amp;" "&amp;O282,S$2)</f>
        <v>#NAME?</v>
      </c>
      <c r="T282" s="307" t="e">
        <f ca="1">_xll.BDP(M282&amp;" "&amp;N282&amp;" "&amp;O282,T$2)</f>
        <v>#NAME?</v>
      </c>
      <c r="V282" s="307" t="s">
        <v>1396</v>
      </c>
      <c r="W282" s="307">
        <v>187</v>
      </c>
      <c r="X282" s="307" t="s">
        <v>390</v>
      </c>
      <c r="Y282" s="307" t="s">
        <v>836</v>
      </c>
    </row>
    <row r="283" spans="2:25">
      <c r="B283" s="335" t="s">
        <v>374</v>
      </c>
      <c r="C283" s="335" t="s">
        <v>375</v>
      </c>
      <c r="D283" s="335" t="s">
        <v>821</v>
      </c>
      <c r="E283" s="335" t="s">
        <v>822</v>
      </c>
      <c r="F283" s="335" t="s">
        <v>376</v>
      </c>
      <c r="G283" s="335" t="s">
        <v>11</v>
      </c>
      <c r="H283" s="336" t="s">
        <v>154</v>
      </c>
      <c r="I283" s="335">
        <v>0</v>
      </c>
      <c r="J283" s="335" t="s">
        <v>823</v>
      </c>
      <c r="K283" s="335" t="s">
        <v>1258</v>
      </c>
      <c r="M283" s="335" t="s">
        <v>1397</v>
      </c>
      <c r="N283" s="335" t="s">
        <v>388</v>
      </c>
      <c r="O283" s="335" t="s">
        <v>389</v>
      </c>
      <c r="Q283" s="307" t="e">
        <f ca="1">_xll.BDP(M283&amp;" "&amp;N283&amp;" "&amp;O283,Q$2)</f>
        <v>#NAME?</v>
      </c>
      <c r="R283" s="307" t="e">
        <f ca="1">_xll.BDP(M283&amp;" "&amp;N283&amp;" "&amp;O283,R$2)</f>
        <v>#NAME?</v>
      </c>
      <c r="S283" s="307" t="e">
        <f ca="1">_xll.BDP(M283&amp;" "&amp;N283&amp;" "&amp;O283,S$2)</f>
        <v>#NAME?</v>
      </c>
      <c r="T283" s="307" t="e">
        <f ca="1">_xll.BDP(M283&amp;" "&amp;N283&amp;" "&amp;O283,T$2)</f>
        <v>#NAME?</v>
      </c>
      <c r="V283" s="307" t="s">
        <v>1398</v>
      </c>
      <c r="W283" s="307">
        <v>256</v>
      </c>
      <c r="X283" s="307" t="s">
        <v>390</v>
      </c>
      <c r="Y283" s="307" t="s">
        <v>836</v>
      </c>
    </row>
    <row r="284" spans="2:25">
      <c r="B284" s="335" t="s">
        <v>374</v>
      </c>
      <c r="C284" s="335" t="s">
        <v>375</v>
      </c>
      <c r="D284" s="335" t="s">
        <v>821</v>
      </c>
      <c r="E284" s="335" t="s">
        <v>822</v>
      </c>
      <c r="F284" s="335" t="s">
        <v>376</v>
      </c>
      <c r="G284" s="335" t="s">
        <v>11</v>
      </c>
      <c r="H284" s="336" t="s">
        <v>8</v>
      </c>
      <c r="I284" s="335">
        <v>0</v>
      </c>
      <c r="J284" s="335" t="s">
        <v>823</v>
      </c>
      <c r="K284" s="335" t="s">
        <v>1258</v>
      </c>
      <c r="M284" s="335" t="s">
        <v>1399</v>
      </c>
      <c r="N284" s="335" t="s">
        <v>388</v>
      </c>
      <c r="O284" s="335" t="s">
        <v>389</v>
      </c>
      <c r="Q284" s="307" t="e">
        <f ca="1">_xll.BDP(M284&amp;" "&amp;N284&amp;" "&amp;O284,Q$2)</f>
        <v>#NAME?</v>
      </c>
      <c r="R284" s="307" t="e">
        <f ca="1">_xll.BDP(M284&amp;" "&amp;N284&amp;" "&amp;O284,R$2)</f>
        <v>#NAME?</v>
      </c>
      <c r="S284" s="307" t="e">
        <f ca="1">_xll.BDP(M284&amp;" "&amp;N284&amp;" "&amp;O284,S$2)</f>
        <v>#NAME?</v>
      </c>
      <c r="T284" s="307" t="e">
        <f ca="1">_xll.BDP(M284&amp;" "&amp;N284&amp;" "&amp;O284,T$2)</f>
        <v>#NAME?</v>
      </c>
      <c r="V284" s="307" t="s">
        <v>1400</v>
      </c>
      <c r="W284" s="307">
        <v>323</v>
      </c>
      <c r="X284" s="307" t="s">
        <v>390</v>
      </c>
      <c r="Y284" s="307" t="s">
        <v>1394</v>
      </c>
    </row>
    <row r="285" spans="2:25">
      <c r="B285" s="335" t="s">
        <v>374</v>
      </c>
      <c r="C285" s="335" t="s">
        <v>375</v>
      </c>
      <c r="D285" s="335" t="s">
        <v>821</v>
      </c>
      <c r="E285" s="335" t="s">
        <v>822</v>
      </c>
      <c r="F285" s="335" t="s">
        <v>376</v>
      </c>
      <c r="G285" s="335" t="s">
        <v>11</v>
      </c>
      <c r="H285" s="336" t="s">
        <v>9</v>
      </c>
      <c r="I285" s="335">
        <v>0</v>
      </c>
      <c r="J285" s="335" t="s">
        <v>823</v>
      </c>
      <c r="K285" s="335" t="s">
        <v>1258</v>
      </c>
      <c r="M285" s="335" t="s">
        <v>1401</v>
      </c>
      <c r="N285" s="335" t="s">
        <v>388</v>
      </c>
      <c r="O285" s="335" t="s">
        <v>389</v>
      </c>
      <c r="Q285" s="307" t="e">
        <f ca="1">_xll.BDP(M285&amp;" "&amp;N285&amp;" "&amp;O285,Q$2)</f>
        <v>#NAME?</v>
      </c>
      <c r="R285" s="307" t="e">
        <f ca="1">_xll.BDP(M285&amp;" "&amp;N285&amp;" "&amp;O285,R$2)</f>
        <v>#NAME?</v>
      </c>
      <c r="S285" s="307" t="e">
        <f ca="1">_xll.BDP(M285&amp;" "&amp;N285&amp;" "&amp;O285,S$2)</f>
        <v>#NAME?</v>
      </c>
      <c r="T285" s="307" t="e">
        <f ca="1">_xll.BDP(M285&amp;" "&amp;N285&amp;" "&amp;O285,T$2)</f>
        <v>#NAME?</v>
      </c>
      <c r="V285" s="307" t="s">
        <v>1402</v>
      </c>
      <c r="W285" s="307">
        <v>441</v>
      </c>
      <c r="X285" s="307" t="s">
        <v>390</v>
      </c>
      <c r="Y285" s="307" t="s">
        <v>836</v>
      </c>
    </row>
    <row r="286" spans="2:25">
      <c r="B286" s="335" t="s">
        <v>374</v>
      </c>
      <c r="C286" s="335" t="s">
        <v>375</v>
      </c>
      <c r="D286" s="335" t="s">
        <v>821</v>
      </c>
      <c r="E286" s="335" t="s">
        <v>822</v>
      </c>
      <c r="F286" s="335" t="s">
        <v>376</v>
      </c>
      <c r="G286" s="335" t="s">
        <v>11</v>
      </c>
      <c r="H286" s="336" t="s">
        <v>10</v>
      </c>
      <c r="I286" s="335">
        <v>0</v>
      </c>
      <c r="J286" s="335" t="s">
        <v>823</v>
      </c>
      <c r="K286" s="335" t="s">
        <v>1258</v>
      </c>
      <c r="M286" s="335" t="s">
        <v>1403</v>
      </c>
      <c r="N286" s="335" t="s">
        <v>388</v>
      </c>
      <c r="O286" s="335" t="s">
        <v>389</v>
      </c>
      <c r="Q286" s="307" t="e">
        <f ca="1">_xll.BDP(M286&amp;" "&amp;N286&amp;" "&amp;O286,Q$2)</f>
        <v>#NAME?</v>
      </c>
      <c r="R286" s="307" t="e">
        <f ca="1">_xll.BDP(M286&amp;" "&amp;N286&amp;" "&amp;O286,R$2)</f>
        <v>#NAME?</v>
      </c>
      <c r="S286" s="307" t="e">
        <f ca="1">_xll.BDP(M286&amp;" "&amp;N286&amp;" "&amp;O286,S$2)</f>
        <v>#NAME?</v>
      </c>
      <c r="T286" s="307" t="e">
        <f ca="1">_xll.BDP(M286&amp;" "&amp;N286&amp;" "&amp;O286,T$2)</f>
        <v>#NAME?</v>
      </c>
      <c r="V286" s="307" t="s">
        <v>1404</v>
      </c>
      <c r="W286" s="307">
        <v>536</v>
      </c>
      <c r="X286" s="307" t="s">
        <v>390</v>
      </c>
      <c r="Y286" s="307" t="s">
        <v>973</v>
      </c>
    </row>
    <row r="287" spans="2:25">
      <c r="B287" s="335" t="s">
        <v>374</v>
      </c>
      <c r="C287" s="335" t="s">
        <v>375</v>
      </c>
      <c r="D287" s="335" t="s">
        <v>821</v>
      </c>
      <c r="E287" s="335" t="s">
        <v>822</v>
      </c>
      <c r="F287" s="335" t="s">
        <v>376</v>
      </c>
      <c r="G287" s="335" t="s">
        <v>11</v>
      </c>
      <c r="H287" s="336" t="s">
        <v>11</v>
      </c>
      <c r="I287" s="335">
        <v>0</v>
      </c>
      <c r="J287" s="335" t="s">
        <v>823</v>
      </c>
      <c r="K287" s="335" t="s">
        <v>1258</v>
      </c>
      <c r="M287" s="335" t="s">
        <v>1405</v>
      </c>
      <c r="N287" s="335" t="s">
        <v>388</v>
      </c>
      <c r="O287" s="335" t="s">
        <v>389</v>
      </c>
      <c r="Q287" s="307" t="e">
        <f ca="1">_xll.BDP(M287&amp;" "&amp;N287&amp;" "&amp;O287,Q$2)</f>
        <v>#NAME?</v>
      </c>
      <c r="R287" s="307" t="e">
        <f ca="1">_xll.BDP(M287&amp;" "&amp;N287&amp;" "&amp;O287,R$2)</f>
        <v>#NAME?</v>
      </c>
      <c r="S287" s="307" t="e">
        <f ca="1">_xll.BDP(M287&amp;" "&amp;N287&amp;" "&amp;O287,S$2)</f>
        <v>#NAME?</v>
      </c>
      <c r="T287" s="307" t="e">
        <f ca="1">_xll.BDP(M287&amp;" "&amp;N287&amp;" "&amp;O287,T$2)</f>
        <v>#NAME?</v>
      </c>
      <c r="V287" s="307" t="s">
        <v>1406</v>
      </c>
      <c r="W287" s="307">
        <v>616</v>
      </c>
      <c r="X287" s="307" t="s">
        <v>390</v>
      </c>
      <c r="Y287" s="307" t="s">
        <v>847</v>
      </c>
    </row>
    <row r="288" spans="2:25">
      <c r="B288" s="335" t="s">
        <v>374</v>
      </c>
      <c r="C288" s="335" t="s">
        <v>375</v>
      </c>
      <c r="D288" s="335" t="s">
        <v>821</v>
      </c>
      <c r="E288" s="335" t="s">
        <v>822</v>
      </c>
      <c r="F288" s="335" t="s">
        <v>376</v>
      </c>
      <c r="G288" s="335" t="s">
        <v>11</v>
      </c>
      <c r="H288" s="336" t="s">
        <v>13</v>
      </c>
      <c r="I288" s="335">
        <v>0</v>
      </c>
      <c r="J288" s="335" t="s">
        <v>823</v>
      </c>
      <c r="K288" s="335" t="s">
        <v>1258</v>
      </c>
      <c r="M288" s="335" t="s">
        <v>1407</v>
      </c>
      <c r="N288" s="335" t="s">
        <v>388</v>
      </c>
      <c r="O288" s="335" t="s">
        <v>389</v>
      </c>
      <c r="Q288" s="307" t="e">
        <f ca="1">_xll.BDP(M288&amp;" "&amp;N288&amp;" "&amp;O288,Q$2)</f>
        <v>#NAME?</v>
      </c>
      <c r="R288" s="307" t="e">
        <f ca="1">_xll.BDP(M288&amp;" "&amp;N288&amp;" "&amp;O288,R$2)</f>
        <v>#NAME?</v>
      </c>
      <c r="S288" s="307" t="e">
        <f ca="1">_xll.BDP(M288&amp;" "&amp;N288&amp;" "&amp;O288,S$2)</f>
        <v>#NAME?</v>
      </c>
      <c r="T288" s="307" t="e">
        <f ca="1">_xll.BDP(M288&amp;" "&amp;N288&amp;" "&amp;O288,T$2)</f>
        <v>#NAME?</v>
      </c>
      <c r="V288" s="307" t="s">
        <v>1408</v>
      </c>
      <c r="W288" s="307">
        <v>735</v>
      </c>
      <c r="X288" s="307" t="s">
        <v>390</v>
      </c>
      <c r="Y288" s="307" t="s">
        <v>973</v>
      </c>
    </row>
    <row r="289" spans="2:25">
      <c r="B289" s="335" t="s">
        <v>374</v>
      </c>
      <c r="C289" s="335" t="s">
        <v>375</v>
      </c>
      <c r="D289" s="335" t="s">
        <v>821</v>
      </c>
      <c r="E289" s="335" t="s">
        <v>822</v>
      </c>
      <c r="F289" s="335" t="s">
        <v>376</v>
      </c>
      <c r="G289" s="335" t="s">
        <v>11</v>
      </c>
      <c r="H289" s="336" t="s">
        <v>16</v>
      </c>
      <c r="I289" s="335">
        <v>0</v>
      </c>
      <c r="J289" s="335" t="s">
        <v>823</v>
      </c>
      <c r="K289" s="335" t="s">
        <v>1258</v>
      </c>
      <c r="M289" s="335" t="s">
        <v>1409</v>
      </c>
      <c r="N289" s="335" t="s">
        <v>388</v>
      </c>
      <c r="O289" s="335" t="s">
        <v>389</v>
      </c>
      <c r="Q289" s="307" t="e">
        <f ca="1">_xll.BDP(M289&amp;" "&amp;N289&amp;" "&amp;O289,Q$2)</f>
        <v>#NAME?</v>
      </c>
      <c r="R289" s="307" t="e">
        <f ca="1">_xll.BDP(M289&amp;" "&amp;N289&amp;" "&amp;O289,R$2)</f>
        <v>#NAME?</v>
      </c>
      <c r="S289" s="307" t="e">
        <f ca="1">_xll.BDP(M289&amp;" "&amp;N289&amp;" "&amp;O289,S$2)</f>
        <v>#NAME?</v>
      </c>
      <c r="T289" s="307" t="e">
        <f ca="1">_xll.BDP(M289&amp;" "&amp;N289&amp;" "&amp;O289,T$2)</f>
        <v>#NAME?</v>
      </c>
      <c r="V289" s="307" t="s">
        <v>1410</v>
      </c>
      <c r="W289" s="307">
        <v>868</v>
      </c>
      <c r="X289" s="307" t="s">
        <v>390</v>
      </c>
      <c r="Y289" s="307" t="s">
        <v>847</v>
      </c>
    </row>
    <row r="290" spans="2:25">
      <c r="B290" s="335" t="s">
        <v>374</v>
      </c>
      <c r="C290" s="335" t="s">
        <v>375</v>
      </c>
      <c r="D290" s="335" t="s">
        <v>821</v>
      </c>
      <c r="E290" s="335" t="s">
        <v>822</v>
      </c>
      <c r="F290" s="335" t="s">
        <v>376</v>
      </c>
      <c r="G290" s="335" t="s">
        <v>11</v>
      </c>
      <c r="H290" s="336" t="s">
        <v>17</v>
      </c>
      <c r="I290" s="335">
        <v>0</v>
      </c>
      <c r="J290" s="335" t="s">
        <v>823</v>
      </c>
      <c r="K290" s="335" t="s">
        <v>1258</v>
      </c>
      <c r="M290" s="335" t="s">
        <v>1411</v>
      </c>
      <c r="N290" s="335" t="s">
        <v>388</v>
      </c>
      <c r="O290" s="335" t="s">
        <v>389</v>
      </c>
      <c r="Q290" s="307" t="e">
        <f ca="1">_xll.BDP(M290&amp;" "&amp;N290&amp;" "&amp;O290,Q$2)</f>
        <v>#NAME?</v>
      </c>
      <c r="R290" s="307" t="e">
        <f ca="1">_xll.BDP(M290&amp;" "&amp;N290&amp;" "&amp;O290,R$2)</f>
        <v>#NAME?</v>
      </c>
      <c r="S290" s="307" t="e">
        <f ca="1">_xll.BDP(M290&amp;" "&amp;N290&amp;" "&amp;O290,S$2)</f>
        <v>#NAME?</v>
      </c>
      <c r="T290" s="307" t="e">
        <f ca="1">_xll.BDP(M290&amp;" "&amp;N290&amp;" "&amp;O290,T$2)</f>
        <v>#NAME?</v>
      </c>
      <c r="V290" s="307" t="s">
        <v>1412</v>
      </c>
      <c r="W290" s="307">
        <v>1020</v>
      </c>
      <c r="X290" s="307" t="s">
        <v>390</v>
      </c>
      <c r="Y290" s="307" t="s">
        <v>847</v>
      </c>
    </row>
    <row r="291" spans="2:25">
      <c r="B291" s="335" t="s">
        <v>374</v>
      </c>
      <c r="C291" s="335" t="s">
        <v>375</v>
      </c>
      <c r="D291" s="335" t="s">
        <v>821</v>
      </c>
      <c r="E291" s="335" t="s">
        <v>822</v>
      </c>
      <c r="F291" s="335" t="s">
        <v>376</v>
      </c>
      <c r="G291" s="335" t="s">
        <v>11</v>
      </c>
      <c r="H291" s="336" t="s">
        <v>104</v>
      </c>
      <c r="I291" s="335">
        <v>0</v>
      </c>
      <c r="J291" s="335" t="s">
        <v>823</v>
      </c>
      <c r="K291" s="335" t="s">
        <v>1258</v>
      </c>
      <c r="M291" s="335" t="s">
        <v>1413</v>
      </c>
      <c r="N291" s="335" t="s">
        <v>388</v>
      </c>
      <c r="O291" s="335" t="s">
        <v>389</v>
      </c>
      <c r="Q291" s="307" t="e">
        <f ca="1">_xll.BDP(M291&amp;" "&amp;N291&amp;" "&amp;O291,Q$2)</f>
        <v>#NAME?</v>
      </c>
      <c r="R291" s="307" t="e">
        <f ca="1">_xll.BDP(M291&amp;" "&amp;N291&amp;" "&amp;O291,R$2)</f>
        <v>#NAME?</v>
      </c>
      <c r="S291" s="307" t="e">
        <f ca="1">_xll.BDP(M291&amp;" "&amp;N291&amp;" "&amp;O291,S$2)</f>
        <v>#NAME?</v>
      </c>
      <c r="T291" s="307" t="e">
        <f ca="1">_xll.BDP(M291&amp;" "&amp;N291&amp;" "&amp;O291,T$2)</f>
        <v>#NAME?</v>
      </c>
      <c r="V291" s="307" t="s">
        <v>1414</v>
      </c>
      <c r="W291" s="307">
        <v>1116</v>
      </c>
      <c r="X291" s="307" t="s">
        <v>390</v>
      </c>
      <c r="Y291" s="307" t="s">
        <v>859</v>
      </c>
    </row>
    <row r="292" spans="2:25">
      <c r="B292" s="335" t="s">
        <v>374</v>
      </c>
      <c r="C292" s="335" t="s">
        <v>375</v>
      </c>
      <c r="D292" s="335" t="s">
        <v>821</v>
      </c>
      <c r="E292" s="335" t="s">
        <v>822</v>
      </c>
      <c r="F292" s="335" t="s">
        <v>376</v>
      </c>
      <c r="G292" s="335" t="s">
        <v>12</v>
      </c>
      <c r="H292" s="335" t="s">
        <v>23</v>
      </c>
      <c r="I292" s="335">
        <v>0</v>
      </c>
      <c r="J292" s="335" t="s">
        <v>823</v>
      </c>
      <c r="K292" s="335" t="s">
        <v>1258</v>
      </c>
      <c r="M292" s="335" t="s">
        <v>1415</v>
      </c>
      <c r="N292" s="335" t="s">
        <v>388</v>
      </c>
      <c r="O292" s="335" t="s">
        <v>389</v>
      </c>
      <c r="Q292" s="307" t="e">
        <f ca="1">_xll.BDP(M292&amp;" "&amp;N292&amp;" "&amp;O292,Q$2)</f>
        <v>#NAME?</v>
      </c>
      <c r="R292" s="307" t="e">
        <f ca="1">_xll.BDP(M292&amp;" "&amp;N292&amp;" "&amp;O292,R$2)</f>
        <v>#NAME?</v>
      </c>
      <c r="S292" s="307" t="e">
        <f ca="1">_xll.BDP(M292&amp;" "&amp;N292&amp;" "&amp;O292,S$2)</f>
        <v>#NAME?</v>
      </c>
      <c r="T292" s="307" t="e">
        <f ca="1">_xll.BDP(M292&amp;" "&amp;N292&amp;" "&amp;O292,T$2)</f>
        <v>#NAME?</v>
      </c>
      <c r="V292" s="307" t="s">
        <v>1416</v>
      </c>
      <c r="W292" s="307">
        <v>59.5</v>
      </c>
      <c r="X292" s="307" t="s">
        <v>390</v>
      </c>
      <c r="Y292" s="307" t="s">
        <v>893</v>
      </c>
    </row>
    <row r="293" spans="2:25">
      <c r="B293" s="335" t="s">
        <v>374</v>
      </c>
      <c r="C293" s="335" t="s">
        <v>375</v>
      </c>
      <c r="D293" s="335" t="s">
        <v>821</v>
      </c>
      <c r="E293" s="335" t="s">
        <v>822</v>
      </c>
      <c r="F293" s="335" t="s">
        <v>376</v>
      </c>
      <c r="G293" s="335" t="s">
        <v>12</v>
      </c>
      <c r="H293" s="335" t="s">
        <v>398</v>
      </c>
      <c r="I293" s="335">
        <v>0</v>
      </c>
      <c r="J293" s="335" t="s">
        <v>823</v>
      </c>
      <c r="K293" s="335" t="s">
        <v>1258</v>
      </c>
      <c r="M293" s="335" t="s">
        <v>1417</v>
      </c>
      <c r="N293" s="335" t="s">
        <v>388</v>
      </c>
      <c r="O293" s="335" t="s">
        <v>389</v>
      </c>
      <c r="Q293" s="307" t="e">
        <f ca="1">_xll.BDP(M293&amp;" "&amp;N293&amp;" "&amp;O293,Q$2)</f>
        <v>#NAME?</v>
      </c>
      <c r="R293" s="307" t="e">
        <f ca="1">_xll.BDP(M293&amp;" "&amp;N293&amp;" "&amp;O293,R$2)</f>
        <v>#NAME?</v>
      </c>
      <c r="S293" s="307" t="e">
        <f ca="1">_xll.BDP(M293&amp;" "&amp;N293&amp;" "&amp;O293,S$2)</f>
        <v>#NAME?</v>
      </c>
      <c r="T293" s="307" t="e">
        <f ca="1">_xll.BDP(M293&amp;" "&amp;N293&amp;" "&amp;O293,T$2)</f>
        <v>#NAME?</v>
      </c>
      <c r="V293" s="307" t="s">
        <v>1418</v>
      </c>
      <c r="W293" s="307">
        <v>88.5</v>
      </c>
      <c r="X293" s="307" t="s">
        <v>390</v>
      </c>
      <c r="Y293" s="307" t="s">
        <v>893</v>
      </c>
    </row>
    <row r="294" spans="2:25">
      <c r="B294" s="335" t="s">
        <v>374</v>
      </c>
      <c r="C294" s="335" t="s">
        <v>375</v>
      </c>
      <c r="D294" s="335" t="s">
        <v>821</v>
      </c>
      <c r="E294" s="335" t="s">
        <v>822</v>
      </c>
      <c r="F294" s="335" t="s">
        <v>376</v>
      </c>
      <c r="G294" s="335" t="s">
        <v>12</v>
      </c>
      <c r="H294" s="336" t="s">
        <v>26</v>
      </c>
      <c r="I294" s="335">
        <v>0</v>
      </c>
      <c r="J294" s="335" t="s">
        <v>823</v>
      </c>
      <c r="K294" s="335" t="s">
        <v>1258</v>
      </c>
      <c r="M294" s="335" t="s">
        <v>1419</v>
      </c>
      <c r="N294" s="335" t="s">
        <v>388</v>
      </c>
      <c r="O294" s="335" t="s">
        <v>389</v>
      </c>
      <c r="Q294" s="307" t="e">
        <f ca="1">_xll.BDP(M294&amp;" "&amp;N294&amp;" "&amp;O294,Q$2)</f>
        <v>#NAME?</v>
      </c>
      <c r="R294" s="307" t="e">
        <f ca="1">_xll.BDP(M294&amp;" "&amp;N294&amp;" "&amp;O294,R$2)</f>
        <v>#NAME?</v>
      </c>
      <c r="S294" s="307" t="e">
        <f ca="1">_xll.BDP(M294&amp;" "&amp;N294&amp;" "&amp;O294,S$2)</f>
        <v>#NAME?</v>
      </c>
      <c r="T294" s="307" t="e">
        <f ca="1">_xll.BDP(M294&amp;" "&amp;N294&amp;" "&amp;O294,T$2)</f>
        <v>#NAME?</v>
      </c>
      <c r="V294" s="307" t="s">
        <v>1420</v>
      </c>
      <c r="W294" s="307">
        <v>107</v>
      </c>
      <c r="X294" s="307" t="s">
        <v>390</v>
      </c>
      <c r="Y294" s="307" t="s">
        <v>893</v>
      </c>
    </row>
    <row r="295" spans="2:25">
      <c r="B295" s="335" t="s">
        <v>374</v>
      </c>
      <c r="C295" s="335" t="s">
        <v>375</v>
      </c>
      <c r="D295" s="335" t="s">
        <v>821</v>
      </c>
      <c r="E295" s="335" t="s">
        <v>822</v>
      </c>
      <c r="F295" s="335" t="s">
        <v>376</v>
      </c>
      <c r="G295" s="335" t="s">
        <v>12</v>
      </c>
      <c r="H295" s="336" t="s">
        <v>19</v>
      </c>
      <c r="I295" s="335">
        <v>0</v>
      </c>
      <c r="J295" s="335" t="s">
        <v>823</v>
      </c>
      <c r="K295" s="335" t="s">
        <v>1258</v>
      </c>
      <c r="M295" s="335" t="s">
        <v>1421</v>
      </c>
      <c r="N295" s="335" t="s">
        <v>388</v>
      </c>
      <c r="O295" s="335" t="s">
        <v>389</v>
      </c>
      <c r="Q295" s="307" t="e">
        <f ca="1">_xll.BDP(M295&amp;" "&amp;N295&amp;" "&amp;O295,Q$2)</f>
        <v>#NAME?</v>
      </c>
      <c r="R295" s="307" t="e">
        <f ca="1">_xll.BDP(M295&amp;" "&amp;N295&amp;" "&amp;O295,R$2)</f>
        <v>#NAME?</v>
      </c>
      <c r="S295" s="307" t="e">
        <f ca="1">_xll.BDP(M295&amp;" "&amp;N295&amp;" "&amp;O295,S$2)</f>
        <v>#NAME?</v>
      </c>
      <c r="T295" s="307" t="e">
        <f ca="1">_xll.BDP(M295&amp;" "&amp;N295&amp;" "&amp;O295,T$2)</f>
        <v>#NAME?</v>
      </c>
      <c r="V295" s="307" t="s">
        <v>1422</v>
      </c>
      <c r="W295" s="307">
        <v>159</v>
      </c>
      <c r="X295" s="307" t="s">
        <v>390</v>
      </c>
      <c r="Y295" s="307" t="s">
        <v>893</v>
      </c>
    </row>
    <row r="296" spans="2:25">
      <c r="B296" s="335" t="s">
        <v>374</v>
      </c>
      <c r="C296" s="335" t="s">
        <v>375</v>
      </c>
      <c r="D296" s="335" t="s">
        <v>821</v>
      </c>
      <c r="E296" s="335" t="s">
        <v>822</v>
      </c>
      <c r="F296" s="335" t="s">
        <v>376</v>
      </c>
      <c r="G296" s="335" t="s">
        <v>12</v>
      </c>
      <c r="H296" s="336" t="s">
        <v>412</v>
      </c>
      <c r="I296" s="335">
        <v>0</v>
      </c>
      <c r="J296" s="335" t="s">
        <v>823</v>
      </c>
      <c r="K296" s="335" t="s">
        <v>1258</v>
      </c>
      <c r="M296" s="335" t="s">
        <v>1423</v>
      </c>
      <c r="N296" s="335" t="s">
        <v>388</v>
      </c>
      <c r="O296" s="335" t="s">
        <v>389</v>
      </c>
      <c r="Q296" s="307" t="e">
        <f ca="1">_xll.BDP(M296&amp;" "&amp;N296&amp;" "&amp;O296,Q$2)</f>
        <v>#NAME?</v>
      </c>
      <c r="R296" s="307" t="e">
        <f ca="1">_xll.BDP(M296&amp;" "&amp;N296&amp;" "&amp;O296,R$2)</f>
        <v>#NAME?</v>
      </c>
      <c r="S296" s="307" t="e">
        <f ca="1">_xll.BDP(M296&amp;" "&amp;N296&amp;" "&amp;O296,S$2)</f>
        <v>#NAME?</v>
      </c>
      <c r="T296" s="307" t="e">
        <f ca="1">_xll.BDP(M296&amp;" "&amp;N296&amp;" "&amp;O296,T$2)</f>
        <v>#NAME?</v>
      </c>
      <c r="V296" s="307" t="s">
        <v>1424</v>
      </c>
      <c r="W296" s="307">
        <v>203</v>
      </c>
      <c r="X296" s="307" t="s">
        <v>390</v>
      </c>
      <c r="Y296" s="307" t="s">
        <v>936</v>
      </c>
    </row>
    <row r="297" spans="2:25">
      <c r="B297" s="335" t="s">
        <v>374</v>
      </c>
      <c r="C297" s="335" t="s">
        <v>375</v>
      </c>
      <c r="D297" s="335" t="s">
        <v>821</v>
      </c>
      <c r="E297" s="335" t="s">
        <v>822</v>
      </c>
      <c r="F297" s="335" t="s">
        <v>376</v>
      </c>
      <c r="G297" s="335" t="s">
        <v>12</v>
      </c>
      <c r="H297" s="336" t="s">
        <v>7</v>
      </c>
      <c r="I297" s="335">
        <v>0</v>
      </c>
      <c r="J297" s="335" t="s">
        <v>823</v>
      </c>
      <c r="K297" s="335" t="s">
        <v>1258</v>
      </c>
      <c r="M297" s="335" t="s">
        <v>1425</v>
      </c>
      <c r="N297" s="335" t="s">
        <v>388</v>
      </c>
      <c r="O297" s="335" t="s">
        <v>389</v>
      </c>
      <c r="Q297" s="307" t="e">
        <f ca="1">_xll.BDP(M297&amp;" "&amp;N297&amp;" "&amp;O297,Q$2)</f>
        <v>#NAME?</v>
      </c>
      <c r="R297" s="307" t="e">
        <f ca="1">_xll.BDP(M297&amp;" "&amp;N297&amp;" "&amp;O297,R$2)</f>
        <v>#NAME?</v>
      </c>
      <c r="S297" s="307" t="e">
        <f ca="1">_xll.BDP(M297&amp;" "&amp;N297&amp;" "&amp;O297,S$2)</f>
        <v>#NAME?</v>
      </c>
      <c r="T297" s="307" t="e">
        <f ca="1">_xll.BDP(M297&amp;" "&amp;N297&amp;" "&amp;O297,T$2)</f>
        <v>#NAME?</v>
      </c>
      <c r="V297" s="307" t="s">
        <v>1426</v>
      </c>
      <c r="W297" s="307">
        <v>249</v>
      </c>
      <c r="X297" s="307" t="s">
        <v>390</v>
      </c>
      <c r="Y297" s="307" t="s">
        <v>936</v>
      </c>
    </row>
    <row r="298" spans="2:25">
      <c r="B298" s="335" t="s">
        <v>374</v>
      </c>
      <c r="C298" s="335" t="s">
        <v>375</v>
      </c>
      <c r="D298" s="335" t="s">
        <v>821</v>
      </c>
      <c r="E298" s="335" t="s">
        <v>822</v>
      </c>
      <c r="F298" s="335" t="s">
        <v>376</v>
      </c>
      <c r="G298" s="335" t="s">
        <v>12</v>
      </c>
      <c r="H298" s="336" t="s">
        <v>154</v>
      </c>
      <c r="I298" s="335">
        <v>0</v>
      </c>
      <c r="J298" s="335" t="s">
        <v>823</v>
      </c>
      <c r="K298" s="335" t="s">
        <v>1258</v>
      </c>
      <c r="M298" s="335" t="s">
        <v>1427</v>
      </c>
      <c r="N298" s="335" t="s">
        <v>388</v>
      </c>
      <c r="O298" s="335" t="s">
        <v>389</v>
      </c>
      <c r="Q298" s="307" t="e">
        <f ca="1">_xll.BDP(M298&amp;" "&amp;N298&amp;" "&amp;O298,Q$2)</f>
        <v>#NAME?</v>
      </c>
      <c r="R298" s="307" t="e">
        <f ca="1">_xll.BDP(M298&amp;" "&amp;N298&amp;" "&amp;O298,R$2)</f>
        <v>#NAME?</v>
      </c>
      <c r="S298" s="307" t="e">
        <f ca="1">_xll.BDP(M298&amp;" "&amp;N298&amp;" "&amp;O298,S$2)</f>
        <v>#NAME?</v>
      </c>
      <c r="T298" s="307" t="e">
        <f ca="1">_xll.BDP(M298&amp;" "&amp;N298&amp;" "&amp;O298,T$2)</f>
        <v>#NAME?</v>
      </c>
      <c r="V298" s="307" t="s">
        <v>1428</v>
      </c>
      <c r="W298" s="307">
        <v>332</v>
      </c>
      <c r="X298" s="307" t="s">
        <v>390</v>
      </c>
      <c r="Y298" s="307" t="s">
        <v>900</v>
      </c>
    </row>
    <row r="299" spans="2:25">
      <c r="B299" s="335" t="s">
        <v>374</v>
      </c>
      <c r="C299" s="335" t="s">
        <v>375</v>
      </c>
      <c r="D299" s="335" t="s">
        <v>821</v>
      </c>
      <c r="E299" s="335" t="s">
        <v>822</v>
      </c>
      <c r="F299" s="335" t="s">
        <v>376</v>
      </c>
      <c r="G299" s="335" t="s">
        <v>12</v>
      </c>
      <c r="H299" s="336" t="s">
        <v>8</v>
      </c>
      <c r="I299" s="335">
        <v>0</v>
      </c>
      <c r="J299" s="335" t="s">
        <v>823</v>
      </c>
      <c r="K299" s="335" t="s">
        <v>1258</v>
      </c>
      <c r="M299" s="335" t="s">
        <v>1429</v>
      </c>
      <c r="N299" s="335" t="s">
        <v>388</v>
      </c>
      <c r="O299" s="335" t="s">
        <v>389</v>
      </c>
      <c r="Q299" s="307" t="e">
        <f ca="1">_xll.BDP(M299&amp;" "&amp;N299&amp;" "&amp;O299,Q$2)</f>
        <v>#NAME?</v>
      </c>
      <c r="R299" s="307" t="e">
        <f ca="1">_xll.BDP(M299&amp;" "&amp;N299&amp;" "&amp;O299,R$2)</f>
        <v>#NAME?</v>
      </c>
      <c r="S299" s="307" t="e">
        <f ca="1">_xll.BDP(M299&amp;" "&amp;N299&amp;" "&amp;O299,S$2)</f>
        <v>#NAME?</v>
      </c>
      <c r="T299" s="307" t="e">
        <f ca="1">_xll.BDP(M299&amp;" "&amp;N299&amp;" "&amp;O299,T$2)</f>
        <v>#NAME?</v>
      </c>
      <c r="V299" s="307" t="s">
        <v>1430</v>
      </c>
      <c r="W299" s="307">
        <v>407</v>
      </c>
      <c r="X299" s="307" t="s">
        <v>390</v>
      </c>
      <c r="Y299" s="307" t="s">
        <v>847</v>
      </c>
    </row>
    <row r="300" spans="2:25">
      <c r="B300" s="335" t="s">
        <v>374</v>
      </c>
      <c r="C300" s="335" t="s">
        <v>375</v>
      </c>
      <c r="D300" s="335" t="s">
        <v>821</v>
      </c>
      <c r="E300" s="335" t="s">
        <v>822</v>
      </c>
      <c r="F300" s="335" t="s">
        <v>376</v>
      </c>
      <c r="G300" s="335" t="s">
        <v>12</v>
      </c>
      <c r="H300" s="336" t="s">
        <v>9</v>
      </c>
      <c r="I300" s="335">
        <v>0</v>
      </c>
      <c r="J300" s="335" t="s">
        <v>823</v>
      </c>
      <c r="K300" s="335" t="s">
        <v>1258</v>
      </c>
      <c r="M300" s="335" t="s">
        <v>1431</v>
      </c>
      <c r="N300" s="335" t="s">
        <v>388</v>
      </c>
      <c r="O300" s="335" t="s">
        <v>389</v>
      </c>
      <c r="Q300" s="307" t="e">
        <f ca="1">_xll.BDP(M300&amp;" "&amp;N300&amp;" "&amp;O300,Q$2)</f>
        <v>#NAME?</v>
      </c>
      <c r="R300" s="307" t="e">
        <f ca="1">_xll.BDP(M300&amp;" "&amp;N300&amp;" "&amp;O300,R$2)</f>
        <v>#NAME?</v>
      </c>
      <c r="S300" s="307" t="e">
        <f ca="1">_xll.BDP(M300&amp;" "&amp;N300&amp;" "&amp;O300,S$2)</f>
        <v>#NAME?</v>
      </c>
      <c r="T300" s="307" t="e">
        <f ca="1">_xll.BDP(M300&amp;" "&amp;N300&amp;" "&amp;O300,T$2)</f>
        <v>#NAME?</v>
      </c>
      <c r="V300" s="307" t="s">
        <v>1432</v>
      </c>
      <c r="W300" s="307">
        <v>540</v>
      </c>
      <c r="X300" s="307" t="s">
        <v>390</v>
      </c>
      <c r="Y300" s="307" t="s">
        <v>1394</v>
      </c>
    </row>
    <row r="301" spans="2:25">
      <c r="B301" s="335" t="s">
        <v>374</v>
      </c>
      <c r="C301" s="335" t="s">
        <v>375</v>
      </c>
      <c r="D301" s="335" t="s">
        <v>821</v>
      </c>
      <c r="E301" s="335" t="s">
        <v>822</v>
      </c>
      <c r="F301" s="335" t="s">
        <v>376</v>
      </c>
      <c r="G301" s="335" t="s">
        <v>12</v>
      </c>
      <c r="H301" s="336" t="s">
        <v>10</v>
      </c>
      <c r="I301" s="335">
        <v>0</v>
      </c>
      <c r="J301" s="335" t="s">
        <v>823</v>
      </c>
      <c r="K301" s="335" t="s">
        <v>1258</v>
      </c>
      <c r="M301" s="335" t="s">
        <v>1433</v>
      </c>
      <c r="N301" s="335" t="s">
        <v>388</v>
      </c>
      <c r="O301" s="335" t="s">
        <v>389</v>
      </c>
      <c r="Q301" s="307" t="e">
        <f ca="1">_xll.BDP(M301&amp;" "&amp;N301&amp;" "&amp;O301,Q$2)</f>
        <v>#NAME?</v>
      </c>
      <c r="R301" s="307" t="e">
        <f ca="1">_xll.BDP(M301&amp;" "&amp;N301&amp;" "&amp;O301,R$2)</f>
        <v>#NAME?</v>
      </c>
      <c r="S301" s="307" t="e">
        <f ca="1">_xll.BDP(M301&amp;" "&amp;N301&amp;" "&amp;O301,S$2)</f>
        <v>#NAME?</v>
      </c>
      <c r="T301" s="307" t="e">
        <f ca="1">_xll.BDP(M301&amp;" "&amp;N301&amp;" "&amp;O301,T$2)</f>
        <v>#NAME?</v>
      </c>
      <c r="V301" s="307" t="s">
        <v>1434</v>
      </c>
      <c r="W301" s="307">
        <v>646</v>
      </c>
      <c r="X301" s="307" t="s">
        <v>390</v>
      </c>
      <c r="Y301" s="307" t="s">
        <v>847</v>
      </c>
    </row>
    <row r="302" spans="2:25">
      <c r="B302" s="335" t="s">
        <v>374</v>
      </c>
      <c r="C302" s="335" t="s">
        <v>375</v>
      </c>
      <c r="D302" s="335" t="s">
        <v>821</v>
      </c>
      <c r="E302" s="335" t="s">
        <v>822</v>
      </c>
      <c r="F302" s="335" t="s">
        <v>376</v>
      </c>
      <c r="G302" s="335" t="s">
        <v>12</v>
      </c>
      <c r="H302" s="336" t="s">
        <v>11</v>
      </c>
      <c r="I302" s="335">
        <v>0</v>
      </c>
      <c r="J302" s="335" t="s">
        <v>823</v>
      </c>
      <c r="K302" s="335" t="s">
        <v>1258</v>
      </c>
      <c r="M302" s="335" t="s">
        <v>1435</v>
      </c>
      <c r="N302" s="335" t="s">
        <v>388</v>
      </c>
      <c r="O302" s="335" t="s">
        <v>389</v>
      </c>
      <c r="Q302" s="307" t="e">
        <f ca="1">_xll.BDP(M302&amp;" "&amp;N302&amp;" "&amp;O302,Q$2)</f>
        <v>#NAME?</v>
      </c>
      <c r="R302" s="307" t="e">
        <f ca="1">_xll.BDP(M302&amp;" "&amp;N302&amp;" "&amp;O302,R$2)</f>
        <v>#NAME?</v>
      </c>
      <c r="S302" s="307" t="e">
        <f ca="1">_xll.BDP(M302&amp;" "&amp;N302&amp;" "&amp;O302,S$2)</f>
        <v>#NAME?</v>
      </c>
      <c r="T302" s="307" t="e">
        <f ca="1">_xll.BDP(M302&amp;" "&amp;N302&amp;" "&amp;O302,T$2)</f>
        <v>#NAME?</v>
      </c>
      <c r="V302" s="307" t="s">
        <v>1436</v>
      </c>
      <c r="W302" s="307">
        <v>736</v>
      </c>
      <c r="X302" s="307" t="s">
        <v>390</v>
      </c>
      <c r="Y302" s="307" t="s">
        <v>847</v>
      </c>
    </row>
    <row r="303" spans="2:25">
      <c r="B303" s="335" t="s">
        <v>374</v>
      </c>
      <c r="C303" s="335" t="s">
        <v>375</v>
      </c>
      <c r="D303" s="335" t="s">
        <v>821</v>
      </c>
      <c r="E303" s="335" t="s">
        <v>822</v>
      </c>
      <c r="F303" s="335" t="s">
        <v>376</v>
      </c>
      <c r="G303" s="335" t="s">
        <v>12</v>
      </c>
      <c r="H303" s="336" t="s">
        <v>13</v>
      </c>
      <c r="I303" s="335">
        <v>0</v>
      </c>
      <c r="J303" s="335" t="s">
        <v>823</v>
      </c>
      <c r="K303" s="335" t="s">
        <v>1258</v>
      </c>
      <c r="M303" s="335" t="s">
        <v>1437</v>
      </c>
      <c r="N303" s="335" t="s">
        <v>388</v>
      </c>
      <c r="O303" s="335" t="s">
        <v>389</v>
      </c>
      <c r="Q303" s="307" t="e">
        <f ca="1">_xll.BDP(M303&amp;" "&amp;N303&amp;" "&amp;O303,Q$2)</f>
        <v>#NAME?</v>
      </c>
      <c r="R303" s="307" t="e">
        <f ca="1">_xll.BDP(M303&amp;" "&amp;N303&amp;" "&amp;O303,R$2)</f>
        <v>#NAME?</v>
      </c>
      <c r="S303" s="307" t="e">
        <f ca="1">_xll.BDP(M303&amp;" "&amp;N303&amp;" "&amp;O303,S$2)</f>
        <v>#NAME?</v>
      </c>
      <c r="T303" s="307" t="e">
        <f ca="1">_xll.BDP(M303&amp;" "&amp;N303&amp;" "&amp;O303,T$2)</f>
        <v>#NAME?</v>
      </c>
      <c r="V303" s="307" t="s">
        <v>1438</v>
      </c>
      <c r="W303" s="307">
        <v>874</v>
      </c>
      <c r="X303" s="307" t="s">
        <v>390</v>
      </c>
      <c r="Y303" s="307" t="s">
        <v>847</v>
      </c>
    </row>
    <row r="304" spans="2:25">
      <c r="B304" s="335" t="s">
        <v>374</v>
      </c>
      <c r="C304" s="335" t="s">
        <v>375</v>
      </c>
      <c r="D304" s="335" t="s">
        <v>821</v>
      </c>
      <c r="E304" s="335" t="s">
        <v>822</v>
      </c>
      <c r="F304" s="335" t="s">
        <v>376</v>
      </c>
      <c r="G304" s="335" t="s">
        <v>12</v>
      </c>
      <c r="H304" s="336" t="s">
        <v>16</v>
      </c>
      <c r="I304" s="335">
        <v>0</v>
      </c>
      <c r="J304" s="335" t="s">
        <v>823</v>
      </c>
      <c r="K304" s="335" t="s">
        <v>1258</v>
      </c>
      <c r="M304" s="335" t="s">
        <v>1439</v>
      </c>
      <c r="N304" s="335" t="s">
        <v>388</v>
      </c>
      <c r="O304" s="335" t="s">
        <v>389</v>
      </c>
      <c r="Q304" s="307" t="e">
        <f ca="1">_xll.BDP(M304&amp;" "&amp;N304&amp;" "&amp;O304,Q$2)</f>
        <v>#NAME?</v>
      </c>
      <c r="R304" s="307" t="e">
        <f ca="1">_xll.BDP(M304&amp;" "&amp;N304&amp;" "&amp;O304,R$2)</f>
        <v>#NAME?</v>
      </c>
      <c r="S304" s="307" t="e">
        <f ca="1">_xll.BDP(M304&amp;" "&amp;N304&amp;" "&amp;O304,S$2)</f>
        <v>#NAME?</v>
      </c>
      <c r="T304" s="307" t="e">
        <f ca="1">_xll.BDP(M304&amp;" "&amp;N304&amp;" "&amp;O304,T$2)</f>
        <v>#NAME?</v>
      </c>
      <c r="V304" s="307" t="s">
        <v>1440</v>
      </c>
      <c r="W304" s="307">
        <v>1029</v>
      </c>
      <c r="X304" s="307" t="s">
        <v>390</v>
      </c>
      <c r="Y304" s="307" t="s">
        <v>847</v>
      </c>
    </row>
    <row r="305" spans="2:25">
      <c r="B305" s="335" t="s">
        <v>374</v>
      </c>
      <c r="C305" s="335" t="s">
        <v>375</v>
      </c>
      <c r="D305" s="335" t="s">
        <v>821</v>
      </c>
      <c r="E305" s="335" t="s">
        <v>822</v>
      </c>
      <c r="F305" s="335" t="s">
        <v>376</v>
      </c>
      <c r="G305" s="335" t="s">
        <v>12</v>
      </c>
      <c r="H305" s="336" t="s">
        <v>17</v>
      </c>
      <c r="I305" s="335">
        <v>0</v>
      </c>
      <c r="J305" s="335" t="s">
        <v>823</v>
      </c>
      <c r="K305" s="335" t="s">
        <v>1258</v>
      </c>
      <c r="M305" s="335" t="s">
        <v>1441</v>
      </c>
      <c r="N305" s="335" t="s">
        <v>388</v>
      </c>
      <c r="O305" s="335" t="s">
        <v>389</v>
      </c>
      <c r="Q305" s="307" t="e">
        <f ca="1">_xll.BDP(M305&amp;" "&amp;N305&amp;" "&amp;O305,Q$2)</f>
        <v>#NAME?</v>
      </c>
      <c r="R305" s="307" t="e">
        <f ca="1">_xll.BDP(M305&amp;" "&amp;N305&amp;" "&amp;O305,R$2)</f>
        <v>#NAME?</v>
      </c>
      <c r="S305" s="307" t="e">
        <f ca="1">_xll.BDP(M305&amp;" "&amp;N305&amp;" "&amp;O305,S$2)</f>
        <v>#NAME?</v>
      </c>
      <c r="T305" s="307" t="e">
        <f ca="1">_xll.BDP(M305&amp;" "&amp;N305&amp;" "&amp;O305,T$2)</f>
        <v>#NAME?</v>
      </c>
      <c r="V305" s="307" t="s">
        <v>1442</v>
      </c>
      <c r="W305" s="307">
        <v>1210</v>
      </c>
      <c r="X305" s="307" t="s">
        <v>390</v>
      </c>
      <c r="Y305" s="307" t="s">
        <v>859</v>
      </c>
    </row>
    <row r="306" spans="2:25">
      <c r="B306" s="335" t="s">
        <v>374</v>
      </c>
      <c r="C306" s="335" t="s">
        <v>375</v>
      </c>
      <c r="D306" s="335" t="s">
        <v>821</v>
      </c>
      <c r="E306" s="335" t="s">
        <v>822</v>
      </c>
      <c r="F306" s="335" t="s">
        <v>376</v>
      </c>
      <c r="G306" s="335" t="s">
        <v>12</v>
      </c>
      <c r="H306" s="336" t="s">
        <v>104</v>
      </c>
      <c r="I306" s="335">
        <v>0</v>
      </c>
      <c r="J306" s="335" t="s">
        <v>823</v>
      </c>
      <c r="K306" s="335" t="s">
        <v>1258</v>
      </c>
      <c r="M306" s="335" t="s">
        <v>1443</v>
      </c>
      <c r="N306" s="335" t="s">
        <v>388</v>
      </c>
      <c r="O306" s="335" t="s">
        <v>389</v>
      </c>
      <c r="Q306" s="307" t="e">
        <f ca="1">_xll.BDP(M306&amp;" "&amp;N306&amp;" "&amp;O306,Q$2)</f>
        <v>#NAME?</v>
      </c>
      <c r="R306" s="307" t="e">
        <f ca="1">_xll.BDP(M306&amp;" "&amp;N306&amp;" "&amp;O306,R$2)</f>
        <v>#NAME?</v>
      </c>
      <c r="S306" s="307" t="e">
        <f ca="1">_xll.BDP(M306&amp;" "&amp;N306&amp;" "&amp;O306,S$2)</f>
        <v>#NAME?</v>
      </c>
      <c r="T306" s="307" t="e">
        <f ca="1">_xll.BDP(M306&amp;" "&amp;N306&amp;" "&amp;O306,T$2)</f>
        <v>#NAME?</v>
      </c>
      <c r="V306" s="307" t="s">
        <v>1444</v>
      </c>
      <c r="W306" s="307">
        <v>1323</v>
      </c>
      <c r="X306" s="307" t="s">
        <v>390</v>
      </c>
      <c r="Y306" s="307" t="s">
        <v>859</v>
      </c>
    </row>
    <row r="307" spans="2:25">
      <c r="B307" s="335" t="s">
        <v>374</v>
      </c>
      <c r="C307" s="335" t="s">
        <v>375</v>
      </c>
      <c r="D307" s="335" t="s">
        <v>821</v>
      </c>
      <c r="E307" s="335" t="s">
        <v>822</v>
      </c>
      <c r="F307" s="335" t="s">
        <v>376</v>
      </c>
      <c r="G307" s="335" t="s">
        <v>13</v>
      </c>
      <c r="H307" s="335" t="s">
        <v>23</v>
      </c>
      <c r="I307" s="335">
        <v>0</v>
      </c>
      <c r="J307" s="335" t="s">
        <v>823</v>
      </c>
      <c r="K307" s="335" t="s">
        <v>1258</v>
      </c>
      <c r="M307" s="335" t="s">
        <v>1445</v>
      </c>
      <c r="N307" s="335" t="s">
        <v>388</v>
      </c>
      <c r="O307" s="335" t="s">
        <v>389</v>
      </c>
      <c r="Q307" s="307" t="e">
        <f ca="1">_xll.BDP(M307&amp;" "&amp;N307&amp;" "&amp;O307,Q$2)</f>
        <v>#NAME?</v>
      </c>
      <c r="R307" s="307" t="e">
        <f ca="1">_xll.BDP(M307&amp;" "&amp;N307&amp;" "&amp;O307,R$2)</f>
        <v>#NAME?</v>
      </c>
      <c r="S307" s="307" t="e">
        <f ca="1">_xll.BDP(M307&amp;" "&amp;N307&amp;" "&amp;O307,S$2)</f>
        <v>#NAME?</v>
      </c>
      <c r="T307" s="307" t="e">
        <f ca="1">_xll.BDP(M307&amp;" "&amp;N307&amp;" "&amp;O307,T$2)</f>
        <v>#NAME?</v>
      </c>
      <c r="V307" s="307" t="s">
        <v>1446</v>
      </c>
      <c r="W307" s="307">
        <v>81</v>
      </c>
      <c r="X307" s="307" t="s">
        <v>390</v>
      </c>
      <c r="Y307" s="307" t="s">
        <v>893</v>
      </c>
    </row>
    <row r="308" spans="2:25">
      <c r="B308" s="335" t="s">
        <v>374</v>
      </c>
      <c r="C308" s="335" t="s">
        <v>375</v>
      </c>
      <c r="D308" s="335" t="s">
        <v>821</v>
      </c>
      <c r="E308" s="335" t="s">
        <v>822</v>
      </c>
      <c r="F308" s="335" t="s">
        <v>376</v>
      </c>
      <c r="G308" s="335" t="s">
        <v>13</v>
      </c>
      <c r="H308" s="335" t="s">
        <v>398</v>
      </c>
      <c r="I308" s="335">
        <v>0</v>
      </c>
      <c r="J308" s="335" t="s">
        <v>823</v>
      </c>
      <c r="K308" s="335" t="s">
        <v>1258</v>
      </c>
      <c r="M308" s="335" t="s">
        <v>1447</v>
      </c>
      <c r="N308" s="335" t="s">
        <v>388</v>
      </c>
      <c r="O308" s="335" t="s">
        <v>389</v>
      </c>
      <c r="Q308" s="307" t="e">
        <f ca="1">_xll.BDP(M308&amp;" "&amp;N308&amp;" "&amp;O308,Q$2)</f>
        <v>#NAME?</v>
      </c>
      <c r="R308" s="307" t="e">
        <f ca="1">_xll.BDP(M308&amp;" "&amp;N308&amp;" "&amp;O308,R$2)</f>
        <v>#NAME?</v>
      </c>
      <c r="S308" s="307" t="e">
        <f ca="1">_xll.BDP(M308&amp;" "&amp;N308&amp;" "&amp;O308,S$2)</f>
        <v>#NAME?</v>
      </c>
      <c r="T308" s="307" t="e">
        <f ca="1">_xll.BDP(M308&amp;" "&amp;N308&amp;" "&amp;O308,T$2)</f>
        <v>#NAME?</v>
      </c>
      <c r="V308" s="307" t="s">
        <v>1448</v>
      </c>
      <c r="W308" s="307">
        <v>119</v>
      </c>
      <c r="X308" s="307" t="s">
        <v>390</v>
      </c>
      <c r="Y308" s="307" t="s">
        <v>1108</v>
      </c>
    </row>
    <row r="309" spans="2:25">
      <c r="B309" s="335" t="s">
        <v>374</v>
      </c>
      <c r="C309" s="335" t="s">
        <v>375</v>
      </c>
      <c r="D309" s="335" t="s">
        <v>821</v>
      </c>
      <c r="E309" s="335" t="s">
        <v>822</v>
      </c>
      <c r="F309" s="335" t="s">
        <v>376</v>
      </c>
      <c r="G309" s="335" t="s">
        <v>13</v>
      </c>
      <c r="H309" s="336" t="s">
        <v>26</v>
      </c>
      <c r="I309" s="335">
        <v>0</v>
      </c>
      <c r="J309" s="335" t="s">
        <v>823</v>
      </c>
      <c r="K309" s="335" t="s">
        <v>1258</v>
      </c>
      <c r="M309" s="335" t="s">
        <v>1449</v>
      </c>
      <c r="N309" s="335" t="s">
        <v>388</v>
      </c>
      <c r="O309" s="335" t="s">
        <v>389</v>
      </c>
      <c r="Q309" s="307" t="e">
        <f ca="1">_xll.BDP(M309&amp;" "&amp;N309&amp;" "&amp;O309,Q$2)</f>
        <v>#NAME?</v>
      </c>
      <c r="R309" s="307" t="e">
        <f ca="1">_xll.BDP(M309&amp;" "&amp;N309&amp;" "&amp;O309,R$2)</f>
        <v>#NAME?</v>
      </c>
      <c r="S309" s="307" t="e">
        <f ca="1">_xll.BDP(M309&amp;" "&amp;N309&amp;" "&amp;O309,S$2)</f>
        <v>#NAME?</v>
      </c>
      <c r="T309" s="307" t="e">
        <f ca="1">_xll.BDP(M309&amp;" "&amp;N309&amp;" "&amp;O309,T$2)</f>
        <v>#NAME?</v>
      </c>
      <c r="V309" s="307" t="s">
        <v>1450</v>
      </c>
      <c r="W309" s="307">
        <v>144</v>
      </c>
      <c r="X309" s="307" t="s">
        <v>390</v>
      </c>
      <c r="Y309" s="307" t="s">
        <v>836</v>
      </c>
    </row>
    <row r="310" spans="2:25">
      <c r="B310" s="335" t="s">
        <v>374</v>
      </c>
      <c r="C310" s="335" t="s">
        <v>375</v>
      </c>
      <c r="D310" s="335" t="s">
        <v>821</v>
      </c>
      <c r="E310" s="335" t="s">
        <v>822</v>
      </c>
      <c r="F310" s="335" t="s">
        <v>376</v>
      </c>
      <c r="G310" s="335" t="s">
        <v>13</v>
      </c>
      <c r="H310" s="336" t="s">
        <v>19</v>
      </c>
      <c r="I310" s="335">
        <v>0</v>
      </c>
      <c r="J310" s="335" t="s">
        <v>823</v>
      </c>
      <c r="K310" s="335" t="s">
        <v>1258</v>
      </c>
      <c r="M310" s="335" t="s">
        <v>1451</v>
      </c>
      <c r="N310" s="335" t="s">
        <v>388</v>
      </c>
      <c r="O310" s="335" t="s">
        <v>389</v>
      </c>
      <c r="Q310" s="307" t="e">
        <f ca="1">_xll.BDP(M310&amp;" "&amp;N310&amp;" "&amp;O310,Q$2)</f>
        <v>#NAME?</v>
      </c>
      <c r="R310" s="307" t="e">
        <f ca="1">_xll.BDP(M310&amp;" "&amp;N310&amp;" "&amp;O310,R$2)</f>
        <v>#NAME?</v>
      </c>
      <c r="S310" s="307" t="e">
        <f ca="1">_xll.BDP(M310&amp;" "&amp;N310&amp;" "&amp;O310,S$2)</f>
        <v>#NAME?</v>
      </c>
      <c r="T310" s="307" t="e">
        <f ca="1">_xll.BDP(M310&amp;" "&amp;N310&amp;" "&amp;O310,T$2)</f>
        <v>#NAME?</v>
      </c>
      <c r="V310" s="307" t="s">
        <v>1452</v>
      </c>
      <c r="W310" s="307">
        <v>209</v>
      </c>
      <c r="X310" s="307" t="s">
        <v>390</v>
      </c>
      <c r="Y310" s="307" t="s">
        <v>836</v>
      </c>
    </row>
    <row r="311" spans="2:25">
      <c r="B311" s="335" t="s">
        <v>374</v>
      </c>
      <c r="C311" s="335" t="s">
        <v>375</v>
      </c>
      <c r="D311" s="335" t="s">
        <v>821</v>
      </c>
      <c r="E311" s="335" t="s">
        <v>822</v>
      </c>
      <c r="F311" s="335" t="s">
        <v>376</v>
      </c>
      <c r="G311" s="335" t="s">
        <v>13</v>
      </c>
      <c r="H311" s="336" t="s">
        <v>412</v>
      </c>
      <c r="I311" s="335">
        <v>0</v>
      </c>
      <c r="J311" s="335" t="s">
        <v>823</v>
      </c>
      <c r="K311" s="335" t="s">
        <v>1258</v>
      </c>
      <c r="M311" s="335" t="s">
        <v>1453</v>
      </c>
      <c r="N311" s="335" t="s">
        <v>388</v>
      </c>
      <c r="O311" s="335" t="s">
        <v>389</v>
      </c>
      <c r="Q311" s="307" t="e">
        <f ca="1">_xll.BDP(M311&amp;" "&amp;N311&amp;" "&amp;O311,Q$2)</f>
        <v>#NAME?</v>
      </c>
      <c r="R311" s="307" t="e">
        <f ca="1">_xll.BDP(M311&amp;" "&amp;N311&amp;" "&amp;O311,R$2)</f>
        <v>#NAME?</v>
      </c>
      <c r="S311" s="307" t="e">
        <f ca="1">_xll.BDP(M311&amp;" "&amp;N311&amp;" "&amp;O311,S$2)</f>
        <v>#NAME?</v>
      </c>
      <c r="T311" s="307" t="e">
        <f ca="1">_xll.BDP(M311&amp;" "&amp;N311&amp;" "&amp;O311,T$2)</f>
        <v>#NAME?</v>
      </c>
      <c r="V311" s="307" t="s">
        <v>1454</v>
      </c>
      <c r="W311" s="307">
        <v>261</v>
      </c>
      <c r="X311" s="307" t="s">
        <v>390</v>
      </c>
      <c r="Y311" s="307" t="s">
        <v>936</v>
      </c>
    </row>
    <row r="312" spans="2:25">
      <c r="B312" s="335" t="s">
        <v>374</v>
      </c>
      <c r="C312" s="335" t="s">
        <v>375</v>
      </c>
      <c r="D312" s="335" t="s">
        <v>821</v>
      </c>
      <c r="E312" s="335" t="s">
        <v>822</v>
      </c>
      <c r="F312" s="335" t="s">
        <v>376</v>
      </c>
      <c r="G312" s="335" t="s">
        <v>13</v>
      </c>
      <c r="H312" s="336" t="s">
        <v>7</v>
      </c>
      <c r="I312" s="335">
        <v>0</v>
      </c>
      <c r="J312" s="335" t="s">
        <v>823</v>
      </c>
      <c r="K312" s="335" t="s">
        <v>1258</v>
      </c>
      <c r="M312" s="335" t="s">
        <v>1455</v>
      </c>
      <c r="N312" s="335" t="s">
        <v>388</v>
      </c>
      <c r="O312" s="335" t="s">
        <v>389</v>
      </c>
      <c r="Q312" s="307" t="e">
        <f ca="1">_xll.BDP(M312&amp;" "&amp;N312&amp;" "&amp;O312,Q$2)</f>
        <v>#NAME?</v>
      </c>
      <c r="R312" s="307" t="e">
        <f ca="1">_xll.BDP(M312&amp;" "&amp;N312&amp;" "&amp;O312,R$2)</f>
        <v>#NAME?</v>
      </c>
      <c r="S312" s="307" t="e">
        <f ca="1">_xll.BDP(M312&amp;" "&amp;N312&amp;" "&amp;O312,S$2)</f>
        <v>#NAME?</v>
      </c>
      <c r="T312" s="307" t="e">
        <f ca="1">_xll.BDP(M312&amp;" "&amp;N312&amp;" "&amp;O312,T$2)</f>
        <v>#NAME?</v>
      </c>
      <c r="V312" s="307" t="s">
        <v>1456</v>
      </c>
      <c r="W312" s="307">
        <v>317</v>
      </c>
      <c r="X312" s="307" t="s">
        <v>390</v>
      </c>
      <c r="Y312" s="307" t="s">
        <v>936</v>
      </c>
    </row>
    <row r="313" spans="2:25">
      <c r="B313" s="335" t="s">
        <v>374</v>
      </c>
      <c r="C313" s="335" t="s">
        <v>375</v>
      </c>
      <c r="D313" s="335" t="s">
        <v>821</v>
      </c>
      <c r="E313" s="335" t="s">
        <v>822</v>
      </c>
      <c r="F313" s="335" t="s">
        <v>376</v>
      </c>
      <c r="G313" s="335" t="s">
        <v>13</v>
      </c>
      <c r="H313" s="336" t="s">
        <v>154</v>
      </c>
      <c r="I313" s="335">
        <v>0</v>
      </c>
      <c r="J313" s="335" t="s">
        <v>823</v>
      </c>
      <c r="K313" s="335" t="s">
        <v>1258</v>
      </c>
      <c r="M313" s="335" t="s">
        <v>1457</v>
      </c>
      <c r="N313" s="335" t="s">
        <v>388</v>
      </c>
      <c r="O313" s="335" t="s">
        <v>389</v>
      </c>
      <c r="Q313" s="307" t="e">
        <f ca="1">_xll.BDP(M313&amp;" "&amp;N313&amp;" "&amp;O313,Q$2)</f>
        <v>#NAME?</v>
      </c>
      <c r="R313" s="307" t="e">
        <f ca="1">_xll.BDP(M313&amp;" "&amp;N313&amp;" "&amp;O313,R$2)</f>
        <v>#NAME?</v>
      </c>
      <c r="S313" s="307" t="e">
        <f ca="1">_xll.BDP(M313&amp;" "&amp;N313&amp;" "&amp;O313,S$2)</f>
        <v>#NAME?</v>
      </c>
      <c r="T313" s="307" t="e">
        <f ca="1">_xll.BDP(M313&amp;" "&amp;N313&amp;" "&amp;O313,T$2)</f>
        <v>#NAME?</v>
      </c>
      <c r="V313" s="307" t="s">
        <v>1458</v>
      </c>
      <c r="W313" s="307">
        <v>408</v>
      </c>
      <c r="X313" s="307" t="s">
        <v>390</v>
      </c>
      <c r="Y313" s="307" t="s">
        <v>836</v>
      </c>
    </row>
    <row r="314" spans="2:25">
      <c r="B314" s="335" t="s">
        <v>374</v>
      </c>
      <c r="C314" s="335" t="s">
        <v>375</v>
      </c>
      <c r="D314" s="335" t="s">
        <v>821</v>
      </c>
      <c r="E314" s="335" t="s">
        <v>822</v>
      </c>
      <c r="F314" s="335" t="s">
        <v>376</v>
      </c>
      <c r="G314" s="335" t="s">
        <v>13</v>
      </c>
      <c r="H314" s="336" t="s">
        <v>8</v>
      </c>
      <c r="I314" s="335">
        <v>0</v>
      </c>
      <c r="J314" s="335" t="s">
        <v>823</v>
      </c>
      <c r="K314" s="335" t="s">
        <v>1258</v>
      </c>
      <c r="M314" s="335" t="s">
        <v>1459</v>
      </c>
      <c r="N314" s="335" t="s">
        <v>388</v>
      </c>
      <c r="O314" s="335" t="s">
        <v>389</v>
      </c>
      <c r="Q314" s="307" t="e">
        <f ca="1">_xll.BDP(M314&amp;" "&amp;N314&amp;" "&amp;O314,Q$2)</f>
        <v>#NAME?</v>
      </c>
      <c r="R314" s="307" t="e">
        <f ca="1">_xll.BDP(M314&amp;" "&amp;N314&amp;" "&amp;O314,R$2)</f>
        <v>#NAME?</v>
      </c>
      <c r="S314" s="307" t="e">
        <f ca="1">_xll.BDP(M314&amp;" "&amp;N314&amp;" "&amp;O314,S$2)</f>
        <v>#NAME?</v>
      </c>
      <c r="T314" s="307" t="e">
        <f ca="1">_xll.BDP(M314&amp;" "&amp;N314&amp;" "&amp;O314,T$2)</f>
        <v>#NAME?</v>
      </c>
      <c r="V314" s="307" t="s">
        <v>1460</v>
      </c>
      <c r="W314" s="307">
        <v>499</v>
      </c>
      <c r="X314" s="307" t="s">
        <v>390</v>
      </c>
      <c r="Y314" s="307" t="s">
        <v>900</v>
      </c>
    </row>
    <row r="315" spans="2:25">
      <c r="B315" s="335" t="s">
        <v>374</v>
      </c>
      <c r="C315" s="335" t="s">
        <v>375</v>
      </c>
      <c r="D315" s="335" t="s">
        <v>821</v>
      </c>
      <c r="E315" s="335" t="s">
        <v>822</v>
      </c>
      <c r="F315" s="335" t="s">
        <v>376</v>
      </c>
      <c r="G315" s="335" t="s">
        <v>13</v>
      </c>
      <c r="H315" s="336" t="s">
        <v>9</v>
      </c>
      <c r="I315" s="335">
        <v>0</v>
      </c>
      <c r="J315" s="335" t="s">
        <v>823</v>
      </c>
      <c r="K315" s="335" t="s">
        <v>1258</v>
      </c>
      <c r="M315" s="335" t="s">
        <v>1461</v>
      </c>
      <c r="N315" s="335" t="s">
        <v>388</v>
      </c>
      <c r="O315" s="335" t="s">
        <v>389</v>
      </c>
      <c r="Q315" s="307" t="e">
        <f ca="1">_xll.BDP(M315&amp;" "&amp;N315&amp;" "&amp;O315,Q$2)</f>
        <v>#NAME?</v>
      </c>
      <c r="R315" s="307" t="e">
        <f ca="1">_xll.BDP(M315&amp;" "&amp;N315&amp;" "&amp;O315,R$2)</f>
        <v>#NAME?</v>
      </c>
      <c r="S315" s="307" t="e">
        <f ca="1">_xll.BDP(M315&amp;" "&amp;N315&amp;" "&amp;O315,S$2)</f>
        <v>#NAME?</v>
      </c>
      <c r="T315" s="307" t="e">
        <f ca="1">_xll.BDP(M315&amp;" "&amp;N315&amp;" "&amp;O315,T$2)</f>
        <v>#NAME?</v>
      </c>
      <c r="V315" s="307" t="s">
        <v>1462</v>
      </c>
      <c r="W315" s="307">
        <v>638</v>
      </c>
      <c r="X315" s="307" t="s">
        <v>390</v>
      </c>
      <c r="Y315" s="307" t="s">
        <v>847</v>
      </c>
    </row>
    <row r="316" spans="2:25">
      <c r="B316" s="335" t="s">
        <v>374</v>
      </c>
      <c r="C316" s="335" t="s">
        <v>375</v>
      </c>
      <c r="D316" s="335" t="s">
        <v>821</v>
      </c>
      <c r="E316" s="335" t="s">
        <v>822</v>
      </c>
      <c r="F316" s="335" t="s">
        <v>376</v>
      </c>
      <c r="G316" s="335" t="s">
        <v>13</v>
      </c>
      <c r="H316" s="336" t="s">
        <v>10</v>
      </c>
      <c r="I316" s="335">
        <v>0</v>
      </c>
      <c r="J316" s="335" t="s">
        <v>823</v>
      </c>
      <c r="K316" s="335" t="s">
        <v>1258</v>
      </c>
      <c r="M316" s="335" t="s">
        <v>1463</v>
      </c>
      <c r="N316" s="335" t="s">
        <v>388</v>
      </c>
      <c r="O316" s="335" t="s">
        <v>389</v>
      </c>
      <c r="Q316" s="307" t="e">
        <f ca="1">_xll.BDP(M316&amp;" "&amp;N316&amp;" "&amp;O316,Q$2)</f>
        <v>#NAME?</v>
      </c>
      <c r="R316" s="307" t="e">
        <f ca="1">_xll.BDP(M316&amp;" "&amp;N316&amp;" "&amp;O316,R$2)</f>
        <v>#NAME?</v>
      </c>
      <c r="S316" s="307" t="e">
        <f ca="1">_xll.BDP(M316&amp;" "&amp;N316&amp;" "&amp;O316,S$2)</f>
        <v>#NAME?</v>
      </c>
      <c r="T316" s="307" t="e">
        <f ca="1">_xll.BDP(M316&amp;" "&amp;N316&amp;" "&amp;O316,T$2)</f>
        <v>#NAME?</v>
      </c>
      <c r="V316" s="307" t="s">
        <v>1464</v>
      </c>
      <c r="W316" s="307">
        <v>758</v>
      </c>
      <c r="X316" s="307" t="s">
        <v>390</v>
      </c>
      <c r="Y316" s="307" t="s">
        <v>847</v>
      </c>
    </row>
    <row r="317" spans="2:25">
      <c r="B317" s="335" t="s">
        <v>374</v>
      </c>
      <c r="C317" s="335" t="s">
        <v>375</v>
      </c>
      <c r="D317" s="335" t="s">
        <v>821</v>
      </c>
      <c r="E317" s="335" t="s">
        <v>822</v>
      </c>
      <c r="F317" s="335" t="s">
        <v>376</v>
      </c>
      <c r="G317" s="335" t="s">
        <v>13</v>
      </c>
      <c r="H317" s="336" t="s">
        <v>11</v>
      </c>
      <c r="I317" s="335">
        <v>0</v>
      </c>
      <c r="J317" s="335" t="s">
        <v>823</v>
      </c>
      <c r="K317" s="335" t="s">
        <v>1258</v>
      </c>
      <c r="M317" s="335" t="s">
        <v>1465</v>
      </c>
      <c r="N317" s="335" t="s">
        <v>388</v>
      </c>
      <c r="O317" s="335" t="s">
        <v>389</v>
      </c>
      <c r="Q317" s="307" t="e">
        <f ca="1">_xll.BDP(M317&amp;" "&amp;N317&amp;" "&amp;O317,Q$2)</f>
        <v>#NAME?</v>
      </c>
      <c r="R317" s="307" t="e">
        <f ca="1">_xll.BDP(M317&amp;" "&amp;N317&amp;" "&amp;O317,R$2)</f>
        <v>#NAME?</v>
      </c>
      <c r="S317" s="307" t="e">
        <f ca="1">_xll.BDP(M317&amp;" "&amp;N317&amp;" "&amp;O317,S$2)</f>
        <v>#NAME?</v>
      </c>
      <c r="T317" s="307" t="e">
        <f ca="1">_xll.BDP(M317&amp;" "&amp;N317&amp;" "&amp;O317,T$2)</f>
        <v>#NAME?</v>
      </c>
      <c r="V317" s="307" t="s">
        <v>1466</v>
      </c>
      <c r="W317" s="307">
        <v>855</v>
      </c>
      <c r="X317" s="307" t="s">
        <v>390</v>
      </c>
      <c r="Y317" s="307" t="s">
        <v>973</v>
      </c>
    </row>
    <row r="318" spans="2:25">
      <c r="B318" s="335" t="s">
        <v>374</v>
      </c>
      <c r="C318" s="335" t="s">
        <v>375</v>
      </c>
      <c r="D318" s="335" t="s">
        <v>821</v>
      </c>
      <c r="E318" s="335" t="s">
        <v>822</v>
      </c>
      <c r="F318" s="335" t="s">
        <v>376</v>
      </c>
      <c r="G318" s="335" t="s">
        <v>13</v>
      </c>
      <c r="H318" s="336" t="s">
        <v>13</v>
      </c>
      <c r="I318" s="335">
        <v>0</v>
      </c>
      <c r="J318" s="335" t="s">
        <v>823</v>
      </c>
      <c r="K318" s="335" t="s">
        <v>1258</v>
      </c>
      <c r="M318" s="335" t="s">
        <v>1467</v>
      </c>
      <c r="N318" s="335" t="s">
        <v>388</v>
      </c>
      <c r="O318" s="335" t="s">
        <v>389</v>
      </c>
      <c r="Q318" s="307" t="e">
        <f ca="1">_xll.BDP(M318&amp;" "&amp;N318&amp;" "&amp;O318,Q$2)</f>
        <v>#NAME?</v>
      </c>
      <c r="R318" s="307" t="e">
        <f ca="1">_xll.BDP(M318&amp;" "&amp;N318&amp;" "&amp;O318,R$2)</f>
        <v>#NAME?</v>
      </c>
      <c r="S318" s="307" t="e">
        <f ca="1">_xll.BDP(M318&amp;" "&amp;N318&amp;" "&amp;O318,S$2)</f>
        <v>#NAME?</v>
      </c>
      <c r="T318" s="307" t="e">
        <f ca="1">_xll.BDP(M318&amp;" "&amp;N318&amp;" "&amp;O318,T$2)</f>
        <v>#NAME?</v>
      </c>
      <c r="V318" s="307" t="s">
        <v>1468</v>
      </c>
      <c r="W318" s="307">
        <v>1009</v>
      </c>
      <c r="X318" s="307" t="s">
        <v>390</v>
      </c>
      <c r="Y318" s="307" t="s">
        <v>847</v>
      </c>
    </row>
    <row r="319" spans="2:25">
      <c r="B319" s="335" t="s">
        <v>374</v>
      </c>
      <c r="C319" s="335" t="s">
        <v>375</v>
      </c>
      <c r="D319" s="335" t="s">
        <v>821</v>
      </c>
      <c r="E319" s="335" t="s">
        <v>822</v>
      </c>
      <c r="F319" s="335" t="s">
        <v>376</v>
      </c>
      <c r="G319" s="335" t="s">
        <v>13</v>
      </c>
      <c r="H319" s="336" t="s">
        <v>16</v>
      </c>
      <c r="I319" s="335">
        <v>0</v>
      </c>
      <c r="J319" s="335" t="s">
        <v>823</v>
      </c>
      <c r="K319" s="335" t="s">
        <v>1258</v>
      </c>
      <c r="M319" s="335" t="s">
        <v>1469</v>
      </c>
      <c r="N319" s="335" t="s">
        <v>388</v>
      </c>
      <c r="O319" s="335" t="s">
        <v>389</v>
      </c>
      <c r="Q319" s="307" t="e">
        <f ca="1">_xll.BDP(M319&amp;" "&amp;N319&amp;" "&amp;O319,Q$2)</f>
        <v>#NAME?</v>
      </c>
      <c r="R319" s="307" t="e">
        <f ca="1">_xll.BDP(M319&amp;" "&amp;N319&amp;" "&amp;O319,R$2)</f>
        <v>#NAME?</v>
      </c>
      <c r="S319" s="307" t="e">
        <f ca="1">_xll.BDP(M319&amp;" "&amp;N319&amp;" "&amp;O319,S$2)</f>
        <v>#NAME?</v>
      </c>
      <c r="T319" s="307" t="e">
        <f ca="1">_xll.BDP(M319&amp;" "&amp;N319&amp;" "&amp;O319,T$2)</f>
        <v>#NAME?</v>
      </c>
      <c r="V319" s="307" t="s">
        <v>1470</v>
      </c>
      <c r="W319" s="307">
        <v>1187</v>
      </c>
      <c r="X319" s="307" t="s">
        <v>390</v>
      </c>
      <c r="Y319" s="307" t="s">
        <v>847</v>
      </c>
    </row>
    <row r="320" spans="2:25">
      <c r="B320" s="335" t="s">
        <v>374</v>
      </c>
      <c r="C320" s="335" t="s">
        <v>375</v>
      </c>
      <c r="D320" s="335" t="s">
        <v>821</v>
      </c>
      <c r="E320" s="335" t="s">
        <v>822</v>
      </c>
      <c r="F320" s="335" t="s">
        <v>376</v>
      </c>
      <c r="G320" s="335" t="s">
        <v>13</v>
      </c>
      <c r="H320" s="336" t="s">
        <v>17</v>
      </c>
      <c r="I320" s="335">
        <v>0</v>
      </c>
      <c r="J320" s="335" t="s">
        <v>823</v>
      </c>
      <c r="K320" s="335" t="s">
        <v>1258</v>
      </c>
      <c r="M320" s="335" t="s">
        <v>1471</v>
      </c>
      <c r="N320" s="335" t="s">
        <v>388</v>
      </c>
      <c r="O320" s="335" t="s">
        <v>389</v>
      </c>
      <c r="Q320" s="307" t="e">
        <f ca="1">_xll.BDP(M320&amp;" "&amp;N320&amp;" "&amp;O320,Q$2)</f>
        <v>#NAME?</v>
      </c>
      <c r="R320" s="307" t="e">
        <f ca="1">_xll.BDP(M320&amp;" "&amp;N320&amp;" "&amp;O320,R$2)</f>
        <v>#NAME?</v>
      </c>
      <c r="S320" s="307" t="e">
        <f ca="1">_xll.BDP(M320&amp;" "&amp;N320&amp;" "&amp;O320,S$2)</f>
        <v>#NAME?</v>
      </c>
      <c r="T320" s="307" t="e">
        <f ca="1">_xll.BDP(M320&amp;" "&amp;N320&amp;" "&amp;O320,T$2)</f>
        <v>#NAME?</v>
      </c>
      <c r="V320" s="307" t="s">
        <v>1472</v>
      </c>
      <c r="W320" s="307">
        <v>1391</v>
      </c>
      <c r="X320" s="307" t="s">
        <v>390</v>
      </c>
      <c r="Y320" s="307" t="s">
        <v>859</v>
      </c>
    </row>
    <row r="321" spans="2:25">
      <c r="B321" s="335" t="s">
        <v>374</v>
      </c>
      <c r="C321" s="335" t="s">
        <v>375</v>
      </c>
      <c r="D321" s="335" t="s">
        <v>821</v>
      </c>
      <c r="E321" s="335" t="s">
        <v>822</v>
      </c>
      <c r="F321" s="335" t="s">
        <v>376</v>
      </c>
      <c r="G321" s="335" t="s">
        <v>13</v>
      </c>
      <c r="H321" s="336" t="s">
        <v>104</v>
      </c>
      <c r="I321" s="335">
        <v>0</v>
      </c>
      <c r="J321" s="335" t="s">
        <v>823</v>
      </c>
      <c r="K321" s="335" t="s">
        <v>1258</v>
      </c>
      <c r="M321" s="335" t="s">
        <v>1473</v>
      </c>
      <c r="N321" s="335" t="s">
        <v>388</v>
      </c>
      <c r="O321" s="335" t="s">
        <v>389</v>
      </c>
      <c r="Q321" s="307" t="e">
        <f ca="1">_xll.BDP(M321&amp;" "&amp;N321&amp;" "&amp;O321,Q$2)</f>
        <v>#NAME?</v>
      </c>
      <c r="R321" s="307" t="e">
        <f ca="1">_xll.BDP(M321&amp;" "&amp;N321&amp;" "&amp;O321,R$2)</f>
        <v>#NAME?</v>
      </c>
      <c r="S321" s="307" t="e">
        <f ca="1">_xll.BDP(M321&amp;" "&amp;N321&amp;" "&amp;O321,S$2)</f>
        <v>#NAME?</v>
      </c>
      <c r="T321" s="307" t="e">
        <f ca="1">_xll.BDP(M321&amp;" "&amp;N321&amp;" "&amp;O321,T$2)</f>
        <v>#NAME?</v>
      </c>
      <c r="V321" s="307" t="s">
        <v>1474</v>
      </c>
      <c r="W321" s="307">
        <v>1522</v>
      </c>
      <c r="X321" s="307" t="s">
        <v>390</v>
      </c>
      <c r="Y321" s="307" t="s">
        <v>859</v>
      </c>
    </row>
    <row r="322" spans="2:25">
      <c r="B322" s="335" t="s">
        <v>374</v>
      </c>
      <c r="C322" s="335" t="s">
        <v>375</v>
      </c>
      <c r="D322" s="335" t="s">
        <v>821</v>
      </c>
      <c r="E322" s="335" t="s">
        <v>822</v>
      </c>
      <c r="F322" s="335" t="s">
        <v>376</v>
      </c>
      <c r="G322" s="335" t="s">
        <v>14</v>
      </c>
      <c r="H322" s="335" t="s">
        <v>23</v>
      </c>
      <c r="I322" s="335">
        <v>0</v>
      </c>
      <c r="J322" s="335" t="s">
        <v>823</v>
      </c>
      <c r="K322" s="335" t="s">
        <v>1258</v>
      </c>
      <c r="M322" s="335" t="s">
        <v>1475</v>
      </c>
      <c r="N322" s="335" t="s">
        <v>388</v>
      </c>
      <c r="O322" s="335" t="s">
        <v>389</v>
      </c>
      <c r="Q322" s="307" t="e">
        <f ca="1">_xll.BDP(M322&amp;" "&amp;N322&amp;" "&amp;O322,Q$2)</f>
        <v>#NAME?</v>
      </c>
      <c r="R322" s="307" t="e">
        <f ca="1">_xll.BDP(M322&amp;" "&amp;N322&amp;" "&amp;O322,R$2)</f>
        <v>#NAME?</v>
      </c>
      <c r="S322" s="307" t="e">
        <f ca="1">_xll.BDP(M322&amp;" "&amp;N322&amp;" "&amp;O322,S$2)</f>
        <v>#NAME?</v>
      </c>
      <c r="T322" s="307" t="e">
        <f ca="1">_xll.BDP(M322&amp;" "&amp;N322&amp;" "&amp;O322,T$2)</f>
        <v>#NAME?</v>
      </c>
      <c r="V322" s="307" t="s">
        <v>1476</v>
      </c>
      <c r="W322" s="307">
        <v>104</v>
      </c>
      <c r="X322" s="307" t="s">
        <v>390</v>
      </c>
      <c r="Y322" s="307" t="s">
        <v>893</v>
      </c>
    </row>
    <row r="323" spans="2:25">
      <c r="B323" s="335" t="s">
        <v>374</v>
      </c>
      <c r="C323" s="335" t="s">
        <v>375</v>
      </c>
      <c r="D323" s="335" t="s">
        <v>821</v>
      </c>
      <c r="E323" s="335" t="s">
        <v>822</v>
      </c>
      <c r="F323" s="335" t="s">
        <v>376</v>
      </c>
      <c r="G323" s="335" t="s">
        <v>14</v>
      </c>
      <c r="H323" s="335" t="s">
        <v>398</v>
      </c>
      <c r="I323" s="335">
        <v>0</v>
      </c>
      <c r="J323" s="335" t="s">
        <v>823</v>
      </c>
      <c r="K323" s="335" t="s">
        <v>1258</v>
      </c>
      <c r="M323" s="335" t="s">
        <v>1477</v>
      </c>
      <c r="N323" s="335" t="s">
        <v>388</v>
      </c>
      <c r="O323" s="335" t="s">
        <v>389</v>
      </c>
      <c r="Q323" s="307" t="e">
        <f ca="1">_xll.BDP(M323&amp;" "&amp;N323&amp;" "&amp;O323,Q$2)</f>
        <v>#NAME?</v>
      </c>
      <c r="R323" s="307" t="e">
        <f ca="1">_xll.BDP(M323&amp;" "&amp;N323&amp;" "&amp;O323,R$2)</f>
        <v>#NAME?</v>
      </c>
      <c r="S323" s="307" t="e">
        <f ca="1">_xll.BDP(M323&amp;" "&amp;N323&amp;" "&amp;O323,S$2)</f>
        <v>#NAME?</v>
      </c>
      <c r="T323" s="307" t="e">
        <f ca="1">_xll.BDP(M323&amp;" "&amp;N323&amp;" "&amp;O323,T$2)</f>
        <v>#NAME?</v>
      </c>
      <c r="V323" s="307" t="s">
        <v>1478</v>
      </c>
      <c r="W323" s="307">
        <v>150</v>
      </c>
      <c r="X323" s="307" t="s">
        <v>390</v>
      </c>
      <c r="Y323" s="307" t="s">
        <v>927</v>
      </c>
    </row>
    <row r="324" spans="2:25">
      <c r="B324" s="335" t="s">
        <v>374</v>
      </c>
      <c r="C324" s="335" t="s">
        <v>375</v>
      </c>
      <c r="D324" s="335" t="s">
        <v>821</v>
      </c>
      <c r="E324" s="335" t="s">
        <v>822</v>
      </c>
      <c r="F324" s="335" t="s">
        <v>376</v>
      </c>
      <c r="G324" s="335" t="s">
        <v>14</v>
      </c>
      <c r="H324" s="336" t="s">
        <v>26</v>
      </c>
      <c r="I324" s="335">
        <v>0</v>
      </c>
      <c r="J324" s="335" t="s">
        <v>823</v>
      </c>
      <c r="K324" s="335" t="s">
        <v>1258</v>
      </c>
      <c r="M324" s="335" t="s">
        <v>1479</v>
      </c>
      <c r="N324" s="335" t="s">
        <v>388</v>
      </c>
      <c r="O324" s="335" t="s">
        <v>389</v>
      </c>
      <c r="Q324" s="307" t="e">
        <f ca="1">_xll.BDP(M324&amp;" "&amp;N324&amp;" "&amp;O324,Q$2)</f>
        <v>#NAME?</v>
      </c>
      <c r="R324" s="307" t="e">
        <f ca="1">_xll.BDP(M324&amp;" "&amp;N324&amp;" "&amp;O324,R$2)</f>
        <v>#NAME?</v>
      </c>
      <c r="S324" s="307" t="e">
        <f ca="1">_xll.BDP(M324&amp;" "&amp;N324&amp;" "&amp;O324,S$2)</f>
        <v>#NAME?</v>
      </c>
      <c r="T324" s="307" t="e">
        <f ca="1">_xll.BDP(M324&amp;" "&amp;N324&amp;" "&amp;O324,T$2)</f>
        <v>#NAME?</v>
      </c>
      <c r="V324" s="307" t="s">
        <v>1480</v>
      </c>
      <c r="W324" s="307">
        <v>181</v>
      </c>
      <c r="X324" s="307" t="s">
        <v>390</v>
      </c>
      <c r="Y324" s="307" t="s">
        <v>836</v>
      </c>
    </row>
    <row r="325" spans="2:25">
      <c r="B325" s="335" t="s">
        <v>374</v>
      </c>
      <c r="C325" s="335" t="s">
        <v>375</v>
      </c>
      <c r="D325" s="335" t="s">
        <v>821</v>
      </c>
      <c r="E325" s="335" t="s">
        <v>822</v>
      </c>
      <c r="F325" s="335" t="s">
        <v>376</v>
      </c>
      <c r="G325" s="335" t="s">
        <v>14</v>
      </c>
      <c r="H325" s="336" t="s">
        <v>19</v>
      </c>
      <c r="I325" s="335">
        <v>0</v>
      </c>
      <c r="J325" s="335" t="s">
        <v>823</v>
      </c>
      <c r="K325" s="335" t="s">
        <v>1258</v>
      </c>
      <c r="M325" s="335" t="s">
        <v>1481</v>
      </c>
      <c r="N325" s="335" t="s">
        <v>388</v>
      </c>
      <c r="O325" s="335" t="s">
        <v>389</v>
      </c>
      <c r="Q325" s="307" t="e">
        <f ca="1">_xll.BDP(M325&amp;" "&amp;N325&amp;" "&amp;O325,Q$2)</f>
        <v>#NAME?</v>
      </c>
      <c r="R325" s="307" t="e">
        <f ca="1">_xll.BDP(M325&amp;" "&amp;N325&amp;" "&amp;O325,R$2)</f>
        <v>#NAME?</v>
      </c>
      <c r="S325" s="307" t="e">
        <f ca="1">_xll.BDP(M325&amp;" "&amp;N325&amp;" "&amp;O325,S$2)</f>
        <v>#NAME?</v>
      </c>
      <c r="T325" s="307" t="e">
        <f ca="1">_xll.BDP(M325&amp;" "&amp;N325&amp;" "&amp;O325,T$2)</f>
        <v>#NAME?</v>
      </c>
      <c r="V325" s="307" t="s">
        <v>1482</v>
      </c>
      <c r="W325" s="307">
        <v>258</v>
      </c>
      <c r="X325" s="307" t="s">
        <v>390</v>
      </c>
      <c r="Y325" s="307" t="s">
        <v>893</v>
      </c>
    </row>
    <row r="326" spans="2:25">
      <c r="B326" s="335" t="s">
        <v>374</v>
      </c>
      <c r="C326" s="335" t="s">
        <v>375</v>
      </c>
      <c r="D326" s="335" t="s">
        <v>821</v>
      </c>
      <c r="E326" s="335" t="s">
        <v>822</v>
      </c>
      <c r="F326" s="335" t="s">
        <v>376</v>
      </c>
      <c r="G326" s="335" t="s">
        <v>14</v>
      </c>
      <c r="H326" s="336" t="s">
        <v>412</v>
      </c>
      <c r="I326" s="335">
        <v>0</v>
      </c>
      <c r="J326" s="335" t="s">
        <v>823</v>
      </c>
      <c r="K326" s="335" t="s">
        <v>1258</v>
      </c>
      <c r="M326" s="335" t="s">
        <v>1483</v>
      </c>
      <c r="N326" s="335" t="s">
        <v>388</v>
      </c>
      <c r="O326" s="335" t="s">
        <v>389</v>
      </c>
      <c r="Q326" s="307" t="e">
        <f ca="1">_xll.BDP(M326&amp;" "&amp;N326&amp;" "&amp;O326,Q$2)</f>
        <v>#NAME?</v>
      </c>
      <c r="R326" s="307" t="e">
        <f ca="1">_xll.BDP(M326&amp;" "&amp;N326&amp;" "&amp;O326,R$2)</f>
        <v>#NAME?</v>
      </c>
      <c r="S326" s="307" t="e">
        <f ca="1">_xll.BDP(M326&amp;" "&amp;N326&amp;" "&amp;O326,S$2)</f>
        <v>#NAME?</v>
      </c>
      <c r="T326" s="307" t="e">
        <f ca="1">_xll.BDP(M326&amp;" "&amp;N326&amp;" "&amp;O326,T$2)</f>
        <v>#NAME?</v>
      </c>
      <c r="V326" s="307" t="s">
        <v>1484</v>
      </c>
      <c r="W326" s="307">
        <v>320</v>
      </c>
      <c r="X326" s="307" t="s">
        <v>390</v>
      </c>
      <c r="Y326" s="307" t="s">
        <v>900</v>
      </c>
    </row>
    <row r="327" spans="2:25">
      <c r="B327" s="335" t="s">
        <v>374</v>
      </c>
      <c r="C327" s="335" t="s">
        <v>375</v>
      </c>
      <c r="D327" s="335" t="s">
        <v>821</v>
      </c>
      <c r="E327" s="335" t="s">
        <v>822</v>
      </c>
      <c r="F327" s="335" t="s">
        <v>376</v>
      </c>
      <c r="G327" s="335" t="s">
        <v>14</v>
      </c>
      <c r="H327" s="336" t="s">
        <v>7</v>
      </c>
      <c r="I327" s="335">
        <v>0</v>
      </c>
      <c r="J327" s="335" t="s">
        <v>823</v>
      </c>
      <c r="K327" s="335" t="s">
        <v>1258</v>
      </c>
      <c r="M327" s="335" t="s">
        <v>1485</v>
      </c>
      <c r="N327" s="335" t="s">
        <v>388</v>
      </c>
      <c r="O327" s="335" t="s">
        <v>389</v>
      </c>
      <c r="Q327" s="307" t="e">
        <f ca="1">_xll.BDP(M327&amp;" "&amp;N327&amp;" "&amp;O327,Q$2)</f>
        <v>#NAME?</v>
      </c>
      <c r="R327" s="307" t="e">
        <f ca="1">_xll.BDP(M327&amp;" "&amp;N327&amp;" "&amp;O327,R$2)</f>
        <v>#NAME?</v>
      </c>
      <c r="S327" s="307" t="e">
        <f ca="1">_xll.BDP(M327&amp;" "&amp;N327&amp;" "&amp;O327,S$2)</f>
        <v>#NAME?</v>
      </c>
      <c r="T327" s="307" t="e">
        <f ca="1">_xll.BDP(M327&amp;" "&amp;N327&amp;" "&amp;O327,T$2)</f>
        <v>#NAME?</v>
      </c>
      <c r="V327" s="307" t="s">
        <v>1486</v>
      </c>
      <c r="W327" s="307">
        <v>384</v>
      </c>
      <c r="X327" s="307" t="s">
        <v>390</v>
      </c>
      <c r="Y327" s="307" t="s">
        <v>936</v>
      </c>
    </row>
    <row r="328" spans="2:25">
      <c r="B328" s="335" t="s">
        <v>374</v>
      </c>
      <c r="C328" s="335" t="s">
        <v>375</v>
      </c>
      <c r="D328" s="335" t="s">
        <v>821</v>
      </c>
      <c r="E328" s="335" t="s">
        <v>822</v>
      </c>
      <c r="F328" s="335" t="s">
        <v>376</v>
      </c>
      <c r="G328" s="335" t="s">
        <v>14</v>
      </c>
      <c r="H328" s="336" t="s">
        <v>154</v>
      </c>
      <c r="I328" s="335">
        <v>0</v>
      </c>
      <c r="J328" s="335" t="s">
        <v>823</v>
      </c>
      <c r="K328" s="335" t="s">
        <v>1258</v>
      </c>
      <c r="M328" s="335" t="s">
        <v>1487</v>
      </c>
      <c r="N328" s="335" t="s">
        <v>388</v>
      </c>
      <c r="O328" s="335" t="s">
        <v>389</v>
      </c>
      <c r="Q328" s="307" t="e">
        <f ca="1">_xll.BDP(M328&amp;" "&amp;N328&amp;" "&amp;O328,Q$2)</f>
        <v>#NAME?</v>
      </c>
      <c r="R328" s="307" t="e">
        <f ca="1">_xll.BDP(M328&amp;" "&amp;N328&amp;" "&amp;O328,R$2)</f>
        <v>#NAME?</v>
      </c>
      <c r="S328" s="307" t="e">
        <f ca="1">_xll.BDP(M328&amp;" "&amp;N328&amp;" "&amp;O328,S$2)</f>
        <v>#NAME?</v>
      </c>
      <c r="T328" s="307" t="e">
        <f ca="1">_xll.BDP(M328&amp;" "&amp;N328&amp;" "&amp;O328,T$2)</f>
        <v>#NAME?</v>
      </c>
      <c r="V328" s="307" t="s">
        <v>1488</v>
      </c>
      <c r="W328" s="307">
        <v>486</v>
      </c>
      <c r="X328" s="307" t="s">
        <v>390</v>
      </c>
      <c r="Y328" s="307" t="s">
        <v>870</v>
      </c>
    </row>
    <row r="329" spans="2:25">
      <c r="B329" s="335" t="s">
        <v>374</v>
      </c>
      <c r="C329" s="335" t="s">
        <v>375</v>
      </c>
      <c r="D329" s="335" t="s">
        <v>821</v>
      </c>
      <c r="E329" s="335" t="s">
        <v>822</v>
      </c>
      <c r="F329" s="335" t="s">
        <v>376</v>
      </c>
      <c r="G329" s="335" t="s">
        <v>14</v>
      </c>
      <c r="H329" s="336" t="s">
        <v>8</v>
      </c>
      <c r="I329" s="335">
        <v>0</v>
      </c>
      <c r="J329" s="335" t="s">
        <v>823</v>
      </c>
      <c r="K329" s="335" t="s">
        <v>1258</v>
      </c>
      <c r="M329" s="335" t="s">
        <v>1489</v>
      </c>
      <c r="N329" s="335" t="s">
        <v>388</v>
      </c>
      <c r="O329" s="335" t="s">
        <v>389</v>
      </c>
      <c r="Q329" s="307" t="e">
        <f ca="1">_xll.BDP(M329&amp;" "&amp;N329&amp;" "&amp;O329,Q$2)</f>
        <v>#NAME?</v>
      </c>
      <c r="R329" s="307" t="e">
        <f ca="1">_xll.BDP(M329&amp;" "&amp;N329&amp;" "&amp;O329,R$2)</f>
        <v>#NAME?</v>
      </c>
      <c r="S329" s="307" t="e">
        <f ca="1">_xll.BDP(M329&amp;" "&amp;N329&amp;" "&amp;O329,S$2)</f>
        <v>#NAME?</v>
      </c>
      <c r="T329" s="307" t="e">
        <f ca="1">_xll.BDP(M329&amp;" "&amp;N329&amp;" "&amp;O329,T$2)</f>
        <v>#NAME?</v>
      </c>
      <c r="V329" s="307" t="s">
        <v>1490</v>
      </c>
      <c r="W329" s="307">
        <v>584</v>
      </c>
      <c r="X329" s="307" t="s">
        <v>390</v>
      </c>
      <c r="Y329" s="307" t="s">
        <v>847</v>
      </c>
    </row>
    <row r="330" spans="2:25">
      <c r="B330" s="335" t="s">
        <v>374</v>
      </c>
      <c r="C330" s="335" t="s">
        <v>375</v>
      </c>
      <c r="D330" s="335" t="s">
        <v>821</v>
      </c>
      <c r="E330" s="335" t="s">
        <v>822</v>
      </c>
      <c r="F330" s="335" t="s">
        <v>376</v>
      </c>
      <c r="G330" s="335" t="s">
        <v>14</v>
      </c>
      <c r="H330" s="336" t="s">
        <v>9</v>
      </c>
      <c r="I330" s="335">
        <v>0</v>
      </c>
      <c r="J330" s="335" t="s">
        <v>823</v>
      </c>
      <c r="K330" s="335" t="s">
        <v>1258</v>
      </c>
      <c r="M330" s="335" t="s">
        <v>1491</v>
      </c>
      <c r="N330" s="335" t="s">
        <v>388</v>
      </c>
      <c r="O330" s="335" t="s">
        <v>389</v>
      </c>
      <c r="Q330" s="307" t="e">
        <f ca="1">_xll.BDP(M330&amp;" "&amp;N330&amp;" "&amp;O330,Q$2)</f>
        <v>#NAME?</v>
      </c>
      <c r="R330" s="307" t="e">
        <f ca="1">_xll.BDP(M330&amp;" "&amp;N330&amp;" "&amp;O330,R$2)</f>
        <v>#NAME?</v>
      </c>
      <c r="S330" s="307" t="e">
        <f ca="1">_xll.BDP(M330&amp;" "&amp;N330&amp;" "&amp;O330,S$2)</f>
        <v>#NAME?</v>
      </c>
      <c r="T330" s="307" t="e">
        <f ca="1">_xll.BDP(M330&amp;" "&amp;N330&amp;" "&amp;O330,T$2)</f>
        <v>#NAME?</v>
      </c>
      <c r="V330" s="307" t="s">
        <v>1492</v>
      </c>
      <c r="W330" s="307">
        <v>737</v>
      </c>
      <c r="X330" s="307" t="s">
        <v>390</v>
      </c>
      <c r="Y330" s="307" t="s">
        <v>847</v>
      </c>
    </row>
    <row r="331" spans="2:25">
      <c r="B331" s="335" t="s">
        <v>374</v>
      </c>
      <c r="C331" s="335" t="s">
        <v>375</v>
      </c>
      <c r="D331" s="335" t="s">
        <v>821</v>
      </c>
      <c r="E331" s="335" t="s">
        <v>822</v>
      </c>
      <c r="F331" s="335" t="s">
        <v>376</v>
      </c>
      <c r="G331" s="335" t="s">
        <v>14</v>
      </c>
      <c r="H331" s="336" t="s">
        <v>10</v>
      </c>
      <c r="I331" s="335">
        <v>0</v>
      </c>
      <c r="J331" s="335" t="s">
        <v>823</v>
      </c>
      <c r="K331" s="335" t="s">
        <v>1258</v>
      </c>
      <c r="M331" s="335" t="s">
        <v>1493</v>
      </c>
      <c r="N331" s="335" t="s">
        <v>388</v>
      </c>
      <c r="O331" s="335" t="s">
        <v>389</v>
      </c>
      <c r="Q331" s="307" t="e">
        <f ca="1">_xll.BDP(M331&amp;" "&amp;N331&amp;" "&amp;O331,Q$2)</f>
        <v>#NAME?</v>
      </c>
      <c r="R331" s="307" t="e">
        <f ca="1">_xll.BDP(M331&amp;" "&amp;N331&amp;" "&amp;O331,R$2)</f>
        <v>#NAME?</v>
      </c>
      <c r="S331" s="307" t="e">
        <f ca="1">_xll.BDP(M331&amp;" "&amp;N331&amp;" "&amp;O331,S$2)</f>
        <v>#NAME?</v>
      </c>
      <c r="T331" s="307" t="e">
        <f ca="1">_xll.BDP(M331&amp;" "&amp;N331&amp;" "&amp;O331,T$2)</f>
        <v>#NAME?</v>
      </c>
      <c r="V331" s="307" t="s">
        <v>1494</v>
      </c>
      <c r="W331" s="307">
        <v>869</v>
      </c>
      <c r="X331" s="307" t="s">
        <v>390</v>
      </c>
      <c r="Y331" s="307" t="s">
        <v>847</v>
      </c>
    </row>
    <row r="332" spans="2:25">
      <c r="B332" s="335" t="s">
        <v>374</v>
      </c>
      <c r="C332" s="335" t="s">
        <v>375</v>
      </c>
      <c r="D332" s="335" t="s">
        <v>821</v>
      </c>
      <c r="E332" s="335" t="s">
        <v>822</v>
      </c>
      <c r="F332" s="335" t="s">
        <v>376</v>
      </c>
      <c r="G332" s="335" t="s">
        <v>14</v>
      </c>
      <c r="H332" s="336" t="s">
        <v>11</v>
      </c>
      <c r="I332" s="335">
        <v>0</v>
      </c>
      <c r="J332" s="335" t="s">
        <v>823</v>
      </c>
      <c r="K332" s="335" t="s">
        <v>1258</v>
      </c>
      <c r="M332" s="335" t="s">
        <v>1495</v>
      </c>
      <c r="N332" s="335" t="s">
        <v>388</v>
      </c>
      <c r="O332" s="335" t="s">
        <v>389</v>
      </c>
      <c r="Q332" s="307" t="e">
        <f ca="1">_xll.BDP(M332&amp;" "&amp;N332&amp;" "&amp;O332,Q$2)</f>
        <v>#NAME?</v>
      </c>
      <c r="R332" s="307" t="e">
        <f ca="1">_xll.BDP(M332&amp;" "&amp;N332&amp;" "&amp;O332,R$2)</f>
        <v>#NAME?</v>
      </c>
      <c r="S332" s="307" t="e">
        <f ca="1">_xll.BDP(M332&amp;" "&amp;N332&amp;" "&amp;O332,S$2)</f>
        <v>#NAME?</v>
      </c>
      <c r="T332" s="307" t="e">
        <f ca="1">_xll.BDP(M332&amp;" "&amp;N332&amp;" "&amp;O332,T$2)</f>
        <v>#NAME?</v>
      </c>
      <c r="V332" s="307" t="s">
        <v>1496</v>
      </c>
      <c r="W332" s="307">
        <v>971</v>
      </c>
      <c r="X332" s="307" t="s">
        <v>390</v>
      </c>
      <c r="Y332" s="307" t="s">
        <v>847</v>
      </c>
    </row>
    <row r="333" spans="2:25">
      <c r="B333" s="335" t="s">
        <v>374</v>
      </c>
      <c r="C333" s="335" t="s">
        <v>375</v>
      </c>
      <c r="D333" s="335" t="s">
        <v>821</v>
      </c>
      <c r="E333" s="335" t="s">
        <v>822</v>
      </c>
      <c r="F333" s="335" t="s">
        <v>376</v>
      </c>
      <c r="G333" s="335" t="s">
        <v>14</v>
      </c>
      <c r="H333" s="336" t="s">
        <v>13</v>
      </c>
      <c r="I333" s="335">
        <v>0</v>
      </c>
      <c r="J333" s="335" t="s">
        <v>823</v>
      </c>
      <c r="K333" s="335" t="s">
        <v>1258</v>
      </c>
      <c r="M333" s="335" t="s">
        <v>1497</v>
      </c>
      <c r="N333" s="335" t="s">
        <v>388</v>
      </c>
      <c r="O333" s="335" t="s">
        <v>389</v>
      </c>
      <c r="Q333" s="307" t="e">
        <f ca="1">_xll.BDP(M333&amp;" "&amp;N333&amp;" "&amp;O333,Q$2)</f>
        <v>#NAME?</v>
      </c>
      <c r="R333" s="307" t="e">
        <f ca="1">_xll.BDP(M333&amp;" "&amp;N333&amp;" "&amp;O333,R$2)</f>
        <v>#NAME?</v>
      </c>
      <c r="S333" s="307" t="e">
        <f ca="1">_xll.BDP(M333&amp;" "&amp;N333&amp;" "&amp;O333,S$2)</f>
        <v>#NAME?</v>
      </c>
      <c r="T333" s="307" t="e">
        <f ca="1">_xll.BDP(M333&amp;" "&amp;N333&amp;" "&amp;O333,T$2)</f>
        <v>#NAME?</v>
      </c>
      <c r="V333" s="307" t="s">
        <v>1498</v>
      </c>
      <c r="W333" s="307">
        <v>1141</v>
      </c>
      <c r="X333" s="307" t="s">
        <v>390</v>
      </c>
      <c r="Y333" s="307" t="s">
        <v>847</v>
      </c>
    </row>
    <row r="334" spans="2:25">
      <c r="B334" s="335" t="s">
        <v>374</v>
      </c>
      <c r="C334" s="335" t="s">
        <v>375</v>
      </c>
      <c r="D334" s="335" t="s">
        <v>821</v>
      </c>
      <c r="E334" s="335" t="s">
        <v>822</v>
      </c>
      <c r="F334" s="335" t="s">
        <v>376</v>
      </c>
      <c r="G334" s="335" t="s">
        <v>14</v>
      </c>
      <c r="H334" s="336" t="s">
        <v>16</v>
      </c>
      <c r="I334" s="335">
        <v>0</v>
      </c>
      <c r="J334" s="335" t="s">
        <v>823</v>
      </c>
      <c r="K334" s="335" t="s">
        <v>1258</v>
      </c>
      <c r="M334" s="335" t="s">
        <v>1499</v>
      </c>
      <c r="N334" s="335" t="s">
        <v>388</v>
      </c>
      <c r="O334" s="335" t="s">
        <v>389</v>
      </c>
      <c r="Q334" s="307" t="e">
        <f ca="1">_xll.BDP(M334&amp;" "&amp;N334&amp;" "&amp;O334,Q$2)</f>
        <v>#NAME?</v>
      </c>
      <c r="R334" s="307" t="e">
        <f ca="1">_xll.BDP(M334&amp;" "&amp;N334&amp;" "&amp;O334,R$2)</f>
        <v>#NAME?</v>
      </c>
      <c r="S334" s="307" t="e">
        <f ca="1">_xll.BDP(M334&amp;" "&amp;N334&amp;" "&amp;O334,S$2)</f>
        <v>#NAME?</v>
      </c>
      <c r="T334" s="307" t="e">
        <f ca="1">_xll.BDP(M334&amp;" "&amp;N334&amp;" "&amp;O334,T$2)</f>
        <v>#NAME?</v>
      </c>
      <c r="V334" s="307" t="s">
        <v>1500</v>
      </c>
      <c r="W334" s="307">
        <v>1338</v>
      </c>
      <c r="X334" s="307" t="s">
        <v>390</v>
      </c>
      <c r="Y334" s="307" t="s">
        <v>847</v>
      </c>
    </row>
    <row r="335" spans="2:25">
      <c r="B335" s="335" t="s">
        <v>374</v>
      </c>
      <c r="C335" s="335" t="s">
        <v>375</v>
      </c>
      <c r="D335" s="335" t="s">
        <v>821</v>
      </c>
      <c r="E335" s="335" t="s">
        <v>822</v>
      </c>
      <c r="F335" s="335" t="s">
        <v>376</v>
      </c>
      <c r="G335" s="335" t="s">
        <v>14</v>
      </c>
      <c r="H335" s="336" t="s">
        <v>17</v>
      </c>
      <c r="I335" s="335">
        <v>0</v>
      </c>
      <c r="J335" s="335" t="s">
        <v>823</v>
      </c>
      <c r="K335" s="335" t="s">
        <v>1258</v>
      </c>
      <c r="M335" s="335" t="s">
        <v>1501</v>
      </c>
      <c r="N335" s="335" t="s">
        <v>388</v>
      </c>
      <c r="O335" s="335" t="s">
        <v>389</v>
      </c>
      <c r="Q335" s="307" t="e">
        <f ca="1">_xll.BDP(M335&amp;" "&amp;N335&amp;" "&amp;O335,Q$2)</f>
        <v>#NAME?</v>
      </c>
      <c r="R335" s="307" t="e">
        <f ca="1">_xll.BDP(M335&amp;" "&amp;N335&amp;" "&amp;O335,R$2)</f>
        <v>#NAME?</v>
      </c>
      <c r="S335" s="307" t="e">
        <f ca="1">_xll.BDP(M335&amp;" "&amp;N335&amp;" "&amp;O335,S$2)</f>
        <v>#NAME?</v>
      </c>
      <c r="T335" s="307" t="e">
        <f ca="1">_xll.BDP(M335&amp;" "&amp;N335&amp;" "&amp;O335,T$2)</f>
        <v>#NAME?</v>
      </c>
      <c r="V335" s="307" t="s">
        <v>1502</v>
      </c>
      <c r="W335" s="307">
        <v>1569</v>
      </c>
      <c r="X335" s="307" t="s">
        <v>390</v>
      </c>
      <c r="Y335" s="307" t="s">
        <v>859</v>
      </c>
    </row>
    <row r="336" spans="2:25">
      <c r="B336" s="335" t="s">
        <v>374</v>
      </c>
      <c r="C336" s="335" t="s">
        <v>375</v>
      </c>
      <c r="D336" s="335" t="s">
        <v>821</v>
      </c>
      <c r="E336" s="335" t="s">
        <v>822</v>
      </c>
      <c r="F336" s="335" t="s">
        <v>376</v>
      </c>
      <c r="G336" s="335" t="s">
        <v>14</v>
      </c>
      <c r="H336" s="336" t="s">
        <v>104</v>
      </c>
      <c r="I336" s="335">
        <v>0</v>
      </c>
      <c r="J336" s="335" t="s">
        <v>823</v>
      </c>
      <c r="K336" s="335" t="s">
        <v>1258</v>
      </c>
      <c r="M336" s="335" t="s">
        <v>1503</v>
      </c>
      <c r="N336" s="335" t="s">
        <v>388</v>
      </c>
      <c r="O336" s="335" t="s">
        <v>389</v>
      </c>
      <c r="Q336" s="307" t="e">
        <f ca="1">_xll.BDP(M336&amp;" "&amp;N336&amp;" "&amp;O336,Q$2)</f>
        <v>#NAME?</v>
      </c>
      <c r="R336" s="307" t="e">
        <f ca="1">_xll.BDP(M336&amp;" "&amp;N336&amp;" "&amp;O336,R$2)</f>
        <v>#NAME?</v>
      </c>
      <c r="S336" s="307" t="e">
        <f ca="1">_xll.BDP(M336&amp;" "&amp;N336&amp;" "&amp;O336,S$2)</f>
        <v>#NAME?</v>
      </c>
      <c r="T336" s="307" t="e">
        <f ca="1">_xll.BDP(M336&amp;" "&amp;N336&amp;" "&amp;O336,T$2)</f>
        <v>#NAME?</v>
      </c>
      <c r="V336" s="307" t="s">
        <v>1504</v>
      </c>
      <c r="W336" s="307">
        <v>1713</v>
      </c>
      <c r="X336" s="307" t="s">
        <v>390</v>
      </c>
      <c r="Y336" s="307" t="s">
        <v>859</v>
      </c>
    </row>
    <row r="337" spans="2:25">
      <c r="B337" s="335" t="s">
        <v>374</v>
      </c>
      <c r="C337" s="335" t="s">
        <v>375</v>
      </c>
      <c r="D337" s="335" t="s">
        <v>821</v>
      </c>
      <c r="E337" s="335" t="s">
        <v>822</v>
      </c>
      <c r="F337" s="335" t="s">
        <v>376</v>
      </c>
      <c r="G337" s="335" t="s">
        <v>15</v>
      </c>
      <c r="H337" s="335" t="s">
        <v>23</v>
      </c>
      <c r="I337" s="335">
        <v>0</v>
      </c>
      <c r="J337" s="335" t="s">
        <v>823</v>
      </c>
      <c r="K337" s="335" t="s">
        <v>1258</v>
      </c>
      <c r="M337" s="335" t="s">
        <v>1505</v>
      </c>
      <c r="N337" s="335" t="s">
        <v>388</v>
      </c>
      <c r="O337" s="335" t="s">
        <v>389</v>
      </c>
      <c r="Q337" s="307" t="e">
        <f ca="1">_xll.BDP(M337&amp;" "&amp;N337&amp;" "&amp;O337,Q$2)</f>
        <v>#NAME?</v>
      </c>
      <c r="R337" s="307" t="e">
        <f ca="1">_xll.BDP(M337&amp;" "&amp;N337&amp;" "&amp;O337,R$2)</f>
        <v>#NAME?</v>
      </c>
      <c r="S337" s="307" t="e">
        <f ca="1">_xll.BDP(M337&amp;" "&amp;N337&amp;" "&amp;O337,S$2)</f>
        <v>#NAME?</v>
      </c>
      <c r="T337" s="307" t="e">
        <f ca="1">_xll.BDP(M337&amp;" "&amp;N337&amp;" "&amp;O337,T$2)</f>
        <v>#NAME?</v>
      </c>
      <c r="V337" s="307" t="s">
        <v>1506</v>
      </c>
      <c r="W337" s="307">
        <v>128</v>
      </c>
      <c r="X337" s="307" t="s">
        <v>390</v>
      </c>
      <c r="Y337" s="307" t="s">
        <v>870</v>
      </c>
    </row>
    <row r="338" spans="2:25">
      <c r="B338" s="335" t="s">
        <v>374</v>
      </c>
      <c r="C338" s="335" t="s">
        <v>375</v>
      </c>
      <c r="D338" s="335" t="s">
        <v>821</v>
      </c>
      <c r="E338" s="335" t="s">
        <v>822</v>
      </c>
      <c r="F338" s="335" t="s">
        <v>376</v>
      </c>
      <c r="G338" s="335" t="s">
        <v>15</v>
      </c>
      <c r="H338" s="335" t="s">
        <v>398</v>
      </c>
      <c r="I338" s="335">
        <v>0</v>
      </c>
      <c r="J338" s="335" t="s">
        <v>823</v>
      </c>
      <c r="K338" s="335" t="s">
        <v>1258</v>
      </c>
      <c r="M338" s="335" t="s">
        <v>1507</v>
      </c>
      <c r="N338" s="335" t="s">
        <v>388</v>
      </c>
      <c r="O338" s="335" t="s">
        <v>389</v>
      </c>
      <c r="Q338" s="307" t="e">
        <f ca="1">_xll.BDP(M338&amp;" "&amp;N338&amp;" "&amp;O338,Q$2)</f>
        <v>#NAME?</v>
      </c>
      <c r="R338" s="307" t="e">
        <f ca="1">_xll.BDP(M338&amp;" "&amp;N338&amp;" "&amp;O338,R$2)</f>
        <v>#NAME?</v>
      </c>
      <c r="S338" s="307" t="e">
        <f ca="1">_xll.BDP(M338&amp;" "&amp;N338&amp;" "&amp;O338,S$2)</f>
        <v>#NAME?</v>
      </c>
      <c r="T338" s="307" t="e">
        <f ca="1">_xll.BDP(M338&amp;" "&amp;N338&amp;" "&amp;O338,T$2)</f>
        <v>#NAME?</v>
      </c>
      <c r="V338" s="307" t="s">
        <v>1508</v>
      </c>
      <c r="W338" s="307">
        <v>186</v>
      </c>
      <c r="X338" s="307" t="s">
        <v>390</v>
      </c>
      <c r="Y338" s="307" t="s">
        <v>1509</v>
      </c>
    </row>
    <row r="339" spans="2:25">
      <c r="B339" s="335" t="s">
        <v>374</v>
      </c>
      <c r="C339" s="335" t="s">
        <v>375</v>
      </c>
      <c r="D339" s="335" t="s">
        <v>821</v>
      </c>
      <c r="E339" s="335" t="s">
        <v>822</v>
      </c>
      <c r="F339" s="335" t="s">
        <v>376</v>
      </c>
      <c r="G339" s="335" t="s">
        <v>15</v>
      </c>
      <c r="H339" s="336" t="s">
        <v>26</v>
      </c>
      <c r="I339" s="335">
        <v>0</v>
      </c>
      <c r="J339" s="335" t="s">
        <v>823</v>
      </c>
      <c r="K339" s="335" t="s">
        <v>1258</v>
      </c>
      <c r="M339" s="335" t="s">
        <v>1510</v>
      </c>
      <c r="N339" s="335" t="s">
        <v>388</v>
      </c>
      <c r="O339" s="335" t="s">
        <v>389</v>
      </c>
      <c r="Q339" s="307" t="e">
        <f ca="1">_xll.BDP(M339&amp;" "&amp;N339&amp;" "&amp;O339,Q$2)</f>
        <v>#NAME?</v>
      </c>
      <c r="R339" s="307" t="e">
        <f ca="1">_xll.BDP(M339&amp;" "&amp;N339&amp;" "&amp;O339,R$2)</f>
        <v>#NAME?</v>
      </c>
      <c r="S339" s="307" t="e">
        <f ca="1">_xll.BDP(M339&amp;" "&amp;N339&amp;" "&amp;O339,S$2)</f>
        <v>#NAME?</v>
      </c>
      <c r="T339" s="307" t="e">
        <f ca="1">_xll.BDP(M339&amp;" "&amp;N339&amp;" "&amp;O339,T$2)</f>
        <v>#NAME?</v>
      </c>
      <c r="V339" s="307" t="s">
        <v>1511</v>
      </c>
      <c r="W339" s="307">
        <v>222</v>
      </c>
      <c r="X339" s="307" t="s">
        <v>390</v>
      </c>
      <c r="Y339" s="307" t="s">
        <v>836</v>
      </c>
    </row>
    <row r="340" spans="2:25">
      <c r="B340" s="335" t="s">
        <v>374</v>
      </c>
      <c r="C340" s="335" t="s">
        <v>375</v>
      </c>
      <c r="D340" s="335" t="s">
        <v>821</v>
      </c>
      <c r="E340" s="335" t="s">
        <v>822</v>
      </c>
      <c r="F340" s="335" t="s">
        <v>376</v>
      </c>
      <c r="G340" s="335" t="s">
        <v>15</v>
      </c>
      <c r="H340" s="336" t="s">
        <v>19</v>
      </c>
      <c r="I340" s="335">
        <v>0</v>
      </c>
      <c r="J340" s="335" t="s">
        <v>823</v>
      </c>
      <c r="K340" s="335" t="s">
        <v>1258</v>
      </c>
      <c r="M340" s="335" t="s">
        <v>1512</v>
      </c>
      <c r="N340" s="335" t="s">
        <v>388</v>
      </c>
      <c r="O340" s="335" t="s">
        <v>389</v>
      </c>
      <c r="Q340" s="307" t="e">
        <f ca="1">_xll.BDP(M340&amp;" "&amp;N340&amp;" "&amp;O340,Q$2)</f>
        <v>#NAME?</v>
      </c>
      <c r="R340" s="307" t="e">
        <f ca="1">_xll.BDP(M340&amp;" "&amp;N340&amp;" "&amp;O340,R$2)</f>
        <v>#NAME?</v>
      </c>
      <c r="S340" s="307" t="e">
        <f ca="1">_xll.BDP(M340&amp;" "&amp;N340&amp;" "&amp;O340,S$2)</f>
        <v>#NAME?</v>
      </c>
      <c r="T340" s="307" t="e">
        <f ca="1">_xll.BDP(M340&amp;" "&amp;N340&amp;" "&amp;O340,T$2)</f>
        <v>#NAME?</v>
      </c>
      <c r="V340" s="307" t="s">
        <v>1513</v>
      </c>
      <c r="W340" s="307">
        <v>312</v>
      </c>
      <c r="X340" s="307" t="s">
        <v>390</v>
      </c>
      <c r="Y340" s="307" t="s">
        <v>893</v>
      </c>
    </row>
    <row r="341" spans="2:25">
      <c r="B341" s="335" t="s">
        <v>374</v>
      </c>
      <c r="C341" s="335" t="s">
        <v>375</v>
      </c>
      <c r="D341" s="335" t="s">
        <v>821</v>
      </c>
      <c r="E341" s="335" t="s">
        <v>822</v>
      </c>
      <c r="F341" s="335" t="s">
        <v>376</v>
      </c>
      <c r="G341" s="335" t="s">
        <v>15</v>
      </c>
      <c r="H341" s="336" t="s">
        <v>412</v>
      </c>
      <c r="I341" s="335">
        <v>0</v>
      </c>
      <c r="J341" s="335" t="s">
        <v>823</v>
      </c>
      <c r="K341" s="335" t="s">
        <v>1258</v>
      </c>
      <c r="M341" s="335" t="s">
        <v>1514</v>
      </c>
      <c r="N341" s="335" t="s">
        <v>388</v>
      </c>
      <c r="O341" s="335" t="s">
        <v>389</v>
      </c>
      <c r="Q341" s="307" t="e">
        <f ca="1">_xll.BDP(M341&amp;" "&amp;N341&amp;" "&amp;O341,Q$2)</f>
        <v>#NAME?</v>
      </c>
      <c r="R341" s="307" t="e">
        <f ca="1">_xll.BDP(M341&amp;" "&amp;N341&amp;" "&amp;O341,R$2)</f>
        <v>#NAME?</v>
      </c>
      <c r="S341" s="307" t="e">
        <f ca="1">_xll.BDP(M341&amp;" "&amp;N341&amp;" "&amp;O341,S$2)</f>
        <v>#NAME?</v>
      </c>
      <c r="T341" s="307" t="e">
        <f ca="1">_xll.BDP(M341&amp;" "&amp;N341&amp;" "&amp;O341,T$2)</f>
        <v>#NAME?</v>
      </c>
      <c r="V341" s="307" t="s">
        <v>1515</v>
      </c>
      <c r="W341" s="307">
        <v>385</v>
      </c>
      <c r="X341" s="307" t="s">
        <v>390</v>
      </c>
      <c r="Y341" s="307" t="s">
        <v>900</v>
      </c>
    </row>
    <row r="342" spans="2:25">
      <c r="B342" s="335" t="s">
        <v>374</v>
      </c>
      <c r="C342" s="335" t="s">
        <v>375</v>
      </c>
      <c r="D342" s="335" t="s">
        <v>821</v>
      </c>
      <c r="E342" s="335" t="s">
        <v>822</v>
      </c>
      <c r="F342" s="335" t="s">
        <v>376</v>
      </c>
      <c r="G342" s="335" t="s">
        <v>15</v>
      </c>
      <c r="H342" s="336" t="s">
        <v>7</v>
      </c>
      <c r="I342" s="335">
        <v>0</v>
      </c>
      <c r="J342" s="335" t="s">
        <v>823</v>
      </c>
      <c r="K342" s="335" t="s">
        <v>1258</v>
      </c>
      <c r="M342" s="335" t="s">
        <v>1516</v>
      </c>
      <c r="N342" s="335" t="s">
        <v>388</v>
      </c>
      <c r="O342" s="335" t="s">
        <v>389</v>
      </c>
      <c r="Q342" s="307" t="e">
        <f ca="1">_xll.BDP(M342&amp;" "&amp;N342&amp;" "&amp;O342,Q$2)</f>
        <v>#NAME?</v>
      </c>
      <c r="R342" s="307" t="e">
        <f ca="1">_xll.BDP(M342&amp;" "&amp;N342&amp;" "&amp;O342,R$2)</f>
        <v>#NAME?</v>
      </c>
      <c r="S342" s="307" t="e">
        <f ca="1">_xll.BDP(M342&amp;" "&amp;N342&amp;" "&amp;O342,S$2)</f>
        <v>#NAME?</v>
      </c>
      <c r="T342" s="307" t="e">
        <f ca="1">_xll.BDP(M342&amp;" "&amp;N342&amp;" "&amp;O342,T$2)</f>
        <v>#NAME?</v>
      </c>
      <c r="V342" s="307" t="s">
        <v>1517</v>
      </c>
      <c r="W342" s="307">
        <v>452</v>
      </c>
      <c r="X342" s="307" t="s">
        <v>390</v>
      </c>
      <c r="Y342" s="307" t="s">
        <v>936</v>
      </c>
    </row>
    <row r="343" spans="2:25">
      <c r="B343" s="335" t="s">
        <v>374</v>
      </c>
      <c r="C343" s="335" t="s">
        <v>375</v>
      </c>
      <c r="D343" s="335" t="s">
        <v>821</v>
      </c>
      <c r="E343" s="335" t="s">
        <v>822</v>
      </c>
      <c r="F343" s="335" t="s">
        <v>376</v>
      </c>
      <c r="G343" s="335" t="s">
        <v>15</v>
      </c>
      <c r="H343" s="336" t="s">
        <v>154</v>
      </c>
      <c r="I343" s="335">
        <v>0</v>
      </c>
      <c r="J343" s="335" t="s">
        <v>823</v>
      </c>
      <c r="K343" s="335" t="s">
        <v>1258</v>
      </c>
      <c r="M343" s="335" t="s">
        <v>1518</v>
      </c>
      <c r="N343" s="335" t="s">
        <v>388</v>
      </c>
      <c r="O343" s="335" t="s">
        <v>389</v>
      </c>
      <c r="Q343" s="307" t="e">
        <f ca="1">_xll.BDP(M343&amp;" "&amp;N343&amp;" "&amp;O343,Q$2)</f>
        <v>#NAME?</v>
      </c>
      <c r="R343" s="307" t="e">
        <f ca="1">_xll.BDP(M343&amp;" "&amp;N343&amp;" "&amp;O343,R$2)</f>
        <v>#NAME?</v>
      </c>
      <c r="S343" s="307" t="e">
        <f ca="1">_xll.BDP(M343&amp;" "&amp;N343&amp;" "&amp;O343,S$2)</f>
        <v>#NAME?</v>
      </c>
      <c r="T343" s="307" t="e">
        <f ca="1">_xll.BDP(M343&amp;" "&amp;N343&amp;" "&amp;O343,T$2)</f>
        <v>#NAME?</v>
      </c>
      <c r="V343" s="307" t="s">
        <v>1519</v>
      </c>
      <c r="W343" s="307">
        <v>566</v>
      </c>
      <c r="X343" s="307" t="s">
        <v>390</v>
      </c>
      <c r="Y343" s="307" t="s">
        <v>870</v>
      </c>
    </row>
    <row r="344" spans="2:25">
      <c r="B344" s="335" t="s">
        <v>374</v>
      </c>
      <c r="C344" s="335" t="s">
        <v>375</v>
      </c>
      <c r="D344" s="335" t="s">
        <v>821</v>
      </c>
      <c r="E344" s="335" t="s">
        <v>822</v>
      </c>
      <c r="F344" s="335" t="s">
        <v>376</v>
      </c>
      <c r="G344" s="335" t="s">
        <v>15</v>
      </c>
      <c r="H344" s="336" t="s">
        <v>8</v>
      </c>
      <c r="I344" s="335">
        <v>0</v>
      </c>
      <c r="J344" s="335" t="s">
        <v>823</v>
      </c>
      <c r="K344" s="335" t="s">
        <v>1258</v>
      </c>
      <c r="M344" s="335" t="s">
        <v>1520</v>
      </c>
      <c r="N344" s="335" t="s">
        <v>388</v>
      </c>
      <c r="O344" s="335" t="s">
        <v>389</v>
      </c>
      <c r="Q344" s="307" t="e">
        <f ca="1">_xll.BDP(M344&amp;" "&amp;N344&amp;" "&amp;O344,Q$2)</f>
        <v>#NAME?</v>
      </c>
      <c r="R344" s="307" t="e">
        <f ca="1">_xll.BDP(M344&amp;" "&amp;N344&amp;" "&amp;O344,R$2)</f>
        <v>#NAME?</v>
      </c>
      <c r="S344" s="307" t="e">
        <f ca="1">_xll.BDP(M344&amp;" "&amp;N344&amp;" "&amp;O344,S$2)</f>
        <v>#NAME?</v>
      </c>
      <c r="T344" s="307" t="e">
        <f ca="1">_xll.BDP(M344&amp;" "&amp;N344&amp;" "&amp;O344,T$2)</f>
        <v>#NAME?</v>
      </c>
      <c r="V344" s="307" t="s">
        <v>1521</v>
      </c>
      <c r="W344" s="307">
        <v>670</v>
      </c>
      <c r="X344" s="307" t="s">
        <v>390</v>
      </c>
      <c r="Y344" s="307" t="s">
        <v>847</v>
      </c>
    </row>
    <row r="345" spans="2:25">
      <c r="B345" s="335" t="s">
        <v>374</v>
      </c>
      <c r="C345" s="335" t="s">
        <v>375</v>
      </c>
      <c r="D345" s="335" t="s">
        <v>821</v>
      </c>
      <c r="E345" s="335" t="s">
        <v>822</v>
      </c>
      <c r="F345" s="335" t="s">
        <v>376</v>
      </c>
      <c r="G345" s="335" t="s">
        <v>15</v>
      </c>
      <c r="H345" s="336" t="s">
        <v>9</v>
      </c>
      <c r="I345" s="335">
        <v>0</v>
      </c>
      <c r="J345" s="335" t="s">
        <v>823</v>
      </c>
      <c r="K345" s="335" t="s">
        <v>1258</v>
      </c>
      <c r="M345" s="335" t="s">
        <v>1522</v>
      </c>
      <c r="N345" s="335" t="s">
        <v>388</v>
      </c>
      <c r="O345" s="335" t="s">
        <v>389</v>
      </c>
      <c r="Q345" s="307" t="e">
        <f ca="1">_xll.BDP(M345&amp;" "&amp;N345&amp;" "&amp;O345,Q$2)</f>
        <v>#NAME?</v>
      </c>
      <c r="R345" s="307" t="e">
        <f ca="1">_xll.BDP(M345&amp;" "&amp;N345&amp;" "&amp;O345,R$2)</f>
        <v>#NAME?</v>
      </c>
      <c r="S345" s="307" t="e">
        <f ca="1">_xll.BDP(M345&amp;" "&amp;N345&amp;" "&amp;O345,S$2)</f>
        <v>#NAME?</v>
      </c>
      <c r="T345" s="307" t="e">
        <f ca="1">_xll.BDP(M345&amp;" "&amp;N345&amp;" "&amp;O345,T$2)</f>
        <v>#NAME?</v>
      </c>
      <c r="V345" s="307" t="s">
        <v>1523</v>
      </c>
      <c r="W345" s="307">
        <v>838</v>
      </c>
      <c r="X345" s="307" t="s">
        <v>390</v>
      </c>
      <c r="Y345" s="307" t="s">
        <v>1394</v>
      </c>
    </row>
    <row r="346" spans="2:25">
      <c r="B346" s="335" t="s">
        <v>374</v>
      </c>
      <c r="C346" s="335" t="s">
        <v>375</v>
      </c>
      <c r="D346" s="335" t="s">
        <v>821</v>
      </c>
      <c r="E346" s="335" t="s">
        <v>822</v>
      </c>
      <c r="F346" s="335" t="s">
        <v>376</v>
      </c>
      <c r="G346" s="335" t="s">
        <v>15</v>
      </c>
      <c r="H346" s="336" t="s">
        <v>10</v>
      </c>
      <c r="I346" s="335">
        <v>0</v>
      </c>
      <c r="J346" s="335" t="s">
        <v>823</v>
      </c>
      <c r="K346" s="335" t="s">
        <v>1258</v>
      </c>
      <c r="M346" s="335" t="s">
        <v>1524</v>
      </c>
      <c r="N346" s="335" t="s">
        <v>388</v>
      </c>
      <c r="O346" s="335" t="s">
        <v>389</v>
      </c>
      <c r="Q346" s="307" t="e">
        <f ca="1">_xll.BDP(M346&amp;" "&amp;N346&amp;" "&amp;O346,Q$2)</f>
        <v>#NAME?</v>
      </c>
      <c r="R346" s="307" t="e">
        <f ca="1">_xll.BDP(M346&amp;" "&amp;N346&amp;" "&amp;O346,R$2)</f>
        <v>#NAME?</v>
      </c>
      <c r="S346" s="307" t="e">
        <f ca="1">_xll.BDP(M346&amp;" "&amp;N346&amp;" "&amp;O346,S$2)</f>
        <v>#NAME?</v>
      </c>
      <c r="T346" s="307" t="e">
        <f ca="1">_xll.BDP(M346&amp;" "&amp;N346&amp;" "&amp;O346,T$2)</f>
        <v>#NAME?</v>
      </c>
      <c r="V346" s="307" t="s">
        <v>1525</v>
      </c>
      <c r="W346" s="307">
        <v>976</v>
      </c>
      <c r="X346" s="307" t="s">
        <v>390</v>
      </c>
      <c r="Y346" s="307" t="s">
        <v>847</v>
      </c>
    </row>
    <row r="347" spans="2:25">
      <c r="B347" s="335" t="s">
        <v>374</v>
      </c>
      <c r="C347" s="335" t="s">
        <v>375</v>
      </c>
      <c r="D347" s="335" t="s">
        <v>821</v>
      </c>
      <c r="E347" s="335" t="s">
        <v>822</v>
      </c>
      <c r="F347" s="335" t="s">
        <v>376</v>
      </c>
      <c r="G347" s="335" t="s">
        <v>15</v>
      </c>
      <c r="H347" s="336" t="s">
        <v>11</v>
      </c>
      <c r="I347" s="335">
        <v>0</v>
      </c>
      <c r="J347" s="335" t="s">
        <v>823</v>
      </c>
      <c r="K347" s="335" t="s">
        <v>1258</v>
      </c>
      <c r="M347" s="335" t="s">
        <v>1526</v>
      </c>
      <c r="N347" s="335" t="s">
        <v>388</v>
      </c>
      <c r="O347" s="335" t="s">
        <v>389</v>
      </c>
      <c r="Q347" s="307" t="e">
        <f ca="1">_xll.BDP(M347&amp;" "&amp;N347&amp;" "&amp;O347,Q$2)</f>
        <v>#NAME?</v>
      </c>
      <c r="R347" s="307" t="e">
        <f ca="1">_xll.BDP(M347&amp;" "&amp;N347&amp;" "&amp;O347,R$2)</f>
        <v>#NAME?</v>
      </c>
      <c r="S347" s="307" t="e">
        <f ca="1">_xll.BDP(M347&amp;" "&amp;N347&amp;" "&amp;O347,S$2)</f>
        <v>#NAME?</v>
      </c>
      <c r="T347" s="307" t="e">
        <f ca="1">_xll.BDP(M347&amp;" "&amp;N347&amp;" "&amp;O347,T$2)</f>
        <v>#NAME?</v>
      </c>
      <c r="V347" s="307" t="s">
        <v>1527</v>
      </c>
      <c r="W347" s="307">
        <v>1084</v>
      </c>
      <c r="X347" s="307" t="s">
        <v>390</v>
      </c>
      <c r="Y347" s="307" t="s">
        <v>847</v>
      </c>
    </row>
    <row r="348" spans="2:25">
      <c r="B348" s="335" t="s">
        <v>374</v>
      </c>
      <c r="C348" s="335" t="s">
        <v>375</v>
      </c>
      <c r="D348" s="335" t="s">
        <v>821</v>
      </c>
      <c r="E348" s="335" t="s">
        <v>822</v>
      </c>
      <c r="F348" s="335" t="s">
        <v>376</v>
      </c>
      <c r="G348" s="335" t="s">
        <v>15</v>
      </c>
      <c r="H348" s="336" t="s">
        <v>13</v>
      </c>
      <c r="I348" s="335">
        <v>0</v>
      </c>
      <c r="J348" s="335" t="s">
        <v>823</v>
      </c>
      <c r="K348" s="335" t="s">
        <v>1258</v>
      </c>
      <c r="M348" s="335" t="s">
        <v>1528</v>
      </c>
      <c r="N348" s="335" t="s">
        <v>388</v>
      </c>
      <c r="O348" s="335" t="s">
        <v>389</v>
      </c>
      <c r="Q348" s="307" t="e">
        <f ca="1">_xll.BDP(M348&amp;" "&amp;N348&amp;" "&amp;O348,Q$2)</f>
        <v>#NAME?</v>
      </c>
      <c r="R348" s="307" t="e">
        <f ca="1">_xll.BDP(M348&amp;" "&amp;N348&amp;" "&amp;O348,R$2)</f>
        <v>#NAME?</v>
      </c>
      <c r="S348" s="307" t="e">
        <f ca="1">_xll.BDP(M348&amp;" "&amp;N348&amp;" "&amp;O348,S$2)</f>
        <v>#NAME?</v>
      </c>
      <c r="T348" s="307" t="e">
        <f ca="1">_xll.BDP(M348&amp;" "&amp;N348&amp;" "&amp;O348,T$2)</f>
        <v>#NAME?</v>
      </c>
      <c r="V348" s="307" t="s">
        <v>1529</v>
      </c>
      <c r="W348" s="307">
        <v>1270</v>
      </c>
      <c r="X348" s="307" t="s">
        <v>390</v>
      </c>
      <c r="Y348" s="307" t="s">
        <v>847</v>
      </c>
    </row>
    <row r="349" spans="2:25">
      <c r="B349" s="335" t="s">
        <v>374</v>
      </c>
      <c r="C349" s="335" t="s">
        <v>375</v>
      </c>
      <c r="D349" s="335" t="s">
        <v>821</v>
      </c>
      <c r="E349" s="335" t="s">
        <v>822</v>
      </c>
      <c r="F349" s="335" t="s">
        <v>376</v>
      </c>
      <c r="G349" s="335" t="s">
        <v>15</v>
      </c>
      <c r="H349" s="336" t="s">
        <v>16</v>
      </c>
      <c r="I349" s="335">
        <v>0</v>
      </c>
      <c r="J349" s="335" t="s">
        <v>823</v>
      </c>
      <c r="K349" s="335" t="s">
        <v>1258</v>
      </c>
      <c r="M349" s="335" t="s">
        <v>1530</v>
      </c>
      <c r="N349" s="335" t="s">
        <v>388</v>
      </c>
      <c r="O349" s="335" t="s">
        <v>389</v>
      </c>
      <c r="Q349" s="307" t="e">
        <f ca="1">_xll.BDP(M349&amp;" "&amp;N349&amp;" "&amp;O349,Q$2)</f>
        <v>#NAME?</v>
      </c>
      <c r="R349" s="307" t="e">
        <f ca="1">_xll.BDP(M349&amp;" "&amp;N349&amp;" "&amp;O349,R$2)</f>
        <v>#NAME?</v>
      </c>
      <c r="S349" s="307" t="e">
        <f ca="1">_xll.BDP(M349&amp;" "&amp;N349&amp;" "&amp;O349,S$2)</f>
        <v>#NAME?</v>
      </c>
      <c r="T349" s="307" t="e">
        <f ca="1">_xll.BDP(M349&amp;" "&amp;N349&amp;" "&amp;O349,T$2)</f>
        <v>#NAME?</v>
      </c>
      <c r="V349" s="307" t="s">
        <v>1531</v>
      </c>
      <c r="W349" s="307">
        <v>1485</v>
      </c>
      <c r="X349" s="307" t="s">
        <v>390</v>
      </c>
      <c r="Y349" s="307" t="s">
        <v>847</v>
      </c>
    </row>
    <row r="350" spans="2:25">
      <c r="B350" s="335" t="s">
        <v>374</v>
      </c>
      <c r="C350" s="335" t="s">
        <v>375</v>
      </c>
      <c r="D350" s="335" t="s">
        <v>821</v>
      </c>
      <c r="E350" s="335" t="s">
        <v>822</v>
      </c>
      <c r="F350" s="335" t="s">
        <v>376</v>
      </c>
      <c r="G350" s="335" t="s">
        <v>15</v>
      </c>
      <c r="H350" s="336" t="s">
        <v>17</v>
      </c>
      <c r="I350" s="335">
        <v>0</v>
      </c>
      <c r="J350" s="335" t="s">
        <v>823</v>
      </c>
      <c r="K350" s="335" t="s">
        <v>1258</v>
      </c>
      <c r="M350" s="335" t="s">
        <v>1532</v>
      </c>
      <c r="N350" s="335" t="s">
        <v>388</v>
      </c>
      <c r="O350" s="335" t="s">
        <v>389</v>
      </c>
      <c r="Q350" s="307" t="e">
        <f ca="1">_xll.BDP(M350&amp;" "&amp;N350&amp;" "&amp;O350,Q$2)</f>
        <v>#NAME?</v>
      </c>
      <c r="R350" s="307" t="e">
        <f ca="1">_xll.BDP(M350&amp;" "&amp;N350&amp;" "&amp;O350,R$2)</f>
        <v>#NAME?</v>
      </c>
      <c r="S350" s="307" t="e">
        <f ca="1">_xll.BDP(M350&amp;" "&amp;N350&amp;" "&amp;O350,S$2)</f>
        <v>#NAME?</v>
      </c>
      <c r="T350" s="307" t="e">
        <f ca="1">_xll.BDP(M350&amp;" "&amp;N350&amp;" "&amp;O350,T$2)</f>
        <v>#NAME?</v>
      </c>
      <c r="V350" s="307" t="s">
        <v>1533</v>
      </c>
      <c r="W350" s="307">
        <v>1743</v>
      </c>
      <c r="X350" s="307" t="s">
        <v>390</v>
      </c>
      <c r="Y350" s="307" t="s">
        <v>859</v>
      </c>
    </row>
    <row r="351" spans="2:25">
      <c r="B351" s="335" t="s">
        <v>374</v>
      </c>
      <c r="C351" s="335" t="s">
        <v>375</v>
      </c>
      <c r="D351" s="335" t="s">
        <v>821</v>
      </c>
      <c r="E351" s="335" t="s">
        <v>822</v>
      </c>
      <c r="F351" s="335" t="s">
        <v>376</v>
      </c>
      <c r="G351" s="335" t="s">
        <v>15</v>
      </c>
      <c r="H351" s="336" t="s">
        <v>104</v>
      </c>
      <c r="I351" s="335">
        <v>0</v>
      </c>
      <c r="J351" s="335" t="s">
        <v>823</v>
      </c>
      <c r="K351" s="335" t="s">
        <v>1258</v>
      </c>
      <c r="M351" s="335" t="s">
        <v>1534</v>
      </c>
      <c r="N351" s="335" t="s">
        <v>388</v>
      </c>
      <c r="O351" s="335" t="s">
        <v>389</v>
      </c>
      <c r="Q351" s="307" t="e">
        <f ca="1">_xll.BDP(M351&amp;" "&amp;N351&amp;" "&amp;O351,Q$2)</f>
        <v>#NAME?</v>
      </c>
      <c r="R351" s="307" t="e">
        <f ca="1">_xll.BDP(M351&amp;" "&amp;N351&amp;" "&amp;O351,R$2)</f>
        <v>#NAME?</v>
      </c>
      <c r="S351" s="307" t="e">
        <f ca="1">_xll.BDP(M351&amp;" "&amp;N351&amp;" "&amp;O351,S$2)</f>
        <v>#NAME?</v>
      </c>
      <c r="T351" s="307" t="e">
        <f ca="1">_xll.BDP(M351&amp;" "&amp;N351&amp;" "&amp;O351,T$2)</f>
        <v>#NAME?</v>
      </c>
      <c r="V351" s="307" t="s">
        <v>1535</v>
      </c>
      <c r="W351" s="307">
        <v>1897</v>
      </c>
      <c r="X351" s="307" t="s">
        <v>390</v>
      </c>
      <c r="Y351" s="307" t="s">
        <v>859</v>
      </c>
    </row>
    <row r="352" spans="2:25">
      <c r="B352" s="335" t="s">
        <v>374</v>
      </c>
      <c r="C352" s="335" t="s">
        <v>375</v>
      </c>
      <c r="D352" s="335" t="s">
        <v>821</v>
      </c>
      <c r="E352" s="335" t="s">
        <v>822</v>
      </c>
      <c r="F352" s="335" t="s">
        <v>376</v>
      </c>
      <c r="G352" s="335" t="s">
        <v>16</v>
      </c>
      <c r="H352" s="335" t="s">
        <v>23</v>
      </c>
      <c r="I352" s="335">
        <v>0</v>
      </c>
      <c r="J352" s="335" t="s">
        <v>823</v>
      </c>
      <c r="K352" s="335" t="s">
        <v>1258</v>
      </c>
      <c r="M352" s="335" t="s">
        <v>1536</v>
      </c>
      <c r="N352" s="335" t="s">
        <v>388</v>
      </c>
      <c r="O352" s="335" t="s">
        <v>389</v>
      </c>
      <c r="Q352" s="307" t="e">
        <f ca="1">_xll.BDP(M352&amp;" "&amp;N352&amp;" "&amp;O352,Q$2)</f>
        <v>#NAME?</v>
      </c>
      <c r="R352" s="307" t="e">
        <f ca="1">_xll.BDP(M352&amp;" "&amp;N352&amp;" "&amp;O352,R$2)</f>
        <v>#NAME?</v>
      </c>
      <c r="S352" s="307" t="e">
        <f ca="1">_xll.BDP(M352&amp;" "&amp;N352&amp;" "&amp;O352,S$2)</f>
        <v>#NAME?</v>
      </c>
      <c r="T352" s="307" t="e">
        <f ca="1">_xll.BDP(M352&amp;" "&amp;N352&amp;" "&amp;O352,T$2)</f>
        <v>#NAME?</v>
      </c>
      <c r="V352" s="307" t="s">
        <v>1537</v>
      </c>
      <c r="W352" s="307">
        <v>150</v>
      </c>
      <c r="X352" s="307" t="s">
        <v>390</v>
      </c>
      <c r="Y352" s="307" t="s">
        <v>1108</v>
      </c>
    </row>
    <row r="353" spans="2:25">
      <c r="B353" s="335" t="s">
        <v>374</v>
      </c>
      <c r="C353" s="335" t="s">
        <v>375</v>
      </c>
      <c r="D353" s="335" t="s">
        <v>821</v>
      </c>
      <c r="E353" s="335" t="s">
        <v>822</v>
      </c>
      <c r="F353" s="335" t="s">
        <v>376</v>
      </c>
      <c r="G353" s="335" t="s">
        <v>16</v>
      </c>
      <c r="H353" s="335" t="s">
        <v>398</v>
      </c>
      <c r="I353" s="335">
        <v>0</v>
      </c>
      <c r="J353" s="335" t="s">
        <v>823</v>
      </c>
      <c r="K353" s="335" t="s">
        <v>1258</v>
      </c>
      <c r="M353" s="335" t="s">
        <v>1538</v>
      </c>
      <c r="N353" s="335" t="s">
        <v>388</v>
      </c>
      <c r="O353" s="335" t="s">
        <v>389</v>
      </c>
      <c r="Q353" s="307" t="e">
        <f ca="1">_xll.BDP(M353&amp;" "&amp;N353&amp;" "&amp;O353,Q$2)</f>
        <v>#NAME?</v>
      </c>
      <c r="R353" s="307" t="e">
        <f ca="1">_xll.BDP(M353&amp;" "&amp;N353&amp;" "&amp;O353,R$2)</f>
        <v>#NAME?</v>
      </c>
      <c r="S353" s="307" t="e">
        <f ca="1">_xll.BDP(M353&amp;" "&amp;N353&amp;" "&amp;O353,S$2)</f>
        <v>#NAME?</v>
      </c>
      <c r="T353" s="307" t="e">
        <f ca="1">_xll.BDP(M353&amp;" "&amp;N353&amp;" "&amp;O353,T$2)</f>
        <v>#NAME?</v>
      </c>
      <c r="V353" s="307" t="s">
        <v>1539</v>
      </c>
      <c r="W353" s="307">
        <v>217</v>
      </c>
      <c r="X353" s="307" t="s">
        <v>390</v>
      </c>
      <c r="Y353" s="307" t="s">
        <v>1509</v>
      </c>
    </row>
    <row r="354" spans="2:25">
      <c r="B354" s="335" t="s">
        <v>374</v>
      </c>
      <c r="C354" s="335" t="s">
        <v>375</v>
      </c>
      <c r="D354" s="335" t="s">
        <v>821</v>
      </c>
      <c r="E354" s="335" t="s">
        <v>822</v>
      </c>
      <c r="F354" s="335" t="s">
        <v>376</v>
      </c>
      <c r="G354" s="335" t="s">
        <v>16</v>
      </c>
      <c r="H354" s="336" t="s">
        <v>26</v>
      </c>
      <c r="I354" s="335">
        <v>0</v>
      </c>
      <c r="J354" s="335" t="s">
        <v>823</v>
      </c>
      <c r="K354" s="335" t="s">
        <v>1258</v>
      </c>
      <c r="M354" s="335" t="s">
        <v>1540</v>
      </c>
      <c r="N354" s="335" t="s">
        <v>388</v>
      </c>
      <c r="O354" s="335" t="s">
        <v>389</v>
      </c>
      <c r="Q354" s="307" t="e">
        <f ca="1">_xll.BDP(M354&amp;" "&amp;N354&amp;" "&amp;O354,Q$2)</f>
        <v>#NAME?</v>
      </c>
      <c r="R354" s="307" t="e">
        <f ca="1">_xll.BDP(M354&amp;" "&amp;N354&amp;" "&amp;O354,R$2)</f>
        <v>#NAME?</v>
      </c>
      <c r="S354" s="307" t="e">
        <f ca="1">_xll.BDP(M354&amp;" "&amp;N354&amp;" "&amp;O354,S$2)</f>
        <v>#NAME?</v>
      </c>
      <c r="T354" s="307" t="e">
        <f ca="1">_xll.BDP(M354&amp;" "&amp;N354&amp;" "&amp;O354,T$2)</f>
        <v>#NAME?</v>
      </c>
      <c r="V354" s="307" t="s">
        <v>1541</v>
      </c>
      <c r="W354" s="307">
        <v>261</v>
      </c>
      <c r="X354" s="307" t="s">
        <v>390</v>
      </c>
      <c r="Y354" s="307" t="s">
        <v>836</v>
      </c>
    </row>
    <row r="355" spans="2:25">
      <c r="B355" s="335" t="s">
        <v>374</v>
      </c>
      <c r="C355" s="335" t="s">
        <v>375</v>
      </c>
      <c r="D355" s="335" t="s">
        <v>821</v>
      </c>
      <c r="E355" s="335" t="s">
        <v>822</v>
      </c>
      <c r="F355" s="335" t="s">
        <v>376</v>
      </c>
      <c r="G355" s="335" t="s">
        <v>16</v>
      </c>
      <c r="H355" s="336" t="s">
        <v>19</v>
      </c>
      <c r="I355" s="335">
        <v>0</v>
      </c>
      <c r="J355" s="335" t="s">
        <v>823</v>
      </c>
      <c r="K355" s="335" t="s">
        <v>1258</v>
      </c>
      <c r="M355" s="335" t="s">
        <v>1542</v>
      </c>
      <c r="N355" s="335" t="s">
        <v>388</v>
      </c>
      <c r="O355" s="335" t="s">
        <v>389</v>
      </c>
      <c r="Q355" s="307" t="e">
        <f ca="1">_xll.BDP(M355&amp;" "&amp;N355&amp;" "&amp;O355,Q$2)</f>
        <v>#NAME?</v>
      </c>
      <c r="R355" s="307" t="e">
        <f ca="1">_xll.BDP(M355&amp;" "&amp;N355&amp;" "&amp;O355,R$2)</f>
        <v>#NAME?</v>
      </c>
      <c r="S355" s="307" t="e">
        <f ca="1">_xll.BDP(M355&amp;" "&amp;N355&amp;" "&amp;O355,S$2)</f>
        <v>#NAME?</v>
      </c>
      <c r="T355" s="307" t="e">
        <f ca="1">_xll.BDP(M355&amp;" "&amp;N355&amp;" "&amp;O355,T$2)</f>
        <v>#NAME?</v>
      </c>
      <c r="V355" s="307" t="s">
        <v>1543</v>
      </c>
      <c r="W355" s="307">
        <v>367</v>
      </c>
      <c r="X355" s="307" t="s">
        <v>390</v>
      </c>
      <c r="Y355" s="307" t="s">
        <v>836</v>
      </c>
    </row>
    <row r="356" spans="2:25">
      <c r="B356" s="335" t="s">
        <v>374</v>
      </c>
      <c r="C356" s="335" t="s">
        <v>375</v>
      </c>
      <c r="D356" s="335" t="s">
        <v>821</v>
      </c>
      <c r="E356" s="335" t="s">
        <v>822</v>
      </c>
      <c r="F356" s="335" t="s">
        <v>376</v>
      </c>
      <c r="G356" s="335" t="s">
        <v>16</v>
      </c>
      <c r="H356" s="336" t="s">
        <v>412</v>
      </c>
      <c r="I356" s="335">
        <v>0</v>
      </c>
      <c r="J356" s="335" t="s">
        <v>823</v>
      </c>
      <c r="K356" s="335" t="s">
        <v>1258</v>
      </c>
      <c r="M356" s="335" t="s">
        <v>1544</v>
      </c>
      <c r="N356" s="335" t="s">
        <v>388</v>
      </c>
      <c r="O356" s="335" t="s">
        <v>389</v>
      </c>
      <c r="Q356" s="307" t="e">
        <f ca="1">_xll.BDP(M356&amp;" "&amp;N356&amp;" "&amp;O356,Q$2)</f>
        <v>#NAME?</v>
      </c>
      <c r="R356" s="307" t="e">
        <f ca="1">_xll.BDP(M356&amp;" "&amp;N356&amp;" "&amp;O356,R$2)</f>
        <v>#NAME?</v>
      </c>
      <c r="S356" s="307" t="e">
        <f ca="1">_xll.BDP(M356&amp;" "&amp;N356&amp;" "&amp;O356,S$2)</f>
        <v>#NAME?</v>
      </c>
      <c r="T356" s="307" t="e">
        <f ca="1">_xll.BDP(M356&amp;" "&amp;N356&amp;" "&amp;O356,T$2)</f>
        <v>#NAME?</v>
      </c>
      <c r="V356" s="307" t="s">
        <v>1545</v>
      </c>
      <c r="W356" s="307">
        <v>452</v>
      </c>
      <c r="X356" s="307" t="s">
        <v>390</v>
      </c>
      <c r="Y356" s="307" t="s">
        <v>900</v>
      </c>
    </row>
    <row r="357" spans="2:25">
      <c r="B357" s="335" t="s">
        <v>374</v>
      </c>
      <c r="C357" s="335" t="s">
        <v>375</v>
      </c>
      <c r="D357" s="335" t="s">
        <v>821</v>
      </c>
      <c r="E357" s="335" t="s">
        <v>822</v>
      </c>
      <c r="F357" s="335" t="s">
        <v>376</v>
      </c>
      <c r="G357" s="335" t="s">
        <v>16</v>
      </c>
      <c r="H357" s="336" t="s">
        <v>7</v>
      </c>
      <c r="I357" s="335">
        <v>0</v>
      </c>
      <c r="J357" s="335" t="s">
        <v>823</v>
      </c>
      <c r="K357" s="335" t="s">
        <v>1258</v>
      </c>
      <c r="M357" s="335" t="s">
        <v>1546</v>
      </c>
      <c r="N357" s="335" t="s">
        <v>388</v>
      </c>
      <c r="O357" s="335" t="s">
        <v>389</v>
      </c>
      <c r="Q357" s="307" t="e">
        <f ca="1">_xll.BDP(M357&amp;" "&amp;N357&amp;" "&amp;O357,Q$2)</f>
        <v>#NAME?</v>
      </c>
      <c r="R357" s="307" t="e">
        <f ca="1">_xll.BDP(M357&amp;" "&amp;N357&amp;" "&amp;O357,R$2)</f>
        <v>#NAME?</v>
      </c>
      <c r="S357" s="307" t="e">
        <f ca="1">_xll.BDP(M357&amp;" "&amp;N357&amp;" "&amp;O357,S$2)</f>
        <v>#NAME?</v>
      </c>
      <c r="T357" s="307" t="e">
        <f ca="1">_xll.BDP(M357&amp;" "&amp;N357&amp;" "&amp;O357,T$2)</f>
        <v>#NAME?</v>
      </c>
      <c r="V357" s="307" t="s">
        <v>1547</v>
      </c>
      <c r="W357" s="307">
        <v>523</v>
      </c>
      <c r="X357" s="307" t="s">
        <v>390</v>
      </c>
      <c r="Y357" s="307" t="s">
        <v>936</v>
      </c>
    </row>
    <row r="358" spans="2:25">
      <c r="B358" s="335" t="s">
        <v>374</v>
      </c>
      <c r="C358" s="335" t="s">
        <v>375</v>
      </c>
      <c r="D358" s="335" t="s">
        <v>821</v>
      </c>
      <c r="E358" s="335" t="s">
        <v>822</v>
      </c>
      <c r="F358" s="335" t="s">
        <v>376</v>
      </c>
      <c r="G358" s="335" t="s">
        <v>16</v>
      </c>
      <c r="H358" s="336" t="s">
        <v>154</v>
      </c>
      <c r="I358" s="335">
        <v>0</v>
      </c>
      <c r="J358" s="335" t="s">
        <v>823</v>
      </c>
      <c r="K358" s="335" t="s">
        <v>1258</v>
      </c>
      <c r="M358" s="335" t="s">
        <v>1548</v>
      </c>
      <c r="N358" s="335" t="s">
        <v>388</v>
      </c>
      <c r="O358" s="335" t="s">
        <v>389</v>
      </c>
      <c r="Q358" s="307" t="e">
        <f ca="1">_xll.BDP(M358&amp;" "&amp;N358&amp;" "&amp;O358,Q$2)</f>
        <v>#NAME?</v>
      </c>
      <c r="R358" s="307" t="e">
        <f ca="1">_xll.BDP(M358&amp;" "&amp;N358&amp;" "&amp;O358,R$2)</f>
        <v>#NAME?</v>
      </c>
      <c r="S358" s="307" t="e">
        <f ca="1">_xll.BDP(M358&amp;" "&amp;N358&amp;" "&amp;O358,S$2)</f>
        <v>#NAME?</v>
      </c>
      <c r="T358" s="307" t="e">
        <f ca="1">_xll.BDP(M358&amp;" "&amp;N358&amp;" "&amp;O358,T$2)</f>
        <v>#NAME?</v>
      </c>
      <c r="V358" s="307" t="s">
        <v>1549</v>
      </c>
      <c r="W358" s="307">
        <v>652</v>
      </c>
      <c r="X358" s="307" t="s">
        <v>390</v>
      </c>
      <c r="Y358" s="307" t="s">
        <v>870</v>
      </c>
    </row>
    <row r="359" spans="2:25">
      <c r="B359" s="335" t="s">
        <v>374</v>
      </c>
      <c r="C359" s="335" t="s">
        <v>375</v>
      </c>
      <c r="D359" s="335" t="s">
        <v>821</v>
      </c>
      <c r="E359" s="335" t="s">
        <v>822</v>
      </c>
      <c r="F359" s="335" t="s">
        <v>376</v>
      </c>
      <c r="G359" s="335" t="s">
        <v>16</v>
      </c>
      <c r="H359" s="336" t="s">
        <v>8</v>
      </c>
      <c r="I359" s="335">
        <v>0</v>
      </c>
      <c r="J359" s="335" t="s">
        <v>823</v>
      </c>
      <c r="K359" s="335" t="s">
        <v>1258</v>
      </c>
      <c r="M359" s="335" t="s">
        <v>1550</v>
      </c>
      <c r="N359" s="335" t="s">
        <v>388</v>
      </c>
      <c r="O359" s="335" t="s">
        <v>389</v>
      </c>
      <c r="Q359" s="307" t="e">
        <f ca="1">_xll.BDP(M359&amp;" "&amp;N359&amp;" "&amp;O359,Q$2)</f>
        <v>#NAME?</v>
      </c>
      <c r="R359" s="307" t="e">
        <f ca="1">_xll.BDP(M359&amp;" "&amp;N359&amp;" "&amp;O359,R$2)</f>
        <v>#NAME?</v>
      </c>
      <c r="S359" s="307" t="e">
        <f ca="1">_xll.BDP(M359&amp;" "&amp;N359&amp;" "&amp;O359,S$2)</f>
        <v>#NAME?</v>
      </c>
      <c r="T359" s="307" t="e">
        <f ca="1">_xll.BDP(M359&amp;" "&amp;N359&amp;" "&amp;O359,T$2)</f>
        <v>#NAME?</v>
      </c>
      <c r="V359" s="307" t="s">
        <v>1551</v>
      </c>
      <c r="W359" s="307">
        <v>760</v>
      </c>
      <c r="X359" s="307" t="s">
        <v>390</v>
      </c>
      <c r="Y359" s="307" t="s">
        <v>1394</v>
      </c>
    </row>
    <row r="360" spans="2:25">
      <c r="B360" s="335" t="s">
        <v>374</v>
      </c>
      <c r="C360" s="335" t="s">
        <v>375</v>
      </c>
      <c r="D360" s="335" t="s">
        <v>821</v>
      </c>
      <c r="E360" s="335" t="s">
        <v>822</v>
      </c>
      <c r="F360" s="335" t="s">
        <v>376</v>
      </c>
      <c r="G360" s="335" t="s">
        <v>16</v>
      </c>
      <c r="H360" s="336" t="s">
        <v>9</v>
      </c>
      <c r="I360" s="335">
        <v>0</v>
      </c>
      <c r="J360" s="335" t="s">
        <v>823</v>
      </c>
      <c r="K360" s="335" t="s">
        <v>1258</v>
      </c>
      <c r="M360" s="335" t="s">
        <v>1552</v>
      </c>
      <c r="N360" s="335" t="s">
        <v>388</v>
      </c>
      <c r="O360" s="335" t="s">
        <v>389</v>
      </c>
      <c r="Q360" s="307" t="e">
        <f ca="1">_xll.BDP(M360&amp;" "&amp;N360&amp;" "&amp;O360,Q$2)</f>
        <v>#NAME?</v>
      </c>
      <c r="R360" s="307" t="e">
        <f ca="1">_xll.BDP(M360&amp;" "&amp;N360&amp;" "&amp;O360,R$2)</f>
        <v>#NAME?</v>
      </c>
      <c r="S360" s="307" t="e">
        <f ca="1">_xll.BDP(M360&amp;" "&amp;N360&amp;" "&amp;O360,S$2)</f>
        <v>#NAME?</v>
      </c>
      <c r="T360" s="307" t="e">
        <f ca="1">_xll.BDP(M360&amp;" "&amp;N360&amp;" "&amp;O360,T$2)</f>
        <v>#NAME?</v>
      </c>
      <c r="V360" s="307" t="s">
        <v>1553</v>
      </c>
      <c r="W360" s="307">
        <v>941</v>
      </c>
      <c r="X360" s="307" t="s">
        <v>390</v>
      </c>
      <c r="Y360" s="307" t="s">
        <v>847</v>
      </c>
    </row>
    <row r="361" spans="2:25">
      <c r="B361" s="335" t="s">
        <v>374</v>
      </c>
      <c r="C361" s="335" t="s">
        <v>375</v>
      </c>
      <c r="D361" s="335" t="s">
        <v>821</v>
      </c>
      <c r="E361" s="335" t="s">
        <v>822</v>
      </c>
      <c r="F361" s="335" t="s">
        <v>376</v>
      </c>
      <c r="G361" s="335" t="s">
        <v>16</v>
      </c>
      <c r="H361" s="336" t="s">
        <v>10</v>
      </c>
      <c r="I361" s="335">
        <v>0</v>
      </c>
      <c r="J361" s="335" t="s">
        <v>823</v>
      </c>
      <c r="K361" s="335" t="s">
        <v>1258</v>
      </c>
      <c r="M361" s="335" t="s">
        <v>1554</v>
      </c>
      <c r="N361" s="335" t="s">
        <v>388</v>
      </c>
      <c r="O361" s="335" t="s">
        <v>389</v>
      </c>
      <c r="Q361" s="307" t="e">
        <f ca="1">_xll.BDP(M361&amp;" "&amp;N361&amp;" "&amp;O361,Q$2)</f>
        <v>#NAME?</v>
      </c>
      <c r="R361" s="307" t="e">
        <f ca="1">_xll.BDP(M361&amp;" "&amp;N361&amp;" "&amp;O361,R$2)</f>
        <v>#NAME?</v>
      </c>
      <c r="S361" s="307" t="e">
        <f ca="1">_xll.BDP(M361&amp;" "&amp;N361&amp;" "&amp;O361,S$2)</f>
        <v>#NAME?</v>
      </c>
      <c r="T361" s="307" t="e">
        <f ca="1">_xll.BDP(M361&amp;" "&amp;N361&amp;" "&amp;O361,T$2)</f>
        <v>#NAME?</v>
      </c>
      <c r="V361" s="307" t="s">
        <v>1555</v>
      </c>
      <c r="W361" s="307">
        <v>1084</v>
      </c>
      <c r="X361" s="307" t="s">
        <v>390</v>
      </c>
      <c r="Y361" s="307" t="s">
        <v>847</v>
      </c>
    </row>
    <row r="362" spans="2:25">
      <c r="B362" s="335" t="s">
        <v>374</v>
      </c>
      <c r="C362" s="335" t="s">
        <v>375</v>
      </c>
      <c r="D362" s="335" t="s">
        <v>821</v>
      </c>
      <c r="E362" s="335" t="s">
        <v>822</v>
      </c>
      <c r="F362" s="335" t="s">
        <v>376</v>
      </c>
      <c r="G362" s="335" t="s">
        <v>16</v>
      </c>
      <c r="H362" s="336" t="s">
        <v>11</v>
      </c>
      <c r="I362" s="335">
        <v>0</v>
      </c>
      <c r="J362" s="335" t="s">
        <v>823</v>
      </c>
      <c r="K362" s="335" t="s">
        <v>1258</v>
      </c>
      <c r="M362" s="335" t="s">
        <v>1556</v>
      </c>
      <c r="N362" s="335" t="s">
        <v>388</v>
      </c>
      <c r="O362" s="335" t="s">
        <v>389</v>
      </c>
      <c r="Q362" s="307" t="e">
        <f ca="1">_xll.BDP(M362&amp;" "&amp;N362&amp;" "&amp;O362,Q$2)</f>
        <v>#NAME?</v>
      </c>
      <c r="R362" s="307" t="e">
        <f ca="1">_xll.BDP(M362&amp;" "&amp;N362&amp;" "&amp;O362,R$2)</f>
        <v>#NAME?</v>
      </c>
      <c r="S362" s="307" t="e">
        <f ca="1">_xll.BDP(M362&amp;" "&amp;N362&amp;" "&amp;O362,S$2)</f>
        <v>#NAME?</v>
      </c>
      <c r="T362" s="307" t="e">
        <f ca="1">_xll.BDP(M362&amp;" "&amp;N362&amp;" "&amp;O362,T$2)</f>
        <v>#NAME?</v>
      </c>
      <c r="V362" s="307" t="s">
        <v>1557</v>
      </c>
      <c r="W362" s="307">
        <v>1200</v>
      </c>
      <c r="X362" s="307" t="s">
        <v>390</v>
      </c>
      <c r="Y362" s="307" t="s">
        <v>847</v>
      </c>
    </row>
    <row r="363" spans="2:25">
      <c r="B363" s="335" t="s">
        <v>374</v>
      </c>
      <c r="C363" s="335" t="s">
        <v>375</v>
      </c>
      <c r="D363" s="335" t="s">
        <v>821</v>
      </c>
      <c r="E363" s="335" t="s">
        <v>822</v>
      </c>
      <c r="F363" s="335" t="s">
        <v>376</v>
      </c>
      <c r="G363" s="335" t="s">
        <v>16</v>
      </c>
      <c r="H363" s="336" t="s">
        <v>13</v>
      </c>
      <c r="I363" s="335">
        <v>0</v>
      </c>
      <c r="J363" s="335" t="s">
        <v>823</v>
      </c>
      <c r="K363" s="335" t="s">
        <v>1258</v>
      </c>
      <c r="M363" s="335" t="s">
        <v>1558</v>
      </c>
      <c r="N363" s="335" t="s">
        <v>388</v>
      </c>
      <c r="O363" s="335" t="s">
        <v>389</v>
      </c>
      <c r="Q363" s="307" t="e">
        <f ca="1">_xll.BDP(M363&amp;" "&amp;N363&amp;" "&amp;O363,Q$2)</f>
        <v>#NAME?</v>
      </c>
      <c r="R363" s="307" t="e">
        <f ca="1">_xll.BDP(M363&amp;" "&amp;N363&amp;" "&amp;O363,R$2)</f>
        <v>#NAME?</v>
      </c>
      <c r="S363" s="307" t="e">
        <f ca="1">_xll.BDP(M363&amp;" "&amp;N363&amp;" "&amp;O363,S$2)</f>
        <v>#NAME?</v>
      </c>
      <c r="T363" s="307" t="e">
        <f ca="1">_xll.BDP(M363&amp;" "&amp;N363&amp;" "&amp;O363,T$2)</f>
        <v>#NAME?</v>
      </c>
      <c r="V363" s="307" t="s">
        <v>1559</v>
      </c>
      <c r="W363" s="307">
        <v>1396</v>
      </c>
      <c r="X363" s="307" t="s">
        <v>390</v>
      </c>
      <c r="Y363" s="307" t="s">
        <v>847</v>
      </c>
    </row>
    <row r="364" spans="2:25">
      <c r="B364" s="335" t="s">
        <v>374</v>
      </c>
      <c r="C364" s="335" t="s">
        <v>375</v>
      </c>
      <c r="D364" s="335" t="s">
        <v>821</v>
      </c>
      <c r="E364" s="335" t="s">
        <v>822</v>
      </c>
      <c r="F364" s="335" t="s">
        <v>376</v>
      </c>
      <c r="G364" s="335" t="s">
        <v>16</v>
      </c>
      <c r="H364" s="336" t="s">
        <v>16</v>
      </c>
      <c r="I364" s="335">
        <v>0</v>
      </c>
      <c r="J364" s="335" t="s">
        <v>823</v>
      </c>
      <c r="K364" s="335" t="s">
        <v>1258</v>
      </c>
      <c r="M364" s="335" t="s">
        <v>1560</v>
      </c>
      <c r="N364" s="335" t="s">
        <v>388</v>
      </c>
      <c r="O364" s="335" t="s">
        <v>389</v>
      </c>
      <c r="Q364" s="307" t="e">
        <f ca="1">_xll.BDP(M364&amp;" "&amp;N364&amp;" "&amp;O364,Q$2)</f>
        <v>#NAME?</v>
      </c>
      <c r="R364" s="307" t="e">
        <f ca="1">_xll.BDP(M364&amp;" "&amp;N364&amp;" "&amp;O364,R$2)</f>
        <v>#NAME?</v>
      </c>
      <c r="S364" s="307" t="e">
        <f ca="1">_xll.BDP(M364&amp;" "&amp;N364&amp;" "&amp;O364,S$2)</f>
        <v>#NAME?</v>
      </c>
      <c r="T364" s="307" t="e">
        <f ca="1">_xll.BDP(M364&amp;" "&amp;N364&amp;" "&amp;O364,T$2)</f>
        <v>#NAME?</v>
      </c>
      <c r="V364" s="307" t="s">
        <v>1561</v>
      </c>
      <c r="W364" s="307">
        <v>1630</v>
      </c>
      <c r="X364" s="307" t="s">
        <v>390</v>
      </c>
      <c r="Y364" s="307" t="s">
        <v>847</v>
      </c>
    </row>
    <row r="365" spans="2:25">
      <c r="B365" s="335" t="s">
        <v>374</v>
      </c>
      <c r="C365" s="335" t="s">
        <v>375</v>
      </c>
      <c r="D365" s="335" t="s">
        <v>821</v>
      </c>
      <c r="E365" s="335" t="s">
        <v>822</v>
      </c>
      <c r="F365" s="335" t="s">
        <v>376</v>
      </c>
      <c r="G365" s="335" t="s">
        <v>16</v>
      </c>
      <c r="H365" s="336" t="s">
        <v>17</v>
      </c>
      <c r="I365" s="335">
        <v>0</v>
      </c>
      <c r="J365" s="335" t="s">
        <v>823</v>
      </c>
      <c r="K365" s="335" t="s">
        <v>1258</v>
      </c>
      <c r="M365" s="335" t="s">
        <v>1562</v>
      </c>
      <c r="N365" s="335" t="s">
        <v>388</v>
      </c>
      <c r="O365" s="335" t="s">
        <v>389</v>
      </c>
      <c r="Q365" s="307" t="e">
        <f ca="1">_xll.BDP(M365&amp;" "&amp;N365&amp;" "&amp;O365,Q$2)</f>
        <v>#NAME?</v>
      </c>
      <c r="R365" s="307" t="e">
        <f ca="1">_xll.BDP(M365&amp;" "&amp;N365&amp;" "&amp;O365,R$2)</f>
        <v>#NAME?</v>
      </c>
      <c r="S365" s="307" t="e">
        <f ca="1">_xll.BDP(M365&amp;" "&amp;N365&amp;" "&amp;O365,S$2)</f>
        <v>#NAME?</v>
      </c>
      <c r="T365" s="307" t="e">
        <f ca="1">_xll.BDP(M365&amp;" "&amp;N365&amp;" "&amp;O365,T$2)</f>
        <v>#NAME?</v>
      </c>
      <c r="V365" s="307" t="s">
        <v>1563</v>
      </c>
      <c r="W365" s="307">
        <v>1903</v>
      </c>
      <c r="X365" s="307" t="s">
        <v>390</v>
      </c>
      <c r="Y365" s="307" t="s">
        <v>859</v>
      </c>
    </row>
    <row r="366" spans="2:25">
      <c r="B366" s="335" t="s">
        <v>374</v>
      </c>
      <c r="C366" s="335" t="s">
        <v>375</v>
      </c>
      <c r="D366" s="335" t="s">
        <v>821</v>
      </c>
      <c r="E366" s="335" t="s">
        <v>822</v>
      </c>
      <c r="F366" s="335" t="s">
        <v>376</v>
      </c>
      <c r="G366" s="335" t="s">
        <v>16</v>
      </c>
      <c r="H366" s="336" t="s">
        <v>104</v>
      </c>
      <c r="I366" s="335">
        <v>0</v>
      </c>
      <c r="J366" s="335" t="s">
        <v>823</v>
      </c>
      <c r="K366" s="335" t="s">
        <v>1258</v>
      </c>
      <c r="M366" s="335" t="s">
        <v>1564</v>
      </c>
      <c r="N366" s="335" t="s">
        <v>388</v>
      </c>
      <c r="O366" s="335" t="s">
        <v>389</v>
      </c>
      <c r="Q366" s="307" t="e">
        <f ca="1">_xll.BDP(M366&amp;" "&amp;N366&amp;" "&amp;O366,Q$2)</f>
        <v>#NAME?</v>
      </c>
      <c r="R366" s="307" t="e">
        <f ca="1">_xll.BDP(M366&amp;" "&amp;N366&amp;" "&amp;O366,R$2)</f>
        <v>#NAME?</v>
      </c>
      <c r="S366" s="307" t="e">
        <f ca="1">_xll.BDP(M366&amp;" "&amp;N366&amp;" "&amp;O366,S$2)</f>
        <v>#NAME?</v>
      </c>
      <c r="T366" s="307" t="e">
        <f ca="1">_xll.BDP(M366&amp;" "&amp;N366&amp;" "&amp;O366,T$2)</f>
        <v>#NAME?</v>
      </c>
      <c r="V366" s="307" t="s">
        <v>1565</v>
      </c>
      <c r="W366" s="307">
        <v>2081</v>
      </c>
      <c r="X366" s="307" t="s">
        <v>390</v>
      </c>
      <c r="Y366" s="307" t="s">
        <v>859</v>
      </c>
    </row>
    <row r="367" spans="2:25">
      <c r="B367" s="335" t="s">
        <v>374</v>
      </c>
      <c r="C367" s="335" t="s">
        <v>375</v>
      </c>
      <c r="D367" s="335" t="s">
        <v>821</v>
      </c>
      <c r="E367" s="335" t="s">
        <v>822</v>
      </c>
      <c r="F367" s="335" t="s">
        <v>376</v>
      </c>
      <c r="G367" s="335" t="s">
        <v>17</v>
      </c>
      <c r="H367" s="335" t="s">
        <v>23</v>
      </c>
      <c r="I367" s="335">
        <v>0</v>
      </c>
      <c r="J367" s="335" t="s">
        <v>823</v>
      </c>
      <c r="K367" s="335" t="s">
        <v>1258</v>
      </c>
      <c r="M367" s="335" t="s">
        <v>1566</v>
      </c>
      <c r="N367" s="335" t="s">
        <v>388</v>
      </c>
      <c r="O367" s="335" t="s">
        <v>389</v>
      </c>
      <c r="Q367" s="307" t="e">
        <f ca="1">_xll.BDP(M367&amp;" "&amp;N367&amp;" "&amp;O367,Q$2)</f>
        <v>#NAME?</v>
      </c>
      <c r="R367" s="307" t="e">
        <f ca="1">_xll.BDP(M367&amp;" "&amp;N367&amp;" "&amp;O367,R$2)</f>
        <v>#NAME?</v>
      </c>
      <c r="S367" s="307" t="e">
        <f ca="1">_xll.BDP(M367&amp;" "&amp;N367&amp;" "&amp;O367,S$2)</f>
        <v>#NAME?</v>
      </c>
      <c r="T367" s="307" t="e">
        <f ca="1">_xll.BDP(M367&amp;" "&amp;N367&amp;" "&amp;O367,T$2)</f>
        <v>#NAME?</v>
      </c>
      <c r="V367" s="307" t="s">
        <v>1567</v>
      </c>
      <c r="W367" s="307">
        <v>243</v>
      </c>
      <c r="X367" s="307" t="s">
        <v>390</v>
      </c>
      <c r="Y367" s="307" t="s">
        <v>1108</v>
      </c>
    </row>
    <row r="368" spans="2:25">
      <c r="B368" s="335" t="s">
        <v>374</v>
      </c>
      <c r="C368" s="335" t="s">
        <v>375</v>
      </c>
      <c r="D368" s="335" t="s">
        <v>821</v>
      </c>
      <c r="E368" s="335" t="s">
        <v>822</v>
      </c>
      <c r="F368" s="335" t="s">
        <v>376</v>
      </c>
      <c r="G368" s="335" t="s">
        <v>17</v>
      </c>
      <c r="H368" s="335" t="s">
        <v>398</v>
      </c>
      <c r="I368" s="335">
        <v>0</v>
      </c>
      <c r="J368" s="335" t="s">
        <v>823</v>
      </c>
      <c r="K368" s="335" t="s">
        <v>1258</v>
      </c>
      <c r="M368" s="335" t="s">
        <v>1568</v>
      </c>
      <c r="N368" s="335" t="s">
        <v>388</v>
      </c>
      <c r="O368" s="335" t="s">
        <v>389</v>
      </c>
      <c r="Q368" s="307" t="e">
        <f ca="1">_xll.BDP(M368&amp;" "&amp;N368&amp;" "&amp;O368,Q$2)</f>
        <v>#NAME?</v>
      </c>
      <c r="R368" s="307" t="e">
        <f ca="1">_xll.BDP(M368&amp;" "&amp;N368&amp;" "&amp;O368,R$2)</f>
        <v>#NAME?</v>
      </c>
      <c r="S368" s="307" t="e">
        <f ca="1">_xll.BDP(M368&amp;" "&amp;N368&amp;" "&amp;O368,S$2)</f>
        <v>#NAME?</v>
      </c>
      <c r="T368" s="307" t="e">
        <f ca="1">_xll.BDP(M368&amp;" "&amp;N368&amp;" "&amp;O368,T$2)</f>
        <v>#NAME?</v>
      </c>
      <c r="V368" s="307" t="s">
        <v>1569</v>
      </c>
      <c r="W368" s="307">
        <v>352</v>
      </c>
      <c r="X368" s="307" t="s">
        <v>390</v>
      </c>
      <c r="Y368" s="307" t="s">
        <v>870</v>
      </c>
    </row>
    <row r="369" spans="2:25">
      <c r="B369" s="335" t="s">
        <v>374</v>
      </c>
      <c r="C369" s="335" t="s">
        <v>375</v>
      </c>
      <c r="D369" s="335" t="s">
        <v>821</v>
      </c>
      <c r="E369" s="335" t="s">
        <v>822</v>
      </c>
      <c r="F369" s="335" t="s">
        <v>376</v>
      </c>
      <c r="G369" s="335" t="s">
        <v>17</v>
      </c>
      <c r="H369" s="336" t="s">
        <v>26</v>
      </c>
      <c r="I369" s="335">
        <v>0</v>
      </c>
      <c r="J369" s="335" t="s">
        <v>823</v>
      </c>
      <c r="K369" s="335" t="s">
        <v>1258</v>
      </c>
      <c r="M369" s="335" t="s">
        <v>1570</v>
      </c>
      <c r="N369" s="335" t="s">
        <v>388</v>
      </c>
      <c r="O369" s="335" t="s">
        <v>389</v>
      </c>
      <c r="Q369" s="307" t="e">
        <f ca="1">_xll.BDP(M369&amp;" "&amp;N369&amp;" "&amp;O369,Q$2)</f>
        <v>#NAME?</v>
      </c>
      <c r="R369" s="307" t="e">
        <f ca="1">_xll.BDP(M369&amp;" "&amp;N369&amp;" "&amp;O369,R$2)</f>
        <v>#NAME?</v>
      </c>
      <c r="S369" s="307" t="e">
        <f ca="1">_xll.BDP(M369&amp;" "&amp;N369&amp;" "&amp;O369,S$2)</f>
        <v>#NAME?</v>
      </c>
      <c r="T369" s="307" t="e">
        <f ca="1">_xll.BDP(M369&amp;" "&amp;N369&amp;" "&amp;O369,T$2)</f>
        <v>#NAME?</v>
      </c>
      <c r="V369" s="307" t="s">
        <v>1571</v>
      </c>
      <c r="W369" s="307">
        <v>420</v>
      </c>
      <c r="X369" s="307" t="s">
        <v>390</v>
      </c>
      <c r="Y369" s="307" t="s">
        <v>900</v>
      </c>
    </row>
    <row r="370" spans="2:25">
      <c r="B370" s="335" t="s">
        <v>374</v>
      </c>
      <c r="C370" s="335" t="s">
        <v>375</v>
      </c>
      <c r="D370" s="335" t="s">
        <v>821</v>
      </c>
      <c r="E370" s="335" t="s">
        <v>822</v>
      </c>
      <c r="F370" s="335" t="s">
        <v>376</v>
      </c>
      <c r="G370" s="335" t="s">
        <v>17</v>
      </c>
      <c r="H370" s="336" t="s">
        <v>19</v>
      </c>
      <c r="I370" s="335">
        <v>0</v>
      </c>
      <c r="J370" s="335" t="s">
        <v>823</v>
      </c>
      <c r="K370" s="335" t="s">
        <v>1258</v>
      </c>
      <c r="M370" s="335" t="s">
        <v>1572</v>
      </c>
      <c r="N370" s="335" t="s">
        <v>388</v>
      </c>
      <c r="O370" s="335" t="s">
        <v>389</v>
      </c>
      <c r="Q370" s="307" t="e">
        <f ca="1">_xll.BDP(M370&amp;" "&amp;N370&amp;" "&amp;O370,Q$2)</f>
        <v>#NAME?</v>
      </c>
      <c r="R370" s="307" t="e">
        <f ca="1">_xll.BDP(M370&amp;" "&amp;N370&amp;" "&amp;O370,R$2)</f>
        <v>#NAME?</v>
      </c>
      <c r="S370" s="307" t="e">
        <f ca="1">_xll.BDP(M370&amp;" "&amp;N370&amp;" "&amp;O370,S$2)</f>
        <v>#NAME?</v>
      </c>
      <c r="T370" s="307" t="e">
        <f ca="1">_xll.BDP(M370&amp;" "&amp;N370&amp;" "&amp;O370,T$2)</f>
        <v>#NAME?</v>
      </c>
      <c r="V370" s="307" t="s">
        <v>1573</v>
      </c>
      <c r="W370" s="307">
        <v>573</v>
      </c>
      <c r="X370" s="307" t="s">
        <v>390</v>
      </c>
      <c r="Y370" s="307" t="s">
        <v>870</v>
      </c>
    </row>
    <row r="371" spans="2:25">
      <c r="B371" s="335" t="s">
        <v>374</v>
      </c>
      <c r="C371" s="335" t="s">
        <v>375</v>
      </c>
      <c r="D371" s="335" t="s">
        <v>821</v>
      </c>
      <c r="E371" s="335" t="s">
        <v>822</v>
      </c>
      <c r="F371" s="335" t="s">
        <v>376</v>
      </c>
      <c r="G371" s="335" t="s">
        <v>17</v>
      </c>
      <c r="H371" s="336" t="s">
        <v>412</v>
      </c>
      <c r="I371" s="335">
        <v>0</v>
      </c>
      <c r="J371" s="335" t="s">
        <v>823</v>
      </c>
      <c r="K371" s="335" t="s">
        <v>1258</v>
      </c>
      <c r="M371" s="335" t="s">
        <v>1574</v>
      </c>
      <c r="N371" s="335" t="s">
        <v>388</v>
      </c>
      <c r="O371" s="335" t="s">
        <v>389</v>
      </c>
      <c r="Q371" s="307" t="e">
        <f ca="1">_xll.BDP(M371&amp;" "&amp;N371&amp;" "&amp;O371,Q$2)</f>
        <v>#NAME?</v>
      </c>
      <c r="R371" s="307" t="e">
        <f ca="1">_xll.BDP(M371&amp;" "&amp;N371&amp;" "&amp;O371,R$2)</f>
        <v>#NAME?</v>
      </c>
      <c r="S371" s="307" t="e">
        <f ca="1">_xll.BDP(M371&amp;" "&amp;N371&amp;" "&amp;O371,S$2)</f>
        <v>#NAME?</v>
      </c>
      <c r="T371" s="307" t="e">
        <f ca="1">_xll.BDP(M371&amp;" "&amp;N371&amp;" "&amp;O371,T$2)</f>
        <v>#NAME?</v>
      </c>
      <c r="V371" s="307" t="s">
        <v>1575</v>
      </c>
      <c r="W371" s="307">
        <v>694</v>
      </c>
      <c r="X371" s="307" t="s">
        <v>390</v>
      </c>
      <c r="Y371" s="307" t="s">
        <v>870</v>
      </c>
    </row>
    <row r="372" spans="2:25">
      <c r="B372" s="335" t="s">
        <v>374</v>
      </c>
      <c r="C372" s="335" t="s">
        <v>375</v>
      </c>
      <c r="D372" s="335" t="s">
        <v>821</v>
      </c>
      <c r="E372" s="335" t="s">
        <v>822</v>
      </c>
      <c r="F372" s="335" t="s">
        <v>376</v>
      </c>
      <c r="G372" s="335" t="s">
        <v>17</v>
      </c>
      <c r="H372" s="336" t="s">
        <v>7</v>
      </c>
      <c r="I372" s="335">
        <v>0</v>
      </c>
      <c r="J372" s="335" t="s">
        <v>823</v>
      </c>
      <c r="K372" s="335" t="s">
        <v>1258</v>
      </c>
      <c r="M372" s="335" t="s">
        <v>1576</v>
      </c>
      <c r="N372" s="335" t="s">
        <v>388</v>
      </c>
      <c r="O372" s="335" t="s">
        <v>389</v>
      </c>
      <c r="Q372" s="307" t="e">
        <f ca="1">_xll.BDP(M372&amp;" "&amp;N372&amp;" "&amp;O372,Q$2)</f>
        <v>#NAME?</v>
      </c>
      <c r="R372" s="307" t="e">
        <f ca="1">_xll.BDP(M372&amp;" "&amp;N372&amp;" "&amp;O372,R$2)</f>
        <v>#NAME?</v>
      </c>
      <c r="S372" s="307" t="e">
        <f ca="1">_xll.BDP(M372&amp;" "&amp;N372&amp;" "&amp;O372,S$2)</f>
        <v>#NAME?</v>
      </c>
      <c r="T372" s="307" t="e">
        <f ca="1">_xll.BDP(M372&amp;" "&amp;N372&amp;" "&amp;O372,T$2)</f>
        <v>#NAME?</v>
      </c>
      <c r="V372" s="307" t="s">
        <v>1577</v>
      </c>
      <c r="W372" s="307">
        <v>807</v>
      </c>
      <c r="X372" s="307" t="s">
        <v>390</v>
      </c>
      <c r="Y372" s="307" t="s">
        <v>1394</v>
      </c>
    </row>
    <row r="373" spans="2:25">
      <c r="B373" s="335" t="s">
        <v>374</v>
      </c>
      <c r="C373" s="335" t="s">
        <v>375</v>
      </c>
      <c r="D373" s="335" t="s">
        <v>821</v>
      </c>
      <c r="E373" s="335" t="s">
        <v>822</v>
      </c>
      <c r="F373" s="335" t="s">
        <v>376</v>
      </c>
      <c r="G373" s="335" t="s">
        <v>17</v>
      </c>
      <c r="H373" s="336" t="s">
        <v>154</v>
      </c>
      <c r="I373" s="335">
        <v>0</v>
      </c>
      <c r="J373" s="335" t="s">
        <v>823</v>
      </c>
      <c r="K373" s="335" t="s">
        <v>1258</v>
      </c>
      <c r="M373" s="335" t="s">
        <v>1578</v>
      </c>
      <c r="N373" s="335" t="s">
        <v>388</v>
      </c>
      <c r="O373" s="335" t="s">
        <v>389</v>
      </c>
      <c r="Q373" s="307" t="e">
        <f ca="1">_xll.BDP(M373&amp;" "&amp;N373&amp;" "&amp;O373,Q$2)</f>
        <v>#NAME?</v>
      </c>
      <c r="R373" s="307" t="e">
        <f ca="1">_xll.BDP(M373&amp;" "&amp;N373&amp;" "&amp;O373,R$2)</f>
        <v>#NAME?</v>
      </c>
      <c r="S373" s="307" t="e">
        <f ca="1">_xll.BDP(M373&amp;" "&amp;N373&amp;" "&amp;O373,S$2)</f>
        <v>#NAME?</v>
      </c>
      <c r="T373" s="307" t="e">
        <f ca="1">_xll.BDP(M373&amp;" "&amp;N373&amp;" "&amp;O373,T$2)</f>
        <v>#NAME?</v>
      </c>
      <c r="V373" s="307" t="s">
        <v>1579</v>
      </c>
      <c r="W373" s="307">
        <v>980</v>
      </c>
      <c r="X373" s="307" t="s">
        <v>390</v>
      </c>
      <c r="Y373" s="307" t="s">
        <v>870</v>
      </c>
    </row>
    <row r="374" spans="2:25">
      <c r="B374" s="335" t="s">
        <v>374</v>
      </c>
      <c r="C374" s="335" t="s">
        <v>375</v>
      </c>
      <c r="D374" s="335" t="s">
        <v>821</v>
      </c>
      <c r="E374" s="335" t="s">
        <v>822</v>
      </c>
      <c r="F374" s="335" t="s">
        <v>376</v>
      </c>
      <c r="G374" s="335" t="s">
        <v>17</v>
      </c>
      <c r="H374" s="336" t="s">
        <v>8</v>
      </c>
      <c r="I374" s="335">
        <v>0</v>
      </c>
      <c r="J374" s="335" t="s">
        <v>823</v>
      </c>
      <c r="K374" s="335" t="s">
        <v>1258</v>
      </c>
      <c r="M374" s="335" t="s">
        <v>1580</v>
      </c>
      <c r="N374" s="335" t="s">
        <v>388</v>
      </c>
      <c r="O374" s="335" t="s">
        <v>389</v>
      </c>
      <c r="Q374" s="307" t="e">
        <f ca="1">_xll.BDP(M374&amp;" "&amp;N374&amp;" "&amp;O374,Q$2)</f>
        <v>#NAME?</v>
      </c>
      <c r="R374" s="307" t="e">
        <f ca="1">_xll.BDP(M374&amp;" "&amp;N374&amp;" "&amp;O374,R$2)</f>
        <v>#NAME?</v>
      </c>
      <c r="S374" s="307" t="e">
        <f ca="1">_xll.BDP(M374&amp;" "&amp;N374&amp;" "&amp;O374,S$2)</f>
        <v>#NAME?</v>
      </c>
      <c r="T374" s="307" t="e">
        <f ca="1">_xll.BDP(M374&amp;" "&amp;N374&amp;" "&amp;O374,T$2)</f>
        <v>#NAME?</v>
      </c>
      <c r="V374" s="307" t="s">
        <v>1581</v>
      </c>
      <c r="W374" s="307">
        <v>1115</v>
      </c>
      <c r="X374" s="307" t="s">
        <v>390</v>
      </c>
      <c r="Y374" s="307" t="s">
        <v>973</v>
      </c>
    </row>
    <row r="375" spans="2:25">
      <c r="B375" s="335" t="s">
        <v>374</v>
      </c>
      <c r="C375" s="335" t="s">
        <v>375</v>
      </c>
      <c r="D375" s="335" t="s">
        <v>821</v>
      </c>
      <c r="E375" s="335" t="s">
        <v>822</v>
      </c>
      <c r="F375" s="335" t="s">
        <v>376</v>
      </c>
      <c r="G375" s="335" t="s">
        <v>17</v>
      </c>
      <c r="H375" s="336" t="s">
        <v>9</v>
      </c>
      <c r="I375" s="335">
        <v>0</v>
      </c>
      <c r="J375" s="335" t="s">
        <v>823</v>
      </c>
      <c r="K375" s="335" t="s">
        <v>1258</v>
      </c>
      <c r="M375" s="335" t="s">
        <v>1582</v>
      </c>
      <c r="N375" s="335" t="s">
        <v>388</v>
      </c>
      <c r="O375" s="335" t="s">
        <v>389</v>
      </c>
      <c r="Q375" s="307" t="e">
        <f ca="1">_xll.BDP(M375&amp;" "&amp;N375&amp;" "&amp;O375,Q$2)</f>
        <v>#NAME?</v>
      </c>
      <c r="R375" s="307" t="e">
        <f ca="1">_xll.BDP(M375&amp;" "&amp;N375&amp;" "&amp;O375,R$2)</f>
        <v>#NAME?</v>
      </c>
      <c r="S375" s="307" t="e">
        <f ca="1">_xll.BDP(M375&amp;" "&amp;N375&amp;" "&amp;O375,S$2)</f>
        <v>#NAME?</v>
      </c>
      <c r="T375" s="307" t="e">
        <f ca="1">_xll.BDP(M375&amp;" "&amp;N375&amp;" "&amp;O375,T$2)</f>
        <v>#NAME?</v>
      </c>
      <c r="V375" s="307" t="s">
        <v>1583</v>
      </c>
      <c r="W375" s="307">
        <v>1340</v>
      </c>
      <c r="X375" s="307" t="s">
        <v>390</v>
      </c>
      <c r="Y375" s="307" t="s">
        <v>973</v>
      </c>
    </row>
    <row r="376" spans="2:25">
      <c r="B376" s="335" t="s">
        <v>374</v>
      </c>
      <c r="C376" s="335" t="s">
        <v>375</v>
      </c>
      <c r="D376" s="335" t="s">
        <v>821</v>
      </c>
      <c r="E376" s="335" t="s">
        <v>822</v>
      </c>
      <c r="F376" s="335" t="s">
        <v>376</v>
      </c>
      <c r="G376" s="335" t="s">
        <v>17</v>
      </c>
      <c r="H376" s="336" t="s">
        <v>10</v>
      </c>
      <c r="I376" s="335">
        <v>0</v>
      </c>
      <c r="J376" s="335" t="s">
        <v>823</v>
      </c>
      <c r="K376" s="335" t="s">
        <v>1258</v>
      </c>
      <c r="M376" s="335" t="s">
        <v>1584</v>
      </c>
      <c r="N376" s="335" t="s">
        <v>388</v>
      </c>
      <c r="O376" s="335" t="s">
        <v>389</v>
      </c>
      <c r="Q376" s="307" t="e">
        <f ca="1">_xll.BDP(M376&amp;" "&amp;N376&amp;" "&amp;O376,Q$2)</f>
        <v>#NAME?</v>
      </c>
      <c r="R376" s="307" t="e">
        <f ca="1">_xll.BDP(M376&amp;" "&amp;N376&amp;" "&amp;O376,R$2)</f>
        <v>#NAME?</v>
      </c>
      <c r="S376" s="307" t="e">
        <f ca="1">_xll.BDP(M376&amp;" "&amp;N376&amp;" "&amp;O376,S$2)</f>
        <v>#NAME?</v>
      </c>
      <c r="T376" s="307" t="e">
        <f ca="1">_xll.BDP(M376&amp;" "&amp;N376&amp;" "&amp;O376,T$2)</f>
        <v>#NAME?</v>
      </c>
      <c r="V376" s="307" t="s">
        <v>1585</v>
      </c>
      <c r="W376" s="307">
        <v>1501</v>
      </c>
      <c r="X376" s="307" t="s">
        <v>390</v>
      </c>
      <c r="Y376" s="307" t="s">
        <v>847</v>
      </c>
    </row>
    <row r="377" spans="2:25">
      <c r="B377" s="335" t="s">
        <v>374</v>
      </c>
      <c r="C377" s="335" t="s">
        <v>375</v>
      </c>
      <c r="D377" s="335" t="s">
        <v>821</v>
      </c>
      <c r="E377" s="335" t="s">
        <v>822</v>
      </c>
      <c r="F377" s="335" t="s">
        <v>376</v>
      </c>
      <c r="G377" s="335" t="s">
        <v>17</v>
      </c>
      <c r="H377" s="336" t="s">
        <v>11</v>
      </c>
      <c r="I377" s="335">
        <v>0</v>
      </c>
      <c r="J377" s="335" t="s">
        <v>823</v>
      </c>
      <c r="K377" s="335" t="s">
        <v>1258</v>
      </c>
      <c r="M377" s="335" t="s">
        <v>1586</v>
      </c>
      <c r="N377" s="335" t="s">
        <v>388</v>
      </c>
      <c r="O377" s="335" t="s">
        <v>389</v>
      </c>
      <c r="Q377" s="307" t="e">
        <f ca="1">_xll.BDP(M377&amp;" "&amp;N377&amp;" "&amp;O377,Q$2)</f>
        <v>#NAME?</v>
      </c>
      <c r="R377" s="307" t="e">
        <f ca="1">_xll.BDP(M377&amp;" "&amp;N377&amp;" "&amp;O377,R$2)</f>
        <v>#NAME?</v>
      </c>
      <c r="S377" s="307" t="e">
        <f ca="1">_xll.BDP(M377&amp;" "&amp;N377&amp;" "&amp;O377,S$2)</f>
        <v>#NAME?</v>
      </c>
      <c r="T377" s="307" t="e">
        <f ca="1">_xll.BDP(M377&amp;" "&amp;N377&amp;" "&amp;O377,T$2)</f>
        <v>#NAME?</v>
      </c>
      <c r="V377" s="307" t="s">
        <v>1587</v>
      </c>
      <c r="W377" s="307">
        <v>1629</v>
      </c>
      <c r="X377" s="307" t="s">
        <v>390</v>
      </c>
      <c r="Y377" s="307" t="s">
        <v>847</v>
      </c>
    </row>
    <row r="378" spans="2:25">
      <c r="B378" s="335" t="s">
        <v>374</v>
      </c>
      <c r="C378" s="335" t="s">
        <v>375</v>
      </c>
      <c r="D378" s="335" t="s">
        <v>821</v>
      </c>
      <c r="E378" s="335" t="s">
        <v>822</v>
      </c>
      <c r="F378" s="335" t="s">
        <v>376</v>
      </c>
      <c r="G378" s="335" t="s">
        <v>17</v>
      </c>
      <c r="H378" s="336" t="s">
        <v>13</v>
      </c>
      <c r="I378" s="335">
        <v>0</v>
      </c>
      <c r="J378" s="335" t="s">
        <v>823</v>
      </c>
      <c r="K378" s="335" t="s">
        <v>1258</v>
      </c>
      <c r="M378" s="335" t="s">
        <v>1588</v>
      </c>
      <c r="N378" s="335" t="s">
        <v>388</v>
      </c>
      <c r="O378" s="335" t="s">
        <v>389</v>
      </c>
      <c r="Q378" s="307" t="e">
        <f ca="1">_xll.BDP(M378&amp;" "&amp;N378&amp;" "&amp;O378,Q$2)</f>
        <v>#NAME?</v>
      </c>
      <c r="R378" s="307" t="e">
        <f ca="1">_xll.BDP(M378&amp;" "&amp;N378&amp;" "&amp;O378,R$2)</f>
        <v>#NAME?</v>
      </c>
      <c r="S378" s="307" t="e">
        <f ca="1">_xll.BDP(M378&amp;" "&amp;N378&amp;" "&amp;O378,S$2)</f>
        <v>#NAME?</v>
      </c>
      <c r="T378" s="307" t="e">
        <f ca="1">_xll.BDP(M378&amp;" "&amp;N378&amp;" "&amp;O378,T$2)</f>
        <v>#NAME?</v>
      </c>
      <c r="V378" s="307" t="s">
        <v>1589</v>
      </c>
      <c r="W378" s="307">
        <v>1861</v>
      </c>
      <c r="X378" s="307" t="s">
        <v>390</v>
      </c>
      <c r="Y378" s="307" t="s">
        <v>847</v>
      </c>
    </row>
    <row r="379" spans="2:25">
      <c r="B379" s="335" t="s">
        <v>374</v>
      </c>
      <c r="C379" s="335" t="s">
        <v>375</v>
      </c>
      <c r="D379" s="335" t="s">
        <v>821</v>
      </c>
      <c r="E379" s="335" t="s">
        <v>822</v>
      </c>
      <c r="F379" s="335" t="s">
        <v>376</v>
      </c>
      <c r="G379" s="335" t="s">
        <v>17</v>
      </c>
      <c r="H379" s="336" t="s">
        <v>16</v>
      </c>
      <c r="I379" s="335">
        <v>0</v>
      </c>
      <c r="J379" s="335" t="s">
        <v>823</v>
      </c>
      <c r="K379" s="335" t="s">
        <v>1258</v>
      </c>
      <c r="M379" s="335" t="s">
        <v>1590</v>
      </c>
      <c r="N379" s="335" t="s">
        <v>388</v>
      </c>
      <c r="O379" s="335" t="s">
        <v>389</v>
      </c>
      <c r="Q379" s="307" t="e">
        <f ca="1">_xll.BDP(M379&amp;" "&amp;N379&amp;" "&amp;O379,Q$2)</f>
        <v>#NAME?</v>
      </c>
      <c r="R379" s="307" t="e">
        <f ca="1">_xll.BDP(M379&amp;" "&amp;N379&amp;" "&amp;O379,R$2)</f>
        <v>#NAME?</v>
      </c>
      <c r="S379" s="307" t="e">
        <f ca="1">_xll.BDP(M379&amp;" "&amp;N379&amp;" "&amp;O379,S$2)</f>
        <v>#NAME?</v>
      </c>
      <c r="T379" s="307" t="e">
        <f ca="1">_xll.BDP(M379&amp;" "&amp;N379&amp;" "&amp;O379,T$2)</f>
        <v>#NAME?</v>
      </c>
      <c r="V379" s="307" t="s">
        <v>1591</v>
      </c>
      <c r="W379" s="307">
        <v>2171</v>
      </c>
      <c r="X379" s="307" t="s">
        <v>390</v>
      </c>
      <c r="Y379" s="307" t="s">
        <v>847</v>
      </c>
    </row>
    <row r="380" spans="2:25">
      <c r="B380" s="335" t="s">
        <v>374</v>
      </c>
      <c r="C380" s="335" t="s">
        <v>375</v>
      </c>
      <c r="D380" s="335" t="s">
        <v>821</v>
      </c>
      <c r="E380" s="335" t="s">
        <v>822</v>
      </c>
      <c r="F380" s="335" t="s">
        <v>376</v>
      </c>
      <c r="G380" s="335" t="s">
        <v>17</v>
      </c>
      <c r="H380" s="336" t="s">
        <v>17</v>
      </c>
      <c r="I380" s="335">
        <v>0</v>
      </c>
      <c r="J380" s="335" t="s">
        <v>823</v>
      </c>
      <c r="K380" s="335" t="s">
        <v>1258</v>
      </c>
      <c r="M380" s="335" t="s">
        <v>1592</v>
      </c>
      <c r="N380" s="335" t="s">
        <v>388</v>
      </c>
      <c r="O380" s="335" t="s">
        <v>389</v>
      </c>
      <c r="Q380" s="307" t="e">
        <f ca="1">_xll.BDP(M380&amp;" "&amp;N380&amp;" "&amp;O380,Q$2)</f>
        <v>#NAME?</v>
      </c>
      <c r="R380" s="307" t="e">
        <f ca="1">_xll.BDP(M380&amp;" "&amp;N380&amp;" "&amp;O380,R$2)</f>
        <v>#NAME?</v>
      </c>
      <c r="S380" s="307" t="e">
        <f ca="1">_xll.BDP(M380&amp;" "&amp;N380&amp;" "&amp;O380,S$2)</f>
        <v>#NAME?</v>
      </c>
      <c r="T380" s="307" t="e">
        <f ca="1">_xll.BDP(M380&amp;" "&amp;N380&amp;" "&amp;O380,T$2)</f>
        <v>#NAME?</v>
      </c>
      <c r="V380" s="307" t="s">
        <v>1593</v>
      </c>
      <c r="W380" s="307">
        <v>2534</v>
      </c>
      <c r="X380" s="307" t="s">
        <v>390</v>
      </c>
      <c r="Y380" s="307" t="s">
        <v>859</v>
      </c>
    </row>
    <row r="381" spans="2:25">
      <c r="B381" s="335" t="s">
        <v>374</v>
      </c>
      <c r="C381" s="335" t="s">
        <v>375</v>
      </c>
      <c r="D381" s="335" t="s">
        <v>821</v>
      </c>
      <c r="E381" s="335" t="s">
        <v>822</v>
      </c>
      <c r="F381" s="335" t="s">
        <v>376</v>
      </c>
      <c r="G381" s="335" t="s">
        <v>17</v>
      </c>
      <c r="H381" s="336" t="s">
        <v>104</v>
      </c>
      <c r="I381" s="335">
        <v>0</v>
      </c>
      <c r="J381" s="335" t="s">
        <v>823</v>
      </c>
      <c r="K381" s="335" t="s">
        <v>1258</v>
      </c>
      <c r="M381" s="335" t="s">
        <v>1594</v>
      </c>
      <c r="N381" s="335" t="s">
        <v>388</v>
      </c>
      <c r="O381" s="335" t="s">
        <v>389</v>
      </c>
      <c r="Q381" s="307" t="e">
        <f ca="1">_xll.BDP(M381&amp;" "&amp;N381&amp;" "&amp;O381,Q$2)</f>
        <v>#NAME?</v>
      </c>
      <c r="R381" s="307" t="e">
        <f ca="1">_xll.BDP(M381&amp;" "&amp;N381&amp;" "&amp;O381,R$2)</f>
        <v>#NAME?</v>
      </c>
      <c r="S381" s="307" t="e">
        <f ca="1">_xll.BDP(M381&amp;" "&amp;N381&amp;" "&amp;O381,S$2)</f>
        <v>#NAME?</v>
      </c>
      <c r="T381" s="307" t="e">
        <f ca="1">_xll.BDP(M381&amp;" "&amp;N381&amp;" "&amp;O381,T$2)</f>
        <v>#NAME?</v>
      </c>
      <c r="V381" s="307" t="s">
        <v>1595</v>
      </c>
      <c r="W381" s="307">
        <v>2764</v>
      </c>
      <c r="X381" s="307" t="s">
        <v>390</v>
      </c>
      <c r="Y381" s="307" t="s">
        <v>859</v>
      </c>
    </row>
    <row r="382" spans="2:25">
      <c r="B382" s="335" t="s">
        <v>374</v>
      </c>
      <c r="C382" s="335" t="s">
        <v>375</v>
      </c>
      <c r="D382" s="335" t="s">
        <v>821</v>
      </c>
      <c r="E382" s="335" t="s">
        <v>822</v>
      </c>
      <c r="F382" s="335" t="s">
        <v>376</v>
      </c>
      <c r="G382" s="335" t="s">
        <v>104</v>
      </c>
      <c r="H382" s="335" t="s">
        <v>23</v>
      </c>
      <c r="I382" s="335">
        <v>0</v>
      </c>
      <c r="J382" s="335" t="s">
        <v>823</v>
      </c>
      <c r="K382" s="335" t="s">
        <v>1258</v>
      </c>
      <c r="M382" s="335" t="s">
        <v>1596</v>
      </c>
      <c r="N382" s="335" t="s">
        <v>388</v>
      </c>
      <c r="O382" s="335" t="s">
        <v>389</v>
      </c>
      <c r="Q382" s="307" t="e">
        <f ca="1">_xll.BDP(M382&amp;" "&amp;N382&amp;" "&amp;O382,Q$2)</f>
        <v>#NAME?</v>
      </c>
      <c r="R382" s="307" t="e">
        <f ca="1">_xll.BDP(M382&amp;" "&amp;N382&amp;" "&amp;O382,R$2)</f>
        <v>#NAME?</v>
      </c>
      <c r="S382" s="307" t="e">
        <f ca="1">_xll.BDP(M382&amp;" "&amp;N382&amp;" "&amp;O382,S$2)</f>
        <v>#NAME?</v>
      </c>
      <c r="T382" s="307" t="e">
        <f ca="1">_xll.BDP(M382&amp;" "&amp;N382&amp;" "&amp;O382,T$2)</f>
        <v>#NAME?</v>
      </c>
      <c r="V382" s="307" t="s">
        <v>1597</v>
      </c>
      <c r="W382" s="307">
        <v>333</v>
      </c>
      <c r="X382" s="307" t="s">
        <v>390</v>
      </c>
      <c r="Y382" s="307" t="s">
        <v>1394</v>
      </c>
    </row>
    <row r="383" spans="2:25">
      <c r="B383" s="335" t="s">
        <v>374</v>
      </c>
      <c r="C383" s="335" t="s">
        <v>375</v>
      </c>
      <c r="D383" s="335" t="s">
        <v>821</v>
      </c>
      <c r="E383" s="335" t="s">
        <v>822</v>
      </c>
      <c r="F383" s="335" t="s">
        <v>376</v>
      </c>
      <c r="G383" s="335" t="s">
        <v>104</v>
      </c>
      <c r="H383" s="335" t="s">
        <v>398</v>
      </c>
      <c r="I383" s="335">
        <v>0</v>
      </c>
      <c r="J383" s="335" t="s">
        <v>823</v>
      </c>
      <c r="K383" s="335" t="s">
        <v>1258</v>
      </c>
      <c r="M383" s="335" t="s">
        <v>1598</v>
      </c>
      <c r="N383" s="335" t="s">
        <v>388</v>
      </c>
      <c r="O383" s="335" t="s">
        <v>389</v>
      </c>
      <c r="Q383" s="307" t="e">
        <f ca="1">_xll.BDP(M383&amp;" "&amp;N383&amp;" "&amp;O383,Q$2)</f>
        <v>#NAME?</v>
      </c>
      <c r="R383" s="307" t="e">
        <f ca="1">_xll.BDP(M383&amp;" "&amp;N383&amp;" "&amp;O383,R$2)</f>
        <v>#NAME?</v>
      </c>
      <c r="S383" s="307" t="e">
        <f ca="1">_xll.BDP(M383&amp;" "&amp;N383&amp;" "&amp;O383,S$2)</f>
        <v>#NAME?</v>
      </c>
      <c r="T383" s="307" t="e">
        <f ca="1">_xll.BDP(M383&amp;" "&amp;N383&amp;" "&amp;O383,T$2)</f>
        <v>#NAME?</v>
      </c>
      <c r="V383" s="307" t="s">
        <v>1599</v>
      </c>
      <c r="W383" s="307">
        <v>476</v>
      </c>
      <c r="X383" s="307" t="s">
        <v>390</v>
      </c>
      <c r="Y383" s="307" t="s">
        <v>927</v>
      </c>
    </row>
    <row r="384" spans="2:25">
      <c r="B384" s="335" t="s">
        <v>374</v>
      </c>
      <c r="C384" s="335" t="s">
        <v>375</v>
      </c>
      <c r="D384" s="335" t="s">
        <v>821</v>
      </c>
      <c r="E384" s="335" t="s">
        <v>822</v>
      </c>
      <c r="F384" s="335" t="s">
        <v>376</v>
      </c>
      <c r="G384" s="335" t="s">
        <v>104</v>
      </c>
      <c r="H384" s="336" t="s">
        <v>26</v>
      </c>
      <c r="I384" s="335">
        <v>0</v>
      </c>
      <c r="J384" s="335" t="s">
        <v>823</v>
      </c>
      <c r="K384" s="335" t="s">
        <v>1258</v>
      </c>
      <c r="M384" s="335" t="s">
        <v>1600</v>
      </c>
      <c r="N384" s="335" t="s">
        <v>388</v>
      </c>
      <c r="O384" s="335" t="s">
        <v>389</v>
      </c>
      <c r="Q384" s="307" t="e">
        <f ca="1">_xll.BDP(M384&amp;" "&amp;N384&amp;" "&amp;O384,Q$2)</f>
        <v>#NAME?</v>
      </c>
      <c r="R384" s="307" t="e">
        <f ca="1">_xll.BDP(M384&amp;" "&amp;N384&amp;" "&amp;O384,R$2)</f>
        <v>#NAME?</v>
      </c>
      <c r="S384" s="307" t="e">
        <f ca="1">_xll.BDP(M384&amp;" "&amp;N384&amp;" "&amp;O384,S$2)</f>
        <v>#NAME?</v>
      </c>
      <c r="T384" s="307" t="e">
        <f ca="1">_xll.BDP(M384&amp;" "&amp;N384&amp;" "&amp;O384,T$2)</f>
        <v>#NAME?</v>
      </c>
      <c r="V384" s="307" t="s">
        <v>1601</v>
      </c>
      <c r="W384" s="307">
        <v>561</v>
      </c>
      <c r="X384" s="307" t="s">
        <v>390</v>
      </c>
      <c r="Y384" s="307" t="s">
        <v>1394</v>
      </c>
    </row>
    <row r="385" spans="2:25">
      <c r="B385" s="335" t="s">
        <v>374</v>
      </c>
      <c r="C385" s="335" t="s">
        <v>375</v>
      </c>
      <c r="D385" s="335" t="s">
        <v>821</v>
      </c>
      <c r="E385" s="335" t="s">
        <v>822</v>
      </c>
      <c r="F385" s="335" t="s">
        <v>376</v>
      </c>
      <c r="G385" s="335" t="s">
        <v>104</v>
      </c>
      <c r="H385" s="336" t="s">
        <v>19</v>
      </c>
      <c r="I385" s="335">
        <v>0</v>
      </c>
      <c r="J385" s="335" t="s">
        <v>823</v>
      </c>
      <c r="K385" s="335" t="s">
        <v>1258</v>
      </c>
      <c r="M385" s="335" t="s">
        <v>1602</v>
      </c>
      <c r="N385" s="335" t="s">
        <v>388</v>
      </c>
      <c r="O385" s="335" t="s">
        <v>389</v>
      </c>
      <c r="Q385" s="307" t="e">
        <f ca="1">_xll.BDP(M385&amp;" "&amp;N385&amp;" "&amp;O385,Q$2)</f>
        <v>#NAME?</v>
      </c>
      <c r="R385" s="307" t="e">
        <f ca="1">_xll.BDP(M385&amp;" "&amp;N385&amp;" "&amp;O385,R$2)</f>
        <v>#NAME?</v>
      </c>
      <c r="S385" s="307" t="e">
        <f ca="1">_xll.BDP(M385&amp;" "&amp;N385&amp;" "&amp;O385,S$2)</f>
        <v>#NAME?</v>
      </c>
      <c r="T385" s="307" t="e">
        <f ca="1">_xll.BDP(M385&amp;" "&amp;N385&amp;" "&amp;O385,T$2)</f>
        <v>#NAME?</v>
      </c>
      <c r="V385" s="307" t="s">
        <v>1603</v>
      </c>
      <c r="W385" s="307">
        <v>761</v>
      </c>
      <c r="X385" s="307" t="s">
        <v>390</v>
      </c>
      <c r="Y385" s="307" t="s">
        <v>870</v>
      </c>
    </row>
    <row r="386" spans="2:25">
      <c r="B386" s="335" t="s">
        <v>374</v>
      </c>
      <c r="C386" s="335" t="s">
        <v>375</v>
      </c>
      <c r="D386" s="335" t="s">
        <v>821</v>
      </c>
      <c r="E386" s="335" t="s">
        <v>822</v>
      </c>
      <c r="F386" s="335" t="s">
        <v>376</v>
      </c>
      <c r="G386" s="335" t="s">
        <v>104</v>
      </c>
      <c r="H386" s="336" t="s">
        <v>412</v>
      </c>
      <c r="I386" s="335">
        <v>0</v>
      </c>
      <c r="J386" s="335" t="s">
        <v>823</v>
      </c>
      <c r="K386" s="335" t="s">
        <v>1258</v>
      </c>
      <c r="M386" s="335" t="s">
        <v>1604</v>
      </c>
      <c r="N386" s="335" t="s">
        <v>388</v>
      </c>
      <c r="O386" s="335" t="s">
        <v>389</v>
      </c>
      <c r="Q386" s="307" t="e">
        <f ca="1">_xll.BDP(M386&amp;" "&amp;N386&amp;" "&amp;O386,Q$2)</f>
        <v>#NAME?</v>
      </c>
      <c r="R386" s="307" t="e">
        <f ca="1">_xll.BDP(M386&amp;" "&amp;N386&amp;" "&amp;O386,R$2)</f>
        <v>#NAME?</v>
      </c>
      <c r="S386" s="307" t="e">
        <f ca="1">_xll.BDP(M386&amp;" "&amp;N386&amp;" "&amp;O386,S$2)</f>
        <v>#NAME?</v>
      </c>
      <c r="T386" s="307" t="e">
        <f ca="1">_xll.BDP(M386&amp;" "&amp;N386&amp;" "&amp;O386,T$2)</f>
        <v>#NAME?</v>
      </c>
      <c r="V386" s="307" t="s">
        <v>1605</v>
      </c>
      <c r="W386" s="307">
        <v>914</v>
      </c>
      <c r="X386" s="307" t="s">
        <v>390</v>
      </c>
      <c r="Y386" s="307" t="s">
        <v>870</v>
      </c>
    </row>
    <row r="387" spans="2:25">
      <c r="B387" s="335" t="s">
        <v>374</v>
      </c>
      <c r="C387" s="335" t="s">
        <v>375</v>
      </c>
      <c r="D387" s="335" t="s">
        <v>821</v>
      </c>
      <c r="E387" s="335" t="s">
        <v>822</v>
      </c>
      <c r="F387" s="335" t="s">
        <v>376</v>
      </c>
      <c r="G387" s="335" t="s">
        <v>104</v>
      </c>
      <c r="H387" s="336" t="s">
        <v>7</v>
      </c>
      <c r="I387" s="335">
        <v>0</v>
      </c>
      <c r="J387" s="335" t="s">
        <v>823</v>
      </c>
      <c r="K387" s="335" t="s">
        <v>1258</v>
      </c>
      <c r="M387" s="335" t="s">
        <v>1606</v>
      </c>
      <c r="N387" s="335" t="s">
        <v>388</v>
      </c>
      <c r="O387" s="335" t="s">
        <v>389</v>
      </c>
      <c r="Q387" s="307" t="e">
        <f ca="1">_xll.BDP(M387&amp;" "&amp;N387&amp;" "&amp;O387,Q$2)</f>
        <v>#NAME?</v>
      </c>
      <c r="R387" s="307" t="e">
        <f ca="1">_xll.BDP(M387&amp;" "&amp;N387&amp;" "&amp;O387,R$2)</f>
        <v>#NAME?</v>
      </c>
      <c r="S387" s="307" t="e">
        <f ca="1">_xll.BDP(M387&amp;" "&amp;N387&amp;" "&amp;O387,S$2)</f>
        <v>#NAME?</v>
      </c>
      <c r="T387" s="307" t="e">
        <f ca="1">_xll.BDP(M387&amp;" "&amp;N387&amp;" "&amp;O387,T$2)</f>
        <v>#NAME?</v>
      </c>
      <c r="V387" s="307" t="s">
        <v>1607</v>
      </c>
      <c r="W387" s="307">
        <v>1048</v>
      </c>
      <c r="X387" s="307" t="s">
        <v>390</v>
      </c>
      <c r="Y387" s="307" t="s">
        <v>973</v>
      </c>
    </row>
    <row r="388" spans="2:25">
      <c r="B388" s="335" t="s">
        <v>374</v>
      </c>
      <c r="C388" s="335" t="s">
        <v>375</v>
      </c>
      <c r="D388" s="335" t="s">
        <v>821</v>
      </c>
      <c r="E388" s="335" t="s">
        <v>822</v>
      </c>
      <c r="F388" s="335" t="s">
        <v>376</v>
      </c>
      <c r="G388" s="335" t="s">
        <v>104</v>
      </c>
      <c r="H388" s="336" t="s">
        <v>154</v>
      </c>
      <c r="I388" s="335">
        <v>0</v>
      </c>
      <c r="J388" s="335" t="s">
        <v>823</v>
      </c>
      <c r="K388" s="335" t="s">
        <v>1258</v>
      </c>
      <c r="M388" s="335" t="s">
        <v>1608</v>
      </c>
      <c r="N388" s="335" t="s">
        <v>388</v>
      </c>
      <c r="O388" s="335" t="s">
        <v>389</v>
      </c>
      <c r="Q388" s="307" t="e">
        <f ca="1">_xll.BDP(M388&amp;" "&amp;N388&amp;" "&amp;O388,Q$2)</f>
        <v>#NAME?</v>
      </c>
      <c r="R388" s="307" t="e">
        <f ca="1">_xll.BDP(M388&amp;" "&amp;N388&amp;" "&amp;O388,R$2)</f>
        <v>#NAME?</v>
      </c>
      <c r="S388" s="307" t="e">
        <f ca="1">_xll.BDP(M388&amp;" "&amp;N388&amp;" "&amp;O388,S$2)</f>
        <v>#NAME?</v>
      </c>
      <c r="T388" s="307" t="e">
        <f ca="1">_xll.BDP(M388&amp;" "&amp;N388&amp;" "&amp;O388,T$2)</f>
        <v>#NAME?</v>
      </c>
      <c r="V388" s="307" t="s">
        <v>1609</v>
      </c>
      <c r="W388" s="307">
        <v>1259</v>
      </c>
      <c r="X388" s="307" t="s">
        <v>390</v>
      </c>
      <c r="Y388" s="307" t="s">
        <v>870</v>
      </c>
    </row>
    <row r="389" spans="2:25">
      <c r="B389" s="335" t="s">
        <v>374</v>
      </c>
      <c r="C389" s="335" t="s">
        <v>375</v>
      </c>
      <c r="D389" s="335" t="s">
        <v>821</v>
      </c>
      <c r="E389" s="335" t="s">
        <v>822</v>
      </c>
      <c r="F389" s="335" t="s">
        <v>376</v>
      </c>
      <c r="G389" s="335" t="s">
        <v>104</v>
      </c>
      <c r="H389" s="336" t="s">
        <v>8</v>
      </c>
      <c r="I389" s="335">
        <v>0</v>
      </c>
      <c r="J389" s="335" t="s">
        <v>823</v>
      </c>
      <c r="K389" s="335" t="s">
        <v>1258</v>
      </c>
      <c r="M389" s="335" t="s">
        <v>1610</v>
      </c>
      <c r="N389" s="335" t="s">
        <v>388</v>
      </c>
      <c r="O389" s="335" t="s">
        <v>389</v>
      </c>
      <c r="Q389" s="307" t="e">
        <f ca="1">_xll.BDP(M389&amp;" "&amp;N389&amp;" "&amp;O389,Q$2)</f>
        <v>#NAME?</v>
      </c>
      <c r="R389" s="307" t="e">
        <f ca="1">_xll.BDP(M389&amp;" "&amp;N389&amp;" "&amp;O389,R$2)</f>
        <v>#NAME?</v>
      </c>
      <c r="S389" s="307" t="e">
        <f ca="1">_xll.BDP(M389&amp;" "&amp;N389&amp;" "&amp;O389,S$2)</f>
        <v>#NAME?</v>
      </c>
      <c r="T389" s="307" t="e">
        <f ca="1">_xll.BDP(M389&amp;" "&amp;N389&amp;" "&amp;O389,T$2)</f>
        <v>#NAME?</v>
      </c>
      <c r="V389" s="307" t="s">
        <v>1611</v>
      </c>
      <c r="W389" s="307">
        <v>1429</v>
      </c>
      <c r="X389" s="307" t="s">
        <v>390</v>
      </c>
      <c r="Y389" s="307" t="s">
        <v>847</v>
      </c>
    </row>
    <row r="390" spans="2:25">
      <c r="B390" s="335" t="s">
        <v>374</v>
      </c>
      <c r="C390" s="335" t="s">
        <v>375</v>
      </c>
      <c r="D390" s="335" t="s">
        <v>821</v>
      </c>
      <c r="E390" s="335" t="s">
        <v>822</v>
      </c>
      <c r="F390" s="335" t="s">
        <v>376</v>
      </c>
      <c r="G390" s="335" t="s">
        <v>104</v>
      </c>
      <c r="H390" s="336" t="s">
        <v>9</v>
      </c>
      <c r="I390" s="335">
        <v>0</v>
      </c>
      <c r="J390" s="335" t="s">
        <v>823</v>
      </c>
      <c r="K390" s="335" t="s">
        <v>1258</v>
      </c>
      <c r="M390" s="335" t="s">
        <v>1612</v>
      </c>
      <c r="N390" s="335" t="s">
        <v>388</v>
      </c>
      <c r="O390" s="335" t="s">
        <v>389</v>
      </c>
      <c r="Q390" s="307" t="e">
        <f ca="1">_xll.BDP(M390&amp;" "&amp;N390&amp;" "&amp;O390,Q$2)</f>
        <v>#NAME?</v>
      </c>
      <c r="R390" s="307" t="e">
        <f ca="1">_xll.BDP(M390&amp;" "&amp;N390&amp;" "&amp;O390,R$2)</f>
        <v>#NAME?</v>
      </c>
      <c r="S390" s="307" t="e">
        <f ca="1">_xll.BDP(M390&amp;" "&amp;N390&amp;" "&amp;O390,S$2)</f>
        <v>#NAME?</v>
      </c>
      <c r="T390" s="307" t="e">
        <f ca="1">_xll.BDP(M390&amp;" "&amp;N390&amp;" "&amp;O390,T$2)</f>
        <v>#NAME?</v>
      </c>
      <c r="V390" s="307" t="s">
        <v>1613</v>
      </c>
      <c r="W390" s="307">
        <v>1686</v>
      </c>
      <c r="X390" s="307" t="s">
        <v>390</v>
      </c>
      <c r="Y390" s="307" t="s">
        <v>847</v>
      </c>
    </row>
    <row r="391" spans="2:25">
      <c r="B391" s="335" t="s">
        <v>374</v>
      </c>
      <c r="C391" s="335" t="s">
        <v>375</v>
      </c>
      <c r="D391" s="335" t="s">
        <v>821</v>
      </c>
      <c r="E391" s="335" t="s">
        <v>822</v>
      </c>
      <c r="F391" s="335" t="s">
        <v>376</v>
      </c>
      <c r="G391" s="335" t="s">
        <v>104</v>
      </c>
      <c r="H391" s="336" t="s">
        <v>10</v>
      </c>
      <c r="I391" s="335">
        <v>0</v>
      </c>
      <c r="J391" s="335" t="s">
        <v>823</v>
      </c>
      <c r="K391" s="335" t="s">
        <v>1258</v>
      </c>
      <c r="M391" s="335" t="s">
        <v>1614</v>
      </c>
      <c r="N391" s="335" t="s">
        <v>388</v>
      </c>
      <c r="O391" s="335" t="s">
        <v>389</v>
      </c>
      <c r="Q391" s="307" t="e">
        <f ca="1">_xll.BDP(M391&amp;" "&amp;N391&amp;" "&amp;O391,Q$2)</f>
        <v>#NAME?</v>
      </c>
      <c r="R391" s="307" t="e">
        <f ca="1">_xll.BDP(M391&amp;" "&amp;N391&amp;" "&amp;O391,R$2)</f>
        <v>#NAME?</v>
      </c>
      <c r="S391" s="307" t="e">
        <f ca="1">_xll.BDP(M391&amp;" "&amp;N391&amp;" "&amp;O391,S$2)</f>
        <v>#NAME?</v>
      </c>
      <c r="T391" s="307" t="e">
        <f ca="1">_xll.BDP(M391&amp;" "&amp;N391&amp;" "&amp;O391,T$2)</f>
        <v>#NAME?</v>
      </c>
      <c r="V391" s="307" t="s">
        <v>1615</v>
      </c>
      <c r="W391" s="307">
        <v>1879</v>
      </c>
      <c r="X391" s="307" t="s">
        <v>390</v>
      </c>
      <c r="Y391" s="307" t="s">
        <v>847</v>
      </c>
    </row>
    <row r="392" spans="2:25">
      <c r="B392" s="335" t="s">
        <v>374</v>
      </c>
      <c r="C392" s="335" t="s">
        <v>375</v>
      </c>
      <c r="D392" s="335" t="s">
        <v>821</v>
      </c>
      <c r="E392" s="335" t="s">
        <v>822</v>
      </c>
      <c r="F392" s="335" t="s">
        <v>376</v>
      </c>
      <c r="G392" s="335" t="s">
        <v>104</v>
      </c>
      <c r="H392" s="336" t="s">
        <v>11</v>
      </c>
      <c r="I392" s="335">
        <v>0</v>
      </c>
      <c r="J392" s="335" t="s">
        <v>823</v>
      </c>
      <c r="K392" s="335" t="s">
        <v>1258</v>
      </c>
      <c r="M392" s="335" t="s">
        <v>1616</v>
      </c>
      <c r="N392" s="335" t="s">
        <v>388</v>
      </c>
      <c r="O392" s="335" t="s">
        <v>389</v>
      </c>
      <c r="Q392" s="307" t="e">
        <f ca="1">_xll.BDP(M392&amp;" "&amp;N392&amp;" "&amp;O392,Q$2)</f>
        <v>#NAME?</v>
      </c>
      <c r="R392" s="307" t="e">
        <f ca="1">_xll.BDP(M392&amp;" "&amp;N392&amp;" "&amp;O392,R$2)</f>
        <v>#NAME?</v>
      </c>
      <c r="S392" s="307" t="e">
        <f ca="1">_xll.BDP(M392&amp;" "&amp;N392&amp;" "&amp;O392,S$2)</f>
        <v>#NAME?</v>
      </c>
      <c r="T392" s="307" t="e">
        <f ca="1">_xll.BDP(M392&amp;" "&amp;N392&amp;" "&amp;O392,T$2)</f>
        <v>#NAME?</v>
      </c>
      <c r="V392" s="307" t="s">
        <v>1617</v>
      </c>
      <c r="W392" s="307">
        <v>2034</v>
      </c>
      <c r="X392" s="307" t="s">
        <v>390</v>
      </c>
      <c r="Y392" s="307" t="s">
        <v>847</v>
      </c>
    </row>
    <row r="393" spans="2:25">
      <c r="B393" s="335" t="s">
        <v>374</v>
      </c>
      <c r="C393" s="335" t="s">
        <v>375</v>
      </c>
      <c r="D393" s="335" t="s">
        <v>821</v>
      </c>
      <c r="E393" s="335" t="s">
        <v>822</v>
      </c>
      <c r="F393" s="335" t="s">
        <v>376</v>
      </c>
      <c r="G393" s="335" t="s">
        <v>104</v>
      </c>
      <c r="H393" s="336" t="s">
        <v>13</v>
      </c>
      <c r="I393" s="335">
        <v>0</v>
      </c>
      <c r="J393" s="335" t="s">
        <v>823</v>
      </c>
      <c r="K393" s="335" t="s">
        <v>1258</v>
      </c>
      <c r="M393" s="335" t="s">
        <v>1618</v>
      </c>
      <c r="N393" s="335" t="s">
        <v>388</v>
      </c>
      <c r="O393" s="335" t="s">
        <v>389</v>
      </c>
      <c r="Q393" s="307" t="e">
        <f ca="1">_xll.BDP(M393&amp;" "&amp;N393&amp;" "&amp;O393,Q$2)</f>
        <v>#NAME?</v>
      </c>
      <c r="R393" s="307" t="e">
        <f ca="1">_xll.BDP(M393&amp;" "&amp;N393&amp;" "&amp;O393,R$2)</f>
        <v>#NAME?</v>
      </c>
      <c r="S393" s="307" t="e">
        <f ca="1">_xll.BDP(M393&amp;" "&amp;N393&amp;" "&amp;O393,S$2)</f>
        <v>#NAME?</v>
      </c>
      <c r="T393" s="307" t="e">
        <f ca="1">_xll.BDP(M393&amp;" "&amp;N393&amp;" "&amp;O393,T$2)</f>
        <v>#NAME?</v>
      </c>
      <c r="V393" s="307" t="s">
        <v>1619</v>
      </c>
      <c r="W393" s="307">
        <v>2306</v>
      </c>
      <c r="X393" s="307" t="s">
        <v>390</v>
      </c>
      <c r="Y393" s="307" t="s">
        <v>847</v>
      </c>
    </row>
    <row r="394" spans="2:25">
      <c r="B394" s="335" t="s">
        <v>374</v>
      </c>
      <c r="C394" s="335" t="s">
        <v>375</v>
      </c>
      <c r="D394" s="335" t="s">
        <v>821</v>
      </c>
      <c r="E394" s="335" t="s">
        <v>822</v>
      </c>
      <c r="F394" s="335" t="s">
        <v>376</v>
      </c>
      <c r="G394" s="335" t="s">
        <v>104</v>
      </c>
      <c r="H394" s="336" t="s">
        <v>16</v>
      </c>
      <c r="I394" s="335">
        <v>0</v>
      </c>
      <c r="J394" s="335" t="s">
        <v>823</v>
      </c>
      <c r="K394" s="335" t="s">
        <v>1258</v>
      </c>
      <c r="M394" s="335" t="s">
        <v>1620</v>
      </c>
      <c r="N394" s="335" t="s">
        <v>388</v>
      </c>
      <c r="O394" s="335" t="s">
        <v>389</v>
      </c>
      <c r="Q394" s="307" t="e">
        <f ca="1">_xll.BDP(M394&amp;" "&amp;N394&amp;" "&amp;O394,Q$2)</f>
        <v>#NAME?</v>
      </c>
      <c r="R394" s="307" t="e">
        <f ca="1">_xll.BDP(M394&amp;" "&amp;N394&amp;" "&amp;O394,R$2)</f>
        <v>#NAME?</v>
      </c>
      <c r="S394" s="307" t="e">
        <f ca="1">_xll.BDP(M394&amp;" "&amp;N394&amp;" "&amp;O394,S$2)</f>
        <v>#NAME?</v>
      </c>
      <c r="T394" s="307" t="e">
        <f ca="1">_xll.BDP(M394&amp;" "&amp;N394&amp;" "&amp;O394,T$2)</f>
        <v>#NAME?</v>
      </c>
      <c r="V394" s="307" t="s">
        <v>1621</v>
      </c>
      <c r="W394" s="307">
        <v>2662</v>
      </c>
      <c r="X394" s="307" t="s">
        <v>390</v>
      </c>
      <c r="Y394" s="307" t="s">
        <v>847</v>
      </c>
    </row>
    <row r="395" spans="2:25">
      <c r="B395" s="335" t="s">
        <v>374</v>
      </c>
      <c r="C395" s="335" t="s">
        <v>375</v>
      </c>
      <c r="D395" s="335" t="s">
        <v>821</v>
      </c>
      <c r="E395" s="335" t="s">
        <v>822</v>
      </c>
      <c r="F395" s="335" t="s">
        <v>376</v>
      </c>
      <c r="G395" s="335" t="s">
        <v>104</v>
      </c>
      <c r="H395" s="336" t="s">
        <v>17</v>
      </c>
      <c r="I395" s="335">
        <v>0</v>
      </c>
      <c r="J395" s="335" t="s">
        <v>823</v>
      </c>
      <c r="K395" s="335" t="s">
        <v>1258</v>
      </c>
      <c r="M395" s="335" t="s">
        <v>1622</v>
      </c>
      <c r="N395" s="335" t="s">
        <v>388</v>
      </c>
      <c r="O395" s="335" t="s">
        <v>389</v>
      </c>
      <c r="Q395" s="307" t="e">
        <f ca="1">_xll.BDP(M395&amp;" "&amp;N395&amp;" "&amp;O395,Q$2)</f>
        <v>#NAME?</v>
      </c>
      <c r="R395" s="307" t="e">
        <f ca="1">_xll.BDP(M395&amp;" "&amp;N395&amp;" "&amp;O395,R$2)</f>
        <v>#NAME?</v>
      </c>
      <c r="S395" s="307" t="e">
        <f ca="1">_xll.BDP(M395&amp;" "&amp;N395&amp;" "&amp;O395,S$2)</f>
        <v>#NAME?</v>
      </c>
      <c r="T395" s="307" t="e">
        <f ca="1">_xll.BDP(M395&amp;" "&amp;N395&amp;" "&amp;O395,T$2)</f>
        <v>#NAME?</v>
      </c>
      <c r="V395" s="307" t="s">
        <v>1623</v>
      </c>
      <c r="W395" s="307">
        <v>3057</v>
      </c>
      <c r="X395" s="307" t="s">
        <v>390</v>
      </c>
      <c r="Y395" s="307" t="s">
        <v>859</v>
      </c>
    </row>
    <row r="396" spans="2:25">
      <c r="B396" s="335" t="s">
        <v>374</v>
      </c>
      <c r="C396" s="335" t="s">
        <v>375</v>
      </c>
      <c r="D396" s="335" t="s">
        <v>821</v>
      </c>
      <c r="E396" s="335" t="s">
        <v>822</v>
      </c>
      <c r="F396" s="335" t="s">
        <v>376</v>
      </c>
      <c r="G396" s="335" t="s">
        <v>104</v>
      </c>
      <c r="H396" s="336" t="s">
        <v>104</v>
      </c>
      <c r="I396" s="335">
        <v>0</v>
      </c>
      <c r="J396" s="335" t="s">
        <v>823</v>
      </c>
      <c r="K396" s="335" t="s">
        <v>1258</v>
      </c>
      <c r="M396" s="335" t="s">
        <v>1624</v>
      </c>
      <c r="N396" s="335" t="s">
        <v>388</v>
      </c>
      <c r="O396" s="335" t="s">
        <v>389</v>
      </c>
      <c r="Q396" s="307" t="e">
        <f ca="1">_xll.BDP(M396&amp;" "&amp;N396&amp;" "&amp;O396,Q$2)</f>
        <v>#NAME?</v>
      </c>
      <c r="R396" s="307" t="e">
        <f ca="1">_xll.BDP(M396&amp;" "&amp;N396&amp;" "&amp;O396,R$2)</f>
        <v>#NAME?</v>
      </c>
      <c r="S396" s="307" t="e">
        <f ca="1">_xll.BDP(M396&amp;" "&amp;N396&amp;" "&amp;O396,S$2)</f>
        <v>#NAME?</v>
      </c>
      <c r="T396" s="307" t="e">
        <f ca="1">_xll.BDP(M396&amp;" "&amp;N396&amp;" "&amp;O396,T$2)</f>
        <v>#NAME?</v>
      </c>
      <c r="V396" s="307" t="s">
        <v>1625</v>
      </c>
      <c r="W396" s="307">
        <v>3316</v>
      </c>
      <c r="X396" s="307" t="s">
        <v>390</v>
      </c>
      <c r="Y396" s="307" t="s">
        <v>859</v>
      </c>
    </row>
    <row r="397" spans="2:25">
      <c r="B397" s="335" t="s">
        <v>374</v>
      </c>
      <c r="C397" s="335" t="s">
        <v>375</v>
      </c>
      <c r="D397" s="335" t="s">
        <v>821</v>
      </c>
      <c r="E397" s="335" t="s">
        <v>822</v>
      </c>
      <c r="F397" s="335" t="s">
        <v>376</v>
      </c>
      <c r="G397" s="335" t="s">
        <v>105</v>
      </c>
      <c r="H397" s="335" t="s">
        <v>23</v>
      </c>
      <c r="I397" s="335">
        <v>0</v>
      </c>
      <c r="J397" s="335" t="s">
        <v>823</v>
      </c>
      <c r="K397" s="335" t="s">
        <v>1258</v>
      </c>
      <c r="M397" s="335" t="s">
        <v>1626</v>
      </c>
      <c r="N397" s="335" t="s">
        <v>388</v>
      </c>
      <c r="O397" s="335" t="s">
        <v>389</v>
      </c>
      <c r="Q397" s="307" t="e">
        <f ca="1">_xll.BDP(M397&amp;" "&amp;N397&amp;" "&amp;O397,Q$2)</f>
        <v>#NAME?</v>
      </c>
      <c r="R397" s="307" t="e">
        <f ca="1">_xll.BDP(M397&amp;" "&amp;N397&amp;" "&amp;O397,R$2)</f>
        <v>#NAME?</v>
      </c>
      <c r="S397" s="307" t="e">
        <f ca="1">_xll.BDP(M397&amp;" "&amp;N397&amp;" "&amp;O397,S$2)</f>
        <v>#NAME?</v>
      </c>
      <c r="T397" s="307" t="e">
        <f ca="1">_xll.BDP(M397&amp;" "&amp;N397&amp;" "&amp;O397,T$2)</f>
        <v>#NAME?</v>
      </c>
      <c r="V397" s="307" t="s">
        <v>1627</v>
      </c>
      <c r="W397" s="307">
        <v>420</v>
      </c>
      <c r="X397" s="307" t="s">
        <v>390</v>
      </c>
      <c r="Y397" s="307" t="s">
        <v>870</v>
      </c>
    </row>
    <row r="398" spans="2:25">
      <c r="B398" s="335" t="s">
        <v>374</v>
      </c>
      <c r="C398" s="335" t="s">
        <v>375</v>
      </c>
      <c r="D398" s="335" t="s">
        <v>821</v>
      </c>
      <c r="E398" s="335" t="s">
        <v>822</v>
      </c>
      <c r="F398" s="335" t="s">
        <v>376</v>
      </c>
      <c r="G398" s="335" t="s">
        <v>105</v>
      </c>
      <c r="H398" s="335" t="s">
        <v>398</v>
      </c>
      <c r="I398" s="335">
        <v>0</v>
      </c>
      <c r="J398" s="335" t="s">
        <v>823</v>
      </c>
      <c r="K398" s="335" t="s">
        <v>1258</v>
      </c>
      <c r="M398" s="335" t="s">
        <v>1628</v>
      </c>
      <c r="N398" s="335" t="s">
        <v>388</v>
      </c>
      <c r="O398" s="335" t="s">
        <v>389</v>
      </c>
      <c r="Q398" s="307" t="e">
        <f ca="1">_xll.BDP(M398&amp;" "&amp;N398&amp;" "&amp;O398,Q$2)</f>
        <v>#NAME?</v>
      </c>
      <c r="R398" s="307" t="e">
        <f ca="1">_xll.BDP(M398&amp;" "&amp;N398&amp;" "&amp;O398,R$2)</f>
        <v>#NAME?</v>
      </c>
      <c r="S398" s="307" t="e">
        <f ca="1">_xll.BDP(M398&amp;" "&amp;N398&amp;" "&amp;O398,S$2)</f>
        <v>#NAME?</v>
      </c>
      <c r="T398" s="307" t="e">
        <f ca="1">_xll.BDP(M398&amp;" "&amp;N398&amp;" "&amp;O398,T$2)</f>
        <v>#NAME?</v>
      </c>
      <c r="V398" s="307" t="s">
        <v>1629</v>
      </c>
      <c r="W398" s="307">
        <v>594</v>
      </c>
      <c r="X398" s="307" t="s">
        <v>390</v>
      </c>
      <c r="Y398" s="307" t="s">
        <v>870</v>
      </c>
    </row>
    <row r="399" spans="2:25">
      <c r="B399" s="335" t="s">
        <v>374</v>
      </c>
      <c r="C399" s="335" t="s">
        <v>375</v>
      </c>
      <c r="D399" s="335" t="s">
        <v>821</v>
      </c>
      <c r="E399" s="335" t="s">
        <v>822</v>
      </c>
      <c r="F399" s="335" t="s">
        <v>376</v>
      </c>
      <c r="G399" s="335" t="s">
        <v>105</v>
      </c>
      <c r="H399" s="336" t="s">
        <v>26</v>
      </c>
      <c r="I399" s="335">
        <v>0</v>
      </c>
      <c r="J399" s="335" t="s">
        <v>823</v>
      </c>
      <c r="K399" s="335" t="s">
        <v>1258</v>
      </c>
      <c r="M399" s="335" t="s">
        <v>1630</v>
      </c>
      <c r="N399" s="335" t="s">
        <v>388</v>
      </c>
      <c r="O399" s="335" t="s">
        <v>389</v>
      </c>
      <c r="Q399" s="307" t="e">
        <f ca="1">_xll.BDP(M399&amp;" "&amp;N399&amp;" "&amp;O399,Q$2)</f>
        <v>#NAME?</v>
      </c>
      <c r="R399" s="307" t="e">
        <f ca="1">_xll.BDP(M399&amp;" "&amp;N399&amp;" "&amp;O399,R$2)</f>
        <v>#NAME?</v>
      </c>
      <c r="S399" s="307" t="e">
        <f ca="1">_xll.BDP(M399&amp;" "&amp;N399&amp;" "&amp;O399,S$2)</f>
        <v>#NAME?</v>
      </c>
      <c r="T399" s="307" t="e">
        <f ca="1">_xll.BDP(M399&amp;" "&amp;N399&amp;" "&amp;O399,T$2)</f>
        <v>#NAME?</v>
      </c>
      <c r="V399" s="307" t="s">
        <v>1631</v>
      </c>
      <c r="W399" s="307">
        <v>689</v>
      </c>
      <c r="X399" s="307" t="s">
        <v>390</v>
      </c>
      <c r="Y399" s="307" t="s">
        <v>1394</v>
      </c>
    </row>
    <row r="400" spans="2:25">
      <c r="B400" s="335" t="s">
        <v>374</v>
      </c>
      <c r="C400" s="335" t="s">
        <v>375</v>
      </c>
      <c r="D400" s="335" t="s">
        <v>821</v>
      </c>
      <c r="E400" s="335" t="s">
        <v>822</v>
      </c>
      <c r="F400" s="335" t="s">
        <v>376</v>
      </c>
      <c r="G400" s="335" t="s">
        <v>105</v>
      </c>
      <c r="H400" s="336" t="s">
        <v>19</v>
      </c>
      <c r="I400" s="335">
        <v>0</v>
      </c>
      <c r="J400" s="335" t="s">
        <v>823</v>
      </c>
      <c r="K400" s="335" t="s">
        <v>1258</v>
      </c>
      <c r="M400" s="335" t="s">
        <v>1632</v>
      </c>
      <c r="N400" s="335" t="s">
        <v>388</v>
      </c>
      <c r="O400" s="335" t="s">
        <v>389</v>
      </c>
      <c r="Q400" s="307" t="e">
        <f ca="1">_xll.BDP(M400&amp;" "&amp;N400&amp;" "&amp;O400,Q$2)</f>
        <v>#NAME?</v>
      </c>
      <c r="R400" s="307" t="e">
        <f ca="1">_xll.BDP(M400&amp;" "&amp;N400&amp;" "&amp;O400,R$2)</f>
        <v>#NAME?</v>
      </c>
      <c r="S400" s="307" t="e">
        <f ca="1">_xll.BDP(M400&amp;" "&amp;N400&amp;" "&amp;O400,S$2)</f>
        <v>#NAME?</v>
      </c>
      <c r="T400" s="307" t="e">
        <f ca="1">_xll.BDP(M400&amp;" "&amp;N400&amp;" "&amp;O400,T$2)</f>
        <v>#NAME?</v>
      </c>
      <c r="V400" s="307" t="s">
        <v>1633</v>
      </c>
      <c r="W400" s="307">
        <v>932</v>
      </c>
      <c r="X400" s="307" t="s">
        <v>390</v>
      </c>
      <c r="Y400" s="307" t="s">
        <v>870</v>
      </c>
    </row>
    <row r="401" spans="2:25">
      <c r="B401" s="335" t="s">
        <v>374</v>
      </c>
      <c r="C401" s="335" t="s">
        <v>375</v>
      </c>
      <c r="D401" s="335" t="s">
        <v>821</v>
      </c>
      <c r="E401" s="335" t="s">
        <v>822</v>
      </c>
      <c r="F401" s="335" t="s">
        <v>376</v>
      </c>
      <c r="G401" s="335" t="s">
        <v>105</v>
      </c>
      <c r="H401" s="336" t="s">
        <v>412</v>
      </c>
      <c r="I401" s="335">
        <v>0</v>
      </c>
      <c r="J401" s="335" t="s">
        <v>823</v>
      </c>
      <c r="K401" s="335" t="s">
        <v>1258</v>
      </c>
      <c r="M401" s="335" t="s">
        <v>1634</v>
      </c>
      <c r="N401" s="335" t="s">
        <v>388</v>
      </c>
      <c r="O401" s="335" t="s">
        <v>389</v>
      </c>
      <c r="Q401" s="307" t="e">
        <f ca="1">_xll.BDP(M401&amp;" "&amp;N401&amp;" "&amp;O401,Q$2)</f>
        <v>#NAME?</v>
      </c>
      <c r="R401" s="307" t="e">
        <f ca="1">_xll.BDP(M401&amp;" "&amp;N401&amp;" "&amp;O401,R$2)</f>
        <v>#NAME?</v>
      </c>
      <c r="S401" s="307" t="e">
        <f ca="1">_xll.BDP(M401&amp;" "&amp;N401&amp;" "&amp;O401,S$2)</f>
        <v>#NAME?</v>
      </c>
      <c r="T401" s="307" t="e">
        <f ca="1">_xll.BDP(M401&amp;" "&amp;N401&amp;" "&amp;O401,T$2)</f>
        <v>#NAME?</v>
      </c>
      <c r="V401" s="307" t="s">
        <v>1635</v>
      </c>
      <c r="W401" s="307">
        <v>1117</v>
      </c>
      <c r="X401" s="307" t="s">
        <v>390</v>
      </c>
      <c r="Y401" s="307" t="s">
        <v>870</v>
      </c>
    </row>
    <row r="402" spans="2:25">
      <c r="B402" s="335" t="s">
        <v>374</v>
      </c>
      <c r="C402" s="335" t="s">
        <v>375</v>
      </c>
      <c r="D402" s="335" t="s">
        <v>821</v>
      </c>
      <c r="E402" s="335" t="s">
        <v>822</v>
      </c>
      <c r="F402" s="335" t="s">
        <v>376</v>
      </c>
      <c r="G402" s="335" t="s">
        <v>105</v>
      </c>
      <c r="H402" s="336" t="s">
        <v>7</v>
      </c>
      <c r="I402" s="335">
        <v>0</v>
      </c>
      <c r="J402" s="335" t="s">
        <v>823</v>
      </c>
      <c r="K402" s="335" t="s">
        <v>1258</v>
      </c>
      <c r="M402" s="335" t="s">
        <v>1636</v>
      </c>
      <c r="N402" s="335" t="s">
        <v>388</v>
      </c>
      <c r="O402" s="335" t="s">
        <v>389</v>
      </c>
      <c r="Q402" s="307" t="e">
        <f ca="1">_xll.BDP(M402&amp;" "&amp;N402&amp;" "&amp;O402,Q$2)</f>
        <v>#NAME?</v>
      </c>
      <c r="R402" s="307" t="e">
        <f ca="1">_xll.BDP(M402&amp;" "&amp;N402&amp;" "&amp;O402,R$2)</f>
        <v>#NAME?</v>
      </c>
      <c r="S402" s="307" t="e">
        <f ca="1">_xll.BDP(M402&amp;" "&amp;N402&amp;" "&amp;O402,S$2)</f>
        <v>#NAME?</v>
      </c>
      <c r="T402" s="307" t="e">
        <f ca="1">_xll.BDP(M402&amp;" "&amp;N402&amp;" "&amp;O402,T$2)</f>
        <v>#NAME?</v>
      </c>
      <c r="V402" s="307" t="s">
        <v>1637</v>
      </c>
      <c r="W402" s="307">
        <v>1272</v>
      </c>
      <c r="X402" s="307" t="s">
        <v>390</v>
      </c>
      <c r="Y402" s="307" t="s">
        <v>973</v>
      </c>
    </row>
    <row r="403" spans="2:25">
      <c r="B403" s="335" t="s">
        <v>374</v>
      </c>
      <c r="C403" s="335" t="s">
        <v>375</v>
      </c>
      <c r="D403" s="335" t="s">
        <v>821</v>
      </c>
      <c r="E403" s="335" t="s">
        <v>822</v>
      </c>
      <c r="F403" s="335" t="s">
        <v>376</v>
      </c>
      <c r="G403" s="335" t="s">
        <v>105</v>
      </c>
      <c r="H403" s="336" t="s">
        <v>154</v>
      </c>
      <c r="I403" s="335">
        <v>0</v>
      </c>
      <c r="J403" s="335" t="s">
        <v>823</v>
      </c>
      <c r="K403" s="335" t="s">
        <v>1258</v>
      </c>
      <c r="M403" s="335" t="s">
        <v>1638</v>
      </c>
      <c r="N403" s="335" t="s">
        <v>388</v>
      </c>
      <c r="O403" s="335" t="s">
        <v>389</v>
      </c>
      <c r="Q403" s="307" t="e">
        <f ca="1">_xll.BDP(M403&amp;" "&amp;N403&amp;" "&amp;O403,Q$2)</f>
        <v>#NAME?</v>
      </c>
      <c r="R403" s="307" t="e">
        <f ca="1">_xll.BDP(M403&amp;" "&amp;N403&amp;" "&amp;O403,R$2)</f>
        <v>#NAME?</v>
      </c>
      <c r="S403" s="307" t="e">
        <f ca="1">_xll.BDP(M403&amp;" "&amp;N403&amp;" "&amp;O403,S$2)</f>
        <v>#NAME?</v>
      </c>
      <c r="T403" s="307" t="e">
        <f ca="1">_xll.BDP(M403&amp;" "&amp;N403&amp;" "&amp;O403,T$2)</f>
        <v>#NAME?</v>
      </c>
      <c r="V403" s="307" t="s">
        <v>1639</v>
      </c>
      <c r="W403" s="307">
        <v>1528</v>
      </c>
      <c r="X403" s="307" t="s">
        <v>390</v>
      </c>
      <c r="Y403" s="307" t="s">
        <v>870</v>
      </c>
    </row>
    <row r="404" spans="2:25">
      <c r="B404" s="335" t="s">
        <v>374</v>
      </c>
      <c r="C404" s="335" t="s">
        <v>375</v>
      </c>
      <c r="D404" s="335" t="s">
        <v>821</v>
      </c>
      <c r="E404" s="335" t="s">
        <v>822</v>
      </c>
      <c r="F404" s="335" t="s">
        <v>376</v>
      </c>
      <c r="G404" s="335" t="s">
        <v>105</v>
      </c>
      <c r="H404" s="336" t="s">
        <v>8</v>
      </c>
      <c r="I404" s="335">
        <v>0</v>
      </c>
      <c r="J404" s="335" t="s">
        <v>823</v>
      </c>
      <c r="K404" s="335" t="s">
        <v>1258</v>
      </c>
      <c r="M404" s="335" t="s">
        <v>1640</v>
      </c>
      <c r="N404" s="335" t="s">
        <v>388</v>
      </c>
      <c r="O404" s="335" t="s">
        <v>389</v>
      </c>
      <c r="Q404" s="307" t="e">
        <f ca="1">_xll.BDP(M404&amp;" "&amp;N404&amp;" "&amp;O404,Q$2)</f>
        <v>#NAME?</v>
      </c>
      <c r="R404" s="307" t="e">
        <f ca="1">_xll.BDP(M404&amp;" "&amp;N404&amp;" "&amp;O404,R$2)</f>
        <v>#NAME?</v>
      </c>
      <c r="S404" s="307" t="e">
        <f ca="1">_xll.BDP(M404&amp;" "&amp;N404&amp;" "&amp;O404,S$2)</f>
        <v>#NAME?</v>
      </c>
      <c r="T404" s="307" t="e">
        <f ca="1">_xll.BDP(M404&amp;" "&amp;N404&amp;" "&amp;O404,T$2)</f>
        <v>#NAME?</v>
      </c>
      <c r="V404" s="307" t="s">
        <v>1641</v>
      </c>
      <c r="W404" s="307">
        <v>1732</v>
      </c>
      <c r="X404" s="307" t="s">
        <v>390</v>
      </c>
      <c r="Y404" s="307" t="s">
        <v>847</v>
      </c>
    </row>
    <row r="405" spans="2:25">
      <c r="B405" s="335" t="s">
        <v>374</v>
      </c>
      <c r="C405" s="335" t="s">
        <v>375</v>
      </c>
      <c r="D405" s="335" t="s">
        <v>821</v>
      </c>
      <c r="E405" s="335" t="s">
        <v>822</v>
      </c>
      <c r="F405" s="335" t="s">
        <v>376</v>
      </c>
      <c r="G405" s="335" t="s">
        <v>105</v>
      </c>
      <c r="H405" s="336" t="s">
        <v>9</v>
      </c>
      <c r="I405" s="335">
        <v>0</v>
      </c>
      <c r="J405" s="335" t="s">
        <v>823</v>
      </c>
      <c r="K405" s="335" t="s">
        <v>1258</v>
      </c>
      <c r="M405" s="335" t="s">
        <v>1642</v>
      </c>
      <c r="N405" s="335" t="s">
        <v>388</v>
      </c>
      <c r="O405" s="335" t="s">
        <v>389</v>
      </c>
      <c r="Q405" s="307" t="e">
        <f ca="1">_xll.BDP(M405&amp;" "&amp;N405&amp;" "&amp;O405,Q$2)</f>
        <v>#NAME?</v>
      </c>
      <c r="R405" s="307" t="e">
        <f ca="1">_xll.BDP(M405&amp;" "&amp;N405&amp;" "&amp;O405,R$2)</f>
        <v>#NAME?</v>
      </c>
      <c r="S405" s="307" t="e">
        <f ca="1">_xll.BDP(M405&amp;" "&amp;N405&amp;" "&amp;O405,S$2)</f>
        <v>#NAME?</v>
      </c>
      <c r="T405" s="307" t="e">
        <f ca="1">_xll.BDP(M405&amp;" "&amp;N405&amp;" "&amp;O405,T$2)</f>
        <v>#NAME?</v>
      </c>
      <c r="V405" s="307" t="s">
        <v>1643</v>
      </c>
      <c r="W405" s="307">
        <v>2036</v>
      </c>
      <c r="X405" s="307" t="s">
        <v>390</v>
      </c>
      <c r="Y405" s="307" t="s">
        <v>847</v>
      </c>
    </row>
    <row r="406" spans="2:25">
      <c r="B406" s="335" t="s">
        <v>374</v>
      </c>
      <c r="C406" s="335" t="s">
        <v>375</v>
      </c>
      <c r="D406" s="335" t="s">
        <v>821</v>
      </c>
      <c r="E406" s="335" t="s">
        <v>822</v>
      </c>
      <c r="F406" s="335" t="s">
        <v>376</v>
      </c>
      <c r="G406" s="335" t="s">
        <v>105</v>
      </c>
      <c r="H406" s="336" t="s">
        <v>10</v>
      </c>
      <c r="I406" s="335">
        <v>0</v>
      </c>
      <c r="J406" s="335" t="s">
        <v>823</v>
      </c>
      <c r="K406" s="335" t="s">
        <v>1258</v>
      </c>
      <c r="M406" s="335" t="s">
        <v>1644</v>
      </c>
      <c r="N406" s="335" t="s">
        <v>388</v>
      </c>
      <c r="O406" s="335" t="s">
        <v>389</v>
      </c>
      <c r="Q406" s="307" t="e">
        <f ca="1">_xll.BDP(M406&amp;" "&amp;N406&amp;" "&amp;O406,Q$2)</f>
        <v>#NAME?</v>
      </c>
      <c r="R406" s="307" t="e">
        <f ca="1">_xll.BDP(M406&amp;" "&amp;N406&amp;" "&amp;O406,R$2)</f>
        <v>#NAME?</v>
      </c>
      <c r="S406" s="307" t="e">
        <f ca="1">_xll.BDP(M406&amp;" "&amp;N406&amp;" "&amp;O406,S$2)</f>
        <v>#NAME?</v>
      </c>
      <c r="T406" s="307" t="e">
        <f ca="1">_xll.BDP(M406&amp;" "&amp;N406&amp;" "&amp;O406,T$2)</f>
        <v>#NAME?</v>
      </c>
      <c r="V406" s="307" t="s">
        <v>1645</v>
      </c>
      <c r="W406" s="307">
        <v>2240</v>
      </c>
      <c r="X406" s="307" t="s">
        <v>390</v>
      </c>
      <c r="Y406" s="307" t="s">
        <v>847</v>
      </c>
    </row>
    <row r="407" spans="2:25">
      <c r="B407" s="335" t="s">
        <v>374</v>
      </c>
      <c r="C407" s="335" t="s">
        <v>375</v>
      </c>
      <c r="D407" s="335" t="s">
        <v>821</v>
      </c>
      <c r="E407" s="335" t="s">
        <v>822</v>
      </c>
      <c r="F407" s="335" t="s">
        <v>376</v>
      </c>
      <c r="G407" s="335" t="s">
        <v>105</v>
      </c>
      <c r="H407" s="336" t="s">
        <v>11</v>
      </c>
      <c r="I407" s="335">
        <v>0</v>
      </c>
      <c r="J407" s="335" t="s">
        <v>823</v>
      </c>
      <c r="K407" s="335" t="s">
        <v>1258</v>
      </c>
      <c r="M407" s="335" t="s">
        <v>1646</v>
      </c>
      <c r="N407" s="335" t="s">
        <v>388</v>
      </c>
      <c r="O407" s="335" t="s">
        <v>389</v>
      </c>
      <c r="Q407" s="307" t="e">
        <f ca="1">_xll.BDP(M407&amp;" "&amp;N407&amp;" "&amp;O407,Q$2)</f>
        <v>#NAME?</v>
      </c>
      <c r="R407" s="307" t="e">
        <f ca="1">_xll.BDP(M407&amp;" "&amp;N407&amp;" "&amp;O407,R$2)</f>
        <v>#NAME?</v>
      </c>
      <c r="S407" s="307" t="e">
        <f ca="1">_xll.BDP(M407&amp;" "&amp;N407&amp;" "&amp;O407,S$2)</f>
        <v>#NAME?</v>
      </c>
      <c r="T407" s="307" t="e">
        <f ca="1">_xll.BDP(M407&amp;" "&amp;N407&amp;" "&amp;O407,T$2)</f>
        <v>#NAME?</v>
      </c>
      <c r="V407" s="307" t="s">
        <v>1647</v>
      </c>
      <c r="W407" s="307">
        <v>2419</v>
      </c>
      <c r="X407" s="307" t="s">
        <v>390</v>
      </c>
      <c r="Y407" s="307" t="s">
        <v>847</v>
      </c>
    </row>
    <row r="408" spans="2:25">
      <c r="B408" s="335" t="s">
        <v>374</v>
      </c>
      <c r="C408" s="335" t="s">
        <v>375</v>
      </c>
      <c r="D408" s="335" t="s">
        <v>821</v>
      </c>
      <c r="E408" s="335" t="s">
        <v>822</v>
      </c>
      <c r="F408" s="335" t="s">
        <v>376</v>
      </c>
      <c r="G408" s="335" t="s">
        <v>105</v>
      </c>
      <c r="H408" s="336" t="s">
        <v>13</v>
      </c>
      <c r="I408" s="335">
        <v>0</v>
      </c>
      <c r="J408" s="335" t="s">
        <v>823</v>
      </c>
      <c r="K408" s="335" t="s">
        <v>1258</v>
      </c>
      <c r="M408" s="335" t="s">
        <v>1648</v>
      </c>
      <c r="N408" s="335" t="s">
        <v>388</v>
      </c>
      <c r="O408" s="335" t="s">
        <v>389</v>
      </c>
      <c r="Q408" s="307" t="e">
        <f ca="1">_xll.BDP(M408&amp;" "&amp;N408&amp;" "&amp;O408,Q$2)</f>
        <v>#NAME?</v>
      </c>
      <c r="R408" s="307" t="e">
        <f ca="1">_xll.BDP(M408&amp;" "&amp;N408&amp;" "&amp;O408,R$2)</f>
        <v>#NAME?</v>
      </c>
      <c r="S408" s="307" t="e">
        <f ca="1">_xll.BDP(M408&amp;" "&amp;N408&amp;" "&amp;O408,S$2)</f>
        <v>#NAME?</v>
      </c>
      <c r="T408" s="307" t="e">
        <f ca="1">_xll.BDP(M408&amp;" "&amp;N408&amp;" "&amp;O408,T$2)</f>
        <v>#NAME?</v>
      </c>
      <c r="V408" s="307" t="s">
        <v>1649</v>
      </c>
      <c r="W408" s="307">
        <v>2714</v>
      </c>
      <c r="X408" s="307" t="s">
        <v>390</v>
      </c>
      <c r="Y408" s="307" t="s">
        <v>847</v>
      </c>
    </row>
    <row r="409" spans="2:25">
      <c r="B409" s="335" t="s">
        <v>374</v>
      </c>
      <c r="C409" s="335" t="s">
        <v>375</v>
      </c>
      <c r="D409" s="335" t="s">
        <v>821</v>
      </c>
      <c r="E409" s="335" t="s">
        <v>822</v>
      </c>
      <c r="F409" s="335" t="s">
        <v>376</v>
      </c>
      <c r="G409" s="335" t="s">
        <v>105</v>
      </c>
      <c r="H409" s="336" t="s">
        <v>16</v>
      </c>
      <c r="I409" s="335">
        <v>0</v>
      </c>
      <c r="J409" s="335" t="s">
        <v>823</v>
      </c>
      <c r="K409" s="335" t="s">
        <v>1258</v>
      </c>
      <c r="M409" s="335" t="s">
        <v>1650</v>
      </c>
      <c r="N409" s="335" t="s">
        <v>388</v>
      </c>
      <c r="O409" s="335" t="s">
        <v>389</v>
      </c>
      <c r="Q409" s="307" t="e">
        <f ca="1">_xll.BDP(M409&amp;" "&amp;N409&amp;" "&amp;O409,Q$2)</f>
        <v>#NAME?</v>
      </c>
      <c r="R409" s="307" t="e">
        <f ca="1">_xll.BDP(M409&amp;" "&amp;N409&amp;" "&amp;O409,R$2)</f>
        <v>#NAME?</v>
      </c>
      <c r="S409" s="307" t="e">
        <f ca="1">_xll.BDP(M409&amp;" "&amp;N409&amp;" "&amp;O409,S$2)</f>
        <v>#NAME?</v>
      </c>
      <c r="T409" s="307" t="e">
        <f ca="1">_xll.BDP(M409&amp;" "&amp;N409&amp;" "&amp;O409,T$2)</f>
        <v>#NAME?</v>
      </c>
      <c r="V409" s="307" t="s">
        <v>1651</v>
      </c>
      <c r="W409" s="307">
        <v>3125</v>
      </c>
      <c r="X409" s="307" t="s">
        <v>390</v>
      </c>
      <c r="Y409" s="307" t="s">
        <v>847</v>
      </c>
    </row>
    <row r="410" spans="2:25">
      <c r="B410" s="335" t="s">
        <v>374</v>
      </c>
      <c r="C410" s="335" t="s">
        <v>375</v>
      </c>
      <c r="D410" s="335" t="s">
        <v>821</v>
      </c>
      <c r="E410" s="335" t="s">
        <v>822</v>
      </c>
      <c r="F410" s="335" t="s">
        <v>376</v>
      </c>
      <c r="G410" s="335" t="s">
        <v>105</v>
      </c>
      <c r="H410" s="336" t="s">
        <v>17</v>
      </c>
      <c r="I410" s="335">
        <v>0</v>
      </c>
      <c r="J410" s="335" t="s">
        <v>823</v>
      </c>
      <c r="K410" s="335" t="s">
        <v>1258</v>
      </c>
      <c r="M410" s="335" t="s">
        <v>1652</v>
      </c>
      <c r="N410" s="335" t="s">
        <v>388</v>
      </c>
      <c r="O410" s="335" t="s">
        <v>389</v>
      </c>
      <c r="Q410" s="307" t="e">
        <f ca="1">_xll.BDP(M410&amp;" "&amp;N410&amp;" "&amp;O410,Q$2)</f>
        <v>#NAME?</v>
      </c>
      <c r="R410" s="307" t="e">
        <f ca="1">_xll.BDP(M410&amp;" "&amp;N410&amp;" "&amp;O410,R$2)</f>
        <v>#NAME?</v>
      </c>
      <c r="S410" s="307" t="e">
        <f ca="1">_xll.BDP(M410&amp;" "&amp;N410&amp;" "&amp;O410,S$2)</f>
        <v>#NAME?</v>
      </c>
      <c r="T410" s="307" t="e">
        <f ca="1">_xll.BDP(M410&amp;" "&amp;N410&amp;" "&amp;O410,T$2)</f>
        <v>#NAME?</v>
      </c>
      <c r="V410" s="307" t="s">
        <v>1653</v>
      </c>
      <c r="W410" s="307">
        <v>3593</v>
      </c>
      <c r="X410" s="307" t="s">
        <v>390</v>
      </c>
      <c r="Y410" s="307" t="s">
        <v>859</v>
      </c>
    </row>
    <row r="411" spans="2:25">
      <c r="B411" s="335" t="s">
        <v>374</v>
      </c>
      <c r="C411" s="335" t="s">
        <v>375</v>
      </c>
      <c r="D411" s="335" t="s">
        <v>821</v>
      </c>
      <c r="E411" s="335" t="s">
        <v>822</v>
      </c>
      <c r="F411" s="335" t="s">
        <v>376</v>
      </c>
      <c r="G411" s="335" t="s">
        <v>105</v>
      </c>
      <c r="H411" s="336" t="s">
        <v>104</v>
      </c>
      <c r="I411" s="335">
        <v>0</v>
      </c>
      <c r="J411" s="335" t="s">
        <v>823</v>
      </c>
      <c r="K411" s="335" t="s">
        <v>1258</v>
      </c>
      <c r="M411" s="335" t="s">
        <v>1654</v>
      </c>
      <c r="N411" s="335" t="s">
        <v>388</v>
      </c>
      <c r="O411" s="335" t="s">
        <v>389</v>
      </c>
      <c r="Q411" s="307" t="e">
        <f ca="1">_xll.BDP(M411&amp;" "&amp;N411&amp;" "&amp;O411,Q$2)</f>
        <v>#NAME?</v>
      </c>
      <c r="R411" s="307" t="e">
        <f ca="1">_xll.BDP(M411&amp;" "&amp;N411&amp;" "&amp;O411,R$2)</f>
        <v>#NAME?</v>
      </c>
      <c r="S411" s="307" t="e">
        <f ca="1">_xll.BDP(M411&amp;" "&amp;N411&amp;" "&amp;O411,S$2)</f>
        <v>#NAME?</v>
      </c>
      <c r="T411" s="307" t="e">
        <f ca="1">_xll.BDP(M411&amp;" "&amp;N411&amp;" "&amp;O411,T$2)</f>
        <v>#NAME?</v>
      </c>
      <c r="V411" s="307" t="s">
        <v>1655</v>
      </c>
      <c r="W411" s="307">
        <v>3892</v>
      </c>
      <c r="X411" s="307" t="s">
        <v>390</v>
      </c>
      <c r="Y411" s="307" t="s">
        <v>859</v>
      </c>
    </row>
    <row r="412" spans="2:25">
      <c r="B412" s="335" t="s">
        <v>374</v>
      </c>
      <c r="C412" s="335" t="s">
        <v>375</v>
      </c>
      <c r="D412" s="335" t="s">
        <v>821</v>
      </c>
      <c r="E412" s="335" t="s">
        <v>822</v>
      </c>
      <c r="F412" s="335" t="s">
        <v>376</v>
      </c>
      <c r="G412" s="335" t="s">
        <v>106</v>
      </c>
      <c r="H412" s="335" t="s">
        <v>23</v>
      </c>
      <c r="I412" s="335">
        <v>0</v>
      </c>
      <c r="J412" s="335" t="s">
        <v>823</v>
      </c>
      <c r="K412" s="335" t="s">
        <v>1258</v>
      </c>
      <c r="M412" s="335" t="s">
        <v>1656</v>
      </c>
      <c r="N412" s="335" t="s">
        <v>388</v>
      </c>
      <c r="O412" s="335" t="s">
        <v>389</v>
      </c>
      <c r="Q412" s="307" t="e">
        <f ca="1">_xll.BDP(M412&amp;" "&amp;N412&amp;" "&amp;O412,Q$2)</f>
        <v>#NAME?</v>
      </c>
      <c r="R412" s="307" t="e">
        <f ca="1">_xll.BDP(M412&amp;" "&amp;N412&amp;" "&amp;O412,R$2)</f>
        <v>#NAME?</v>
      </c>
      <c r="S412" s="307" t="e">
        <f ca="1">_xll.BDP(M412&amp;" "&amp;N412&amp;" "&amp;O412,S$2)</f>
        <v>#NAME?</v>
      </c>
      <c r="T412" s="307" t="e">
        <f ca="1">_xll.BDP(M412&amp;" "&amp;N412&amp;" "&amp;O412,T$2)</f>
        <v>#NAME?</v>
      </c>
      <c r="V412" s="307" t="s">
        <v>1657</v>
      </c>
      <c r="W412" s="307">
        <v>496</v>
      </c>
      <c r="X412" s="307" t="s">
        <v>390</v>
      </c>
      <c r="Y412" s="307" t="s">
        <v>1658</v>
      </c>
    </row>
    <row r="413" spans="2:25">
      <c r="B413" s="335" t="s">
        <v>374</v>
      </c>
      <c r="C413" s="335" t="s">
        <v>375</v>
      </c>
      <c r="D413" s="335" t="s">
        <v>821</v>
      </c>
      <c r="E413" s="335" t="s">
        <v>822</v>
      </c>
      <c r="F413" s="335" t="s">
        <v>376</v>
      </c>
      <c r="G413" s="335" t="s">
        <v>106</v>
      </c>
      <c r="H413" s="335" t="s">
        <v>398</v>
      </c>
      <c r="I413" s="335">
        <v>0</v>
      </c>
      <c r="J413" s="335" t="s">
        <v>823</v>
      </c>
      <c r="K413" s="335" t="s">
        <v>1258</v>
      </c>
      <c r="M413" s="335" t="s">
        <v>1659</v>
      </c>
      <c r="N413" s="335" t="s">
        <v>388</v>
      </c>
      <c r="O413" s="335" t="s">
        <v>389</v>
      </c>
      <c r="Q413" s="307" t="e">
        <f ca="1">_xll.BDP(M413&amp;" "&amp;N413&amp;" "&amp;O413,Q$2)</f>
        <v>#NAME?</v>
      </c>
      <c r="R413" s="307" t="e">
        <f ca="1">_xll.BDP(M413&amp;" "&amp;N413&amp;" "&amp;O413,R$2)</f>
        <v>#NAME?</v>
      </c>
      <c r="S413" s="307" t="e">
        <f ca="1">_xll.BDP(M413&amp;" "&amp;N413&amp;" "&amp;O413,S$2)</f>
        <v>#NAME?</v>
      </c>
      <c r="T413" s="307" t="e">
        <f ca="1">_xll.BDP(M413&amp;" "&amp;N413&amp;" "&amp;O413,T$2)</f>
        <v>#NAME?</v>
      </c>
      <c r="V413" s="307" t="s">
        <v>1660</v>
      </c>
      <c r="W413" s="307">
        <v>697</v>
      </c>
      <c r="X413" s="307" t="s">
        <v>390</v>
      </c>
      <c r="Y413" s="307" t="s">
        <v>870</v>
      </c>
    </row>
    <row r="414" spans="2:25">
      <c r="B414" s="335" t="s">
        <v>374</v>
      </c>
      <c r="C414" s="335" t="s">
        <v>375</v>
      </c>
      <c r="D414" s="335" t="s">
        <v>821</v>
      </c>
      <c r="E414" s="335" t="s">
        <v>822</v>
      </c>
      <c r="F414" s="335" t="s">
        <v>376</v>
      </c>
      <c r="G414" s="335" t="s">
        <v>106</v>
      </c>
      <c r="H414" s="336" t="s">
        <v>26</v>
      </c>
      <c r="I414" s="335">
        <v>0</v>
      </c>
      <c r="J414" s="335" t="s">
        <v>823</v>
      </c>
      <c r="K414" s="335" t="s">
        <v>1258</v>
      </c>
      <c r="M414" s="335" t="s">
        <v>1661</v>
      </c>
      <c r="N414" s="335" t="s">
        <v>388</v>
      </c>
      <c r="O414" s="335" t="s">
        <v>389</v>
      </c>
      <c r="Q414" s="307" t="e">
        <f ca="1">_xll.BDP(M414&amp;" "&amp;N414&amp;" "&amp;O414,Q$2)</f>
        <v>#NAME?</v>
      </c>
      <c r="R414" s="307" t="e">
        <f ca="1">_xll.BDP(M414&amp;" "&amp;N414&amp;" "&amp;O414,R$2)</f>
        <v>#NAME?</v>
      </c>
      <c r="S414" s="307" t="e">
        <f ca="1">_xll.BDP(M414&amp;" "&amp;N414&amp;" "&amp;O414,S$2)</f>
        <v>#NAME?</v>
      </c>
      <c r="T414" s="307" t="e">
        <f ca="1">_xll.BDP(M414&amp;" "&amp;N414&amp;" "&amp;O414,T$2)</f>
        <v>#NAME?</v>
      </c>
      <c r="V414" s="307" t="s">
        <v>1662</v>
      </c>
      <c r="W414" s="307">
        <v>803</v>
      </c>
      <c r="X414" s="307" t="s">
        <v>390</v>
      </c>
      <c r="Y414" s="307" t="s">
        <v>870</v>
      </c>
    </row>
    <row r="415" spans="2:25">
      <c r="B415" s="335" t="s">
        <v>374</v>
      </c>
      <c r="C415" s="335" t="s">
        <v>375</v>
      </c>
      <c r="D415" s="335" t="s">
        <v>821</v>
      </c>
      <c r="E415" s="335" t="s">
        <v>822</v>
      </c>
      <c r="F415" s="335" t="s">
        <v>376</v>
      </c>
      <c r="G415" s="335" t="s">
        <v>106</v>
      </c>
      <c r="H415" s="336" t="s">
        <v>19</v>
      </c>
      <c r="I415" s="335">
        <v>0</v>
      </c>
      <c r="J415" s="335" t="s">
        <v>823</v>
      </c>
      <c r="K415" s="335" t="s">
        <v>1258</v>
      </c>
      <c r="M415" s="335" t="s">
        <v>1663</v>
      </c>
      <c r="N415" s="335" t="s">
        <v>388</v>
      </c>
      <c r="O415" s="335" t="s">
        <v>389</v>
      </c>
      <c r="Q415" s="307" t="e">
        <f ca="1">_xll.BDP(M415&amp;" "&amp;N415&amp;" "&amp;O415,Q$2)</f>
        <v>#NAME?</v>
      </c>
      <c r="R415" s="307" t="e">
        <f ca="1">_xll.BDP(M415&amp;" "&amp;N415&amp;" "&amp;O415,R$2)</f>
        <v>#NAME?</v>
      </c>
      <c r="S415" s="307" t="e">
        <f ca="1">_xll.BDP(M415&amp;" "&amp;N415&amp;" "&amp;O415,S$2)</f>
        <v>#NAME?</v>
      </c>
      <c r="T415" s="307" t="e">
        <f ca="1">_xll.BDP(M415&amp;" "&amp;N415&amp;" "&amp;O415,T$2)</f>
        <v>#NAME?</v>
      </c>
      <c r="V415" s="307" t="s">
        <v>1664</v>
      </c>
      <c r="W415" s="307">
        <v>1083</v>
      </c>
      <c r="X415" s="307" t="s">
        <v>390</v>
      </c>
      <c r="Y415" s="307" t="s">
        <v>870</v>
      </c>
    </row>
    <row r="416" spans="2:25">
      <c r="B416" s="335" t="s">
        <v>374</v>
      </c>
      <c r="C416" s="335" t="s">
        <v>375</v>
      </c>
      <c r="D416" s="335" t="s">
        <v>821</v>
      </c>
      <c r="E416" s="335" t="s">
        <v>822</v>
      </c>
      <c r="F416" s="335" t="s">
        <v>376</v>
      </c>
      <c r="G416" s="335" t="s">
        <v>106</v>
      </c>
      <c r="H416" s="336" t="s">
        <v>412</v>
      </c>
      <c r="I416" s="335">
        <v>0</v>
      </c>
      <c r="J416" s="335" t="s">
        <v>823</v>
      </c>
      <c r="K416" s="335" t="s">
        <v>1258</v>
      </c>
      <c r="M416" s="335" t="s">
        <v>1665</v>
      </c>
      <c r="N416" s="335" t="s">
        <v>388</v>
      </c>
      <c r="O416" s="335" t="s">
        <v>389</v>
      </c>
      <c r="Q416" s="307" t="e">
        <f ca="1">_xll.BDP(M416&amp;" "&amp;N416&amp;" "&amp;O416,Q$2)</f>
        <v>#NAME?</v>
      </c>
      <c r="R416" s="307" t="e">
        <f ca="1">_xll.BDP(M416&amp;" "&amp;N416&amp;" "&amp;O416,R$2)</f>
        <v>#NAME?</v>
      </c>
      <c r="S416" s="307" t="e">
        <f ca="1">_xll.BDP(M416&amp;" "&amp;N416&amp;" "&amp;O416,S$2)</f>
        <v>#NAME?</v>
      </c>
      <c r="T416" s="307" t="e">
        <f ca="1">_xll.BDP(M416&amp;" "&amp;N416&amp;" "&amp;O416,T$2)</f>
        <v>#NAME?</v>
      </c>
      <c r="V416" s="307" t="s">
        <v>1666</v>
      </c>
      <c r="W416" s="307">
        <v>1300</v>
      </c>
      <c r="X416" s="307" t="s">
        <v>390</v>
      </c>
      <c r="Y416" s="307" t="s">
        <v>870</v>
      </c>
    </row>
    <row r="417" spans="2:25">
      <c r="B417" s="335" t="s">
        <v>374</v>
      </c>
      <c r="C417" s="335" t="s">
        <v>375</v>
      </c>
      <c r="D417" s="335" t="s">
        <v>821</v>
      </c>
      <c r="E417" s="335" t="s">
        <v>822</v>
      </c>
      <c r="F417" s="335" t="s">
        <v>376</v>
      </c>
      <c r="G417" s="335" t="s">
        <v>106</v>
      </c>
      <c r="H417" s="336" t="s">
        <v>7</v>
      </c>
      <c r="I417" s="335">
        <v>0</v>
      </c>
      <c r="J417" s="335" t="s">
        <v>823</v>
      </c>
      <c r="K417" s="335" t="s">
        <v>1258</v>
      </c>
      <c r="M417" s="335" t="s">
        <v>1667</v>
      </c>
      <c r="N417" s="335" t="s">
        <v>388</v>
      </c>
      <c r="O417" s="335" t="s">
        <v>389</v>
      </c>
      <c r="Q417" s="307" t="e">
        <f ca="1">_xll.BDP(M417&amp;" "&amp;N417&amp;" "&amp;O417,Q$2)</f>
        <v>#NAME?</v>
      </c>
      <c r="R417" s="307" t="e">
        <f ca="1">_xll.BDP(M417&amp;" "&amp;N417&amp;" "&amp;O417,R$2)</f>
        <v>#NAME?</v>
      </c>
      <c r="S417" s="307" t="e">
        <f ca="1">_xll.BDP(M417&amp;" "&amp;N417&amp;" "&amp;O417,S$2)</f>
        <v>#NAME?</v>
      </c>
      <c r="T417" s="307" t="e">
        <f ca="1">_xll.BDP(M417&amp;" "&amp;N417&amp;" "&amp;O417,T$2)</f>
        <v>#NAME?</v>
      </c>
      <c r="V417" s="307" t="s">
        <v>1668</v>
      </c>
      <c r="W417" s="307">
        <v>1476</v>
      </c>
      <c r="X417" s="307" t="s">
        <v>390</v>
      </c>
      <c r="Y417" s="307" t="s">
        <v>973</v>
      </c>
    </row>
    <row r="418" spans="2:25">
      <c r="B418" s="335" t="s">
        <v>374</v>
      </c>
      <c r="C418" s="335" t="s">
        <v>375</v>
      </c>
      <c r="D418" s="335" t="s">
        <v>821</v>
      </c>
      <c r="E418" s="335" t="s">
        <v>822</v>
      </c>
      <c r="F418" s="335" t="s">
        <v>376</v>
      </c>
      <c r="G418" s="335" t="s">
        <v>106</v>
      </c>
      <c r="H418" s="336" t="s">
        <v>154</v>
      </c>
      <c r="I418" s="335">
        <v>0</v>
      </c>
      <c r="J418" s="335" t="s">
        <v>823</v>
      </c>
      <c r="K418" s="335" t="s">
        <v>1258</v>
      </c>
      <c r="M418" s="335" t="s">
        <v>1669</v>
      </c>
      <c r="N418" s="335" t="s">
        <v>388</v>
      </c>
      <c r="O418" s="335" t="s">
        <v>389</v>
      </c>
      <c r="Q418" s="307" t="e">
        <f ca="1">_xll.BDP(M418&amp;" "&amp;N418&amp;" "&amp;O418,Q$2)</f>
        <v>#NAME?</v>
      </c>
      <c r="R418" s="307" t="e">
        <f ca="1">_xll.BDP(M418&amp;" "&amp;N418&amp;" "&amp;O418,R$2)</f>
        <v>#NAME?</v>
      </c>
      <c r="S418" s="307" t="e">
        <f ca="1">_xll.BDP(M418&amp;" "&amp;N418&amp;" "&amp;O418,S$2)</f>
        <v>#NAME?</v>
      </c>
      <c r="T418" s="307" t="e">
        <f ca="1">_xll.BDP(M418&amp;" "&amp;N418&amp;" "&amp;O418,T$2)</f>
        <v>#NAME?</v>
      </c>
      <c r="V418" s="307" t="s">
        <v>1670</v>
      </c>
      <c r="W418" s="307">
        <v>1762</v>
      </c>
      <c r="X418" s="307" t="s">
        <v>390</v>
      </c>
      <c r="Y418" s="307" t="s">
        <v>870</v>
      </c>
    </row>
    <row r="419" spans="2:25">
      <c r="B419" s="335" t="s">
        <v>374</v>
      </c>
      <c r="C419" s="335" t="s">
        <v>375</v>
      </c>
      <c r="D419" s="335" t="s">
        <v>821</v>
      </c>
      <c r="E419" s="335" t="s">
        <v>822</v>
      </c>
      <c r="F419" s="335" t="s">
        <v>376</v>
      </c>
      <c r="G419" s="335" t="s">
        <v>106</v>
      </c>
      <c r="H419" s="336" t="s">
        <v>8</v>
      </c>
      <c r="I419" s="335">
        <v>0</v>
      </c>
      <c r="J419" s="335" t="s">
        <v>823</v>
      </c>
      <c r="K419" s="335" t="s">
        <v>1258</v>
      </c>
      <c r="M419" s="335" t="s">
        <v>1671</v>
      </c>
      <c r="N419" s="335" t="s">
        <v>388</v>
      </c>
      <c r="O419" s="335" t="s">
        <v>389</v>
      </c>
      <c r="Q419" s="307" t="e">
        <f ca="1">_xll.BDP(M419&amp;" "&amp;N419&amp;" "&amp;O419,Q$2)</f>
        <v>#NAME?</v>
      </c>
      <c r="R419" s="307" t="e">
        <f ca="1">_xll.BDP(M419&amp;" "&amp;N419&amp;" "&amp;O419,R$2)</f>
        <v>#NAME?</v>
      </c>
      <c r="S419" s="307" t="e">
        <f ca="1">_xll.BDP(M419&amp;" "&amp;N419&amp;" "&amp;O419,S$2)</f>
        <v>#NAME?</v>
      </c>
      <c r="T419" s="307" t="e">
        <f ca="1">_xll.BDP(M419&amp;" "&amp;N419&amp;" "&amp;O419,T$2)</f>
        <v>#NAME?</v>
      </c>
      <c r="V419" s="307" t="s">
        <v>1672</v>
      </c>
      <c r="W419" s="307">
        <v>2004</v>
      </c>
      <c r="X419" s="307" t="s">
        <v>390</v>
      </c>
      <c r="Y419" s="307" t="s">
        <v>847</v>
      </c>
    </row>
    <row r="420" spans="2:25">
      <c r="B420" s="335" t="s">
        <v>374</v>
      </c>
      <c r="C420" s="335" t="s">
        <v>375</v>
      </c>
      <c r="D420" s="335" t="s">
        <v>821</v>
      </c>
      <c r="E420" s="335" t="s">
        <v>822</v>
      </c>
      <c r="F420" s="335" t="s">
        <v>376</v>
      </c>
      <c r="G420" s="335" t="s">
        <v>106</v>
      </c>
      <c r="H420" s="336" t="s">
        <v>9</v>
      </c>
      <c r="I420" s="335">
        <v>0</v>
      </c>
      <c r="J420" s="335" t="s">
        <v>823</v>
      </c>
      <c r="K420" s="335" t="s">
        <v>1258</v>
      </c>
      <c r="M420" s="335" t="s">
        <v>1673</v>
      </c>
      <c r="N420" s="335" t="s">
        <v>388</v>
      </c>
      <c r="O420" s="335" t="s">
        <v>389</v>
      </c>
      <c r="Q420" s="307" t="e">
        <f ca="1">_xll.BDP(M420&amp;" "&amp;N420&amp;" "&amp;O420,Q$2)</f>
        <v>#NAME?</v>
      </c>
      <c r="R420" s="307" t="e">
        <f ca="1">_xll.BDP(M420&amp;" "&amp;N420&amp;" "&amp;O420,R$2)</f>
        <v>#NAME?</v>
      </c>
      <c r="S420" s="307" t="e">
        <f ca="1">_xll.BDP(M420&amp;" "&amp;N420&amp;" "&amp;O420,S$2)</f>
        <v>#NAME?</v>
      </c>
      <c r="T420" s="307" t="e">
        <f ca="1">_xll.BDP(M420&amp;" "&amp;N420&amp;" "&amp;O420,T$2)</f>
        <v>#NAME?</v>
      </c>
      <c r="V420" s="307" t="s">
        <v>1674</v>
      </c>
      <c r="W420" s="307">
        <v>2338</v>
      </c>
      <c r="X420" s="307" t="s">
        <v>390</v>
      </c>
      <c r="Y420" s="307" t="s">
        <v>847</v>
      </c>
    </row>
    <row r="421" spans="2:25">
      <c r="B421" s="335" t="s">
        <v>374</v>
      </c>
      <c r="C421" s="335" t="s">
        <v>375</v>
      </c>
      <c r="D421" s="335" t="s">
        <v>821</v>
      </c>
      <c r="E421" s="335" t="s">
        <v>822</v>
      </c>
      <c r="F421" s="335" t="s">
        <v>376</v>
      </c>
      <c r="G421" s="335" t="s">
        <v>106</v>
      </c>
      <c r="H421" s="336" t="s">
        <v>10</v>
      </c>
      <c r="I421" s="335">
        <v>0</v>
      </c>
      <c r="J421" s="335" t="s">
        <v>823</v>
      </c>
      <c r="K421" s="335" t="s">
        <v>1258</v>
      </c>
      <c r="M421" s="335" t="s">
        <v>1675</v>
      </c>
      <c r="N421" s="335" t="s">
        <v>388</v>
      </c>
      <c r="O421" s="335" t="s">
        <v>389</v>
      </c>
      <c r="Q421" s="307" t="e">
        <f ca="1">_xll.BDP(M421&amp;" "&amp;N421&amp;" "&amp;O421,Q$2)</f>
        <v>#NAME?</v>
      </c>
      <c r="R421" s="307" t="e">
        <f ca="1">_xll.BDP(M421&amp;" "&amp;N421&amp;" "&amp;O421,R$2)</f>
        <v>#NAME?</v>
      </c>
      <c r="S421" s="307" t="e">
        <f ca="1">_xll.BDP(M421&amp;" "&amp;N421&amp;" "&amp;O421,S$2)</f>
        <v>#NAME?</v>
      </c>
      <c r="T421" s="307" t="e">
        <f ca="1">_xll.BDP(M421&amp;" "&amp;N421&amp;" "&amp;O421,T$2)</f>
        <v>#NAME?</v>
      </c>
      <c r="V421" s="307" t="s">
        <v>1676</v>
      </c>
      <c r="W421" s="307">
        <v>2568</v>
      </c>
      <c r="X421" s="307" t="s">
        <v>390</v>
      </c>
      <c r="Y421" s="307" t="s">
        <v>847</v>
      </c>
    </row>
    <row r="422" spans="2:25">
      <c r="B422" s="335" t="s">
        <v>374</v>
      </c>
      <c r="C422" s="335" t="s">
        <v>375</v>
      </c>
      <c r="D422" s="335" t="s">
        <v>821</v>
      </c>
      <c r="E422" s="335" t="s">
        <v>822</v>
      </c>
      <c r="F422" s="335" t="s">
        <v>376</v>
      </c>
      <c r="G422" s="335" t="s">
        <v>106</v>
      </c>
      <c r="H422" s="336" t="s">
        <v>11</v>
      </c>
      <c r="I422" s="335">
        <v>0</v>
      </c>
      <c r="J422" s="335" t="s">
        <v>823</v>
      </c>
      <c r="K422" s="335" t="s">
        <v>1258</v>
      </c>
      <c r="M422" s="335" t="s">
        <v>1677</v>
      </c>
      <c r="N422" s="335" t="s">
        <v>388</v>
      </c>
      <c r="O422" s="335" t="s">
        <v>389</v>
      </c>
      <c r="Q422" s="307" t="e">
        <f ca="1">_xll.BDP(M422&amp;" "&amp;N422&amp;" "&amp;O422,Q$2)</f>
        <v>#NAME?</v>
      </c>
      <c r="R422" s="307" t="e">
        <f ca="1">_xll.BDP(M422&amp;" "&amp;N422&amp;" "&amp;O422,R$2)</f>
        <v>#NAME?</v>
      </c>
      <c r="S422" s="307" t="e">
        <f ca="1">_xll.BDP(M422&amp;" "&amp;N422&amp;" "&amp;O422,S$2)</f>
        <v>#NAME?</v>
      </c>
      <c r="T422" s="307" t="e">
        <f ca="1">_xll.BDP(M422&amp;" "&amp;N422&amp;" "&amp;O422,T$2)</f>
        <v>#NAME?</v>
      </c>
      <c r="V422" s="307" t="s">
        <v>1678</v>
      </c>
      <c r="W422" s="307">
        <v>2745</v>
      </c>
      <c r="X422" s="307" t="s">
        <v>390</v>
      </c>
      <c r="Y422" s="307" t="s">
        <v>847</v>
      </c>
    </row>
    <row r="423" spans="2:25">
      <c r="B423" s="335" t="s">
        <v>374</v>
      </c>
      <c r="C423" s="335" t="s">
        <v>375</v>
      </c>
      <c r="D423" s="335" t="s">
        <v>821</v>
      </c>
      <c r="E423" s="335" t="s">
        <v>822</v>
      </c>
      <c r="F423" s="335" t="s">
        <v>376</v>
      </c>
      <c r="G423" s="335" t="s">
        <v>106</v>
      </c>
      <c r="H423" s="336" t="s">
        <v>13</v>
      </c>
      <c r="I423" s="335">
        <v>0</v>
      </c>
      <c r="J423" s="335" t="s">
        <v>823</v>
      </c>
      <c r="K423" s="335" t="s">
        <v>1258</v>
      </c>
      <c r="M423" s="335" t="s">
        <v>1679</v>
      </c>
      <c r="N423" s="335" t="s">
        <v>388</v>
      </c>
      <c r="O423" s="335" t="s">
        <v>389</v>
      </c>
      <c r="Q423" s="307" t="e">
        <f ca="1">_xll.BDP(M423&amp;" "&amp;N423&amp;" "&amp;O423,Q$2)</f>
        <v>#NAME?</v>
      </c>
      <c r="R423" s="307" t="e">
        <f ca="1">_xll.BDP(M423&amp;" "&amp;N423&amp;" "&amp;O423,R$2)</f>
        <v>#NAME?</v>
      </c>
      <c r="S423" s="307" t="e">
        <f ca="1">_xll.BDP(M423&amp;" "&amp;N423&amp;" "&amp;O423,S$2)</f>
        <v>#NAME?</v>
      </c>
      <c r="T423" s="307" t="e">
        <f ca="1">_xll.BDP(M423&amp;" "&amp;N423&amp;" "&amp;O423,T$2)</f>
        <v>#NAME?</v>
      </c>
      <c r="V423" s="307" t="s">
        <v>1680</v>
      </c>
      <c r="W423" s="307">
        <v>3088</v>
      </c>
      <c r="X423" s="307" t="s">
        <v>390</v>
      </c>
      <c r="Y423" s="307" t="s">
        <v>847</v>
      </c>
    </row>
    <row r="424" spans="2:25">
      <c r="B424" s="335" t="s">
        <v>374</v>
      </c>
      <c r="C424" s="335" t="s">
        <v>375</v>
      </c>
      <c r="D424" s="335" t="s">
        <v>821</v>
      </c>
      <c r="E424" s="335" t="s">
        <v>822</v>
      </c>
      <c r="F424" s="335" t="s">
        <v>376</v>
      </c>
      <c r="G424" s="335" t="s">
        <v>106</v>
      </c>
      <c r="H424" s="336" t="s">
        <v>16</v>
      </c>
      <c r="I424" s="335">
        <v>0</v>
      </c>
      <c r="J424" s="335" t="s">
        <v>823</v>
      </c>
      <c r="K424" s="335" t="s">
        <v>1258</v>
      </c>
      <c r="M424" s="335" t="s">
        <v>1681</v>
      </c>
      <c r="N424" s="335" t="s">
        <v>388</v>
      </c>
      <c r="O424" s="335" t="s">
        <v>389</v>
      </c>
      <c r="Q424" s="307" t="e">
        <f ca="1">_xll.BDP(M424&amp;" "&amp;N424&amp;" "&amp;O424,Q$2)</f>
        <v>#NAME?</v>
      </c>
      <c r="R424" s="307" t="e">
        <f ca="1">_xll.BDP(M424&amp;" "&amp;N424&amp;" "&amp;O424,R$2)</f>
        <v>#NAME?</v>
      </c>
      <c r="S424" s="307" t="e">
        <f ca="1">_xll.BDP(M424&amp;" "&amp;N424&amp;" "&amp;O424,S$2)</f>
        <v>#NAME?</v>
      </c>
      <c r="T424" s="307" t="e">
        <f ca="1">_xll.BDP(M424&amp;" "&amp;N424&amp;" "&amp;O424,T$2)</f>
        <v>#NAME?</v>
      </c>
      <c r="V424" s="307" t="s">
        <v>1682</v>
      </c>
      <c r="W424" s="307">
        <v>3518</v>
      </c>
      <c r="X424" s="307" t="s">
        <v>390</v>
      </c>
      <c r="Y424" s="307" t="s">
        <v>847</v>
      </c>
    </row>
    <row r="425" spans="2:25">
      <c r="B425" s="335" t="s">
        <v>374</v>
      </c>
      <c r="C425" s="335" t="s">
        <v>375</v>
      </c>
      <c r="D425" s="335" t="s">
        <v>821</v>
      </c>
      <c r="E425" s="335" t="s">
        <v>822</v>
      </c>
      <c r="F425" s="335" t="s">
        <v>376</v>
      </c>
      <c r="G425" s="335" t="s">
        <v>106</v>
      </c>
      <c r="H425" s="336" t="s">
        <v>17</v>
      </c>
      <c r="I425" s="335">
        <v>0</v>
      </c>
      <c r="J425" s="335" t="s">
        <v>823</v>
      </c>
      <c r="K425" s="335" t="s">
        <v>1258</v>
      </c>
      <c r="M425" s="335" t="s">
        <v>1683</v>
      </c>
      <c r="N425" s="335" t="s">
        <v>388</v>
      </c>
      <c r="O425" s="335" t="s">
        <v>389</v>
      </c>
      <c r="Q425" s="307" t="e">
        <f ca="1">_xll.BDP(M425&amp;" "&amp;N425&amp;" "&amp;O425,Q$2)</f>
        <v>#NAME?</v>
      </c>
      <c r="R425" s="307" t="e">
        <f ca="1">_xll.BDP(M425&amp;" "&amp;N425&amp;" "&amp;O425,R$2)</f>
        <v>#NAME?</v>
      </c>
      <c r="S425" s="307" t="e">
        <f ca="1">_xll.BDP(M425&amp;" "&amp;N425&amp;" "&amp;O425,S$2)</f>
        <v>#NAME?</v>
      </c>
      <c r="T425" s="307" t="e">
        <f ca="1">_xll.BDP(M425&amp;" "&amp;N425&amp;" "&amp;O425,T$2)</f>
        <v>#NAME?</v>
      </c>
      <c r="V425" s="307" t="s">
        <v>1684</v>
      </c>
      <c r="W425" s="307">
        <v>4079</v>
      </c>
      <c r="X425" s="307" t="s">
        <v>390</v>
      </c>
      <c r="Y425" s="307" t="s">
        <v>859</v>
      </c>
    </row>
    <row r="426" spans="2:25">
      <c r="B426" s="335" t="s">
        <v>374</v>
      </c>
      <c r="C426" s="335" t="s">
        <v>375</v>
      </c>
      <c r="D426" s="335" t="s">
        <v>821</v>
      </c>
      <c r="E426" s="335" t="s">
        <v>822</v>
      </c>
      <c r="F426" s="335" t="s">
        <v>376</v>
      </c>
      <c r="G426" s="335" t="s">
        <v>106</v>
      </c>
      <c r="H426" s="336" t="s">
        <v>104</v>
      </c>
      <c r="I426" s="335">
        <v>0</v>
      </c>
      <c r="J426" s="335" t="s">
        <v>823</v>
      </c>
      <c r="K426" s="335" t="s">
        <v>1258</v>
      </c>
      <c r="M426" s="335" t="s">
        <v>1685</v>
      </c>
      <c r="N426" s="335" t="s">
        <v>388</v>
      </c>
      <c r="O426" s="335" t="s">
        <v>389</v>
      </c>
      <c r="Q426" s="307" t="e">
        <f ca="1">_xll.BDP(M426&amp;" "&amp;N426&amp;" "&amp;O426,Q$2)</f>
        <v>#NAME?</v>
      </c>
      <c r="R426" s="307" t="e">
        <f ca="1">_xll.BDP(M426&amp;" "&amp;N426&amp;" "&amp;O426,R$2)</f>
        <v>#NAME?</v>
      </c>
      <c r="S426" s="307" t="e">
        <f ca="1">_xll.BDP(M426&amp;" "&amp;N426&amp;" "&amp;O426,S$2)</f>
        <v>#NAME?</v>
      </c>
      <c r="T426" s="307" t="e">
        <f ca="1">_xll.BDP(M426&amp;" "&amp;N426&amp;" "&amp;O426,T$2)</f>
        <v>#NAME?</v>
      </c>
      <c r="V426" s="307" t="s">
        <v>1686</v>
      </c>
      <c r="W426" s="307">
        <v>4426</v>
      </c>
      <c r="X426" s="307" t="s">
        <v>390</v>
      </c>
      <c r="Y426" s="307" t="s">
        <v>859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  <outlinePr summaryBelow="0" summaryRight="0"/>
  </sheetPr>
  <dimension ref="A1:AC28"/>
  <sheetViews>
    <sheetView showGridLines="0" topLeftCell="N1" zoomScale="70" zoomScaleNormal="70" workbookViewId="0">
      <selection activeCell="X5" sqref="X5"/>
    </sheetView>
  </sheetViews>
  <sheetFormatPr defaultColWidth="11.42578125" defaultRowHeight="15"/>
  <cols>
    <col min="1" max="1" width="6.5703125" style="335" customWidth="1"/>
    <col min="2" max="3" width="11.42578125" style="335"/>
    <col min="4" max="4" width="16.28515625" style="335" customWidth="1"/>
    <col min="5" max="5" width="27.28515625" style="335" customWidth="1"/>
    <col min="6" max="6" width="19.140625" style="335" bestFit="1" customWidth="1"/>
    <col min="7" max="8" width="15" style="335" bestFit="1" customWidth="1"/>
    <col min="9" max="9" width="15" style="335" customWidth="1"/>
    <col min="10" max="10" width="19.140625" style="335" bestFit="1" customWidth="1"/>
    <col min="11" max="11" width="32.42578125" style="335" bestFit="1" customWidth="1"/>
    <col min="12" max="12" width="11.42578125" style="335"/>
    <col min="13" max="15" width="19.85546875" style="335" customWidth="1"/>
    <col min="16" max="16" width="11.42578125" style="335"/>
    <col min="17" max="17" width="29" style="335" customWidth="1"/>
    <col min="18" max="20" width="11.42578125" style="335"/>
    <col min="21" max="21" width="14.7109375" style="335" bestFit="1" customWidth="1"/>
    <col min="22" max="22" width="17.85546875" style="335" bestFit="1" customWidth="1"/>
    <col min="23" max="23" width="11.42578125" style="335"/>
    <col min="24" max="24" width="29" style="335" customWidth="1"/>
    <col min="25" max="27" width="11.42578125" style="335"/>
    <col min="28" max="28" width="14.7109375" style="335" bestFit="1" customWidth="1"/>
    <col min="29" max="29" width="17.85546875" style="335" bestFit="1" customWidth="1"/>
    <col min="30" max="16384" width="11.42578125" style="335"/>
  </cols>
  <sheetData>
    <row r="1" spans="1:29">
      <c r="A1" s="295"/>
      <c r="B1" s="334"/>
      <c r="C1" s="334"/>
      <c r="D1" s="295"/>
      <c r="E1" s="295"/>
      <c r="F1" s="295"/>
      <c r="G1" s="334"/>
      <c r="H1" s="334"/>
      <c r="I1" s="334"/>
      <c r="J1" s="334"/>
      <c r="K1" s="295"/>
      <c r="L1" s="295"/>
      <c r="M1" s="295"/>
      <c r="N1" s="295"/>
      <c r="O1" s="295"/>
      <c r="P1" s="295"/>
    </row>
    <row r="2" spans="1:29">
      <c r="A2" s="295"/>
      <c r="B2" s="290" t="s">
        <v>357</v>
      </c>
      <c r="C2" s="290" t="s">
        <v>358</v>
      </c>
      <c r="D2" s="290" t="s">
        <v>817</v>
      </c>
      <c r="E2" s="290" t="s">
        <v>360</v>
      </c>
      <c r="F2" s="290" t="s">
        <v>361</v>
      </c>
      <c r="G2" s="290" t="s">
        <v>47</v>
      </c>
      <c r="H2" s="290" t="s">
        <v>362</v>
      </c>
      <c r="I2" s="290" t="s">
        <v>819</v>
      </c>
      <c r="J2" s="290" t="s">
        <v>383</v>
      </c>
      <c r="K2" s="290" t="s">
        <v>291</v>
      </c>
      <c r="L2" s="290" t="s">
        <v>363</v>
      </c>
      <c r="M2" s="290" t="s">
        <v>364</v>
      </c>
      <c r="N2" s="290" t="s">
        <v>365</v>
      </c>
      <c r="O2" s="290" t="s">
        <v>366</v>
      </c>
      <c r="P2" s="290" t="s">
        <v>367</v>
      </c>
      <c r="Q2" s="292" t="s">
        <v>370</v>
      </c>
      <c r="R2" s="292" t="s">
        <v>371</v>
      </c>
      <c r="S2" s="292" t="s">
        <v>1687</v>
      </c>
      <c r="T2" s="292" t="s">
        <v>1688</v>
      </c>
      <c r="U2" s="292" t="s">
        <v>372</v>
      </c>
      <c r="V2" s="292" t="s">
        <v>373</v>
      </c>
      <c r="X2" s="294" t="s">
        <v>370</v>
      </c>
      <c r="Y2" s="294" t="s">
        <v>371</v>
      </c>
      <c r="Z2" s="294" t="s">
        <v>1687</v>
      </c>
      <c r="AA2" s="294" t="s">
        <v>1688</v>
      </c>
      <c r="AB2" s="294" t="s">
        <v>372</v>
      </c>
      <c r="AC2" s="294" t="s">
        <v>373</v>
      </c>
    </row>
    <row r="3" spans="1:29">
      <c r="A3" s="295"/>
      <c r="B3" s="290" t="s">
        <v>374</v>
      </c>
      <c r="C3" s="296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8"/>
    </row>
    <row r="4" spans="1:29">
      <c r="B4" s="335" t="s">
        <v>374</v>
      </c>
      <c r="C4" s="335" t="s">
        <v>375</v>
      </c>
      <c r="Q4" s="307"/>
      <c r="R4" s="307"/>
      <c r="S4" s="307"/>
      <c r="T4" s="307"/>
      <c r="U4" s="307"/>
      <c r="V4" s="307"/>
      <c r="X4" s="307"/>
      <c r="Y4" s="307"/>
      <c r="Z4" s="307"/>
      <c r="AA4" s="307"/>
      <c r="AB4" s="307"/>
      <c r="AC4" s="307"/>
    </row>
    <row r="5" spans="1:29">
      <c r="B5" s="335" t="s">
        <v>374</v>
      </c>
      <c r="C5" s="335" t="s">
        <v>375</v>
      </c>
      <c r="D5" s="335" t="s">
        <v>1689</v>
      </c>
      <c r="E5" s="335" t="s">
        <v>1690</v>
      </c>
      <c r="F5" s="335" t="s">
        <v>376</v>
      </c>
      <c r="G5" s="335" t="s">
        <v>8</v>
      </c>
      <c r="H5" s="335" t="s">
        <v>11</v>
      </c>
      <c r="I5" s="335">
        <v>0</v>
      </c>
      <c r="J5" s="335" t="s">
        <v>823</v>
      </c>
      <c r="K5" s="335" t="s">
        <v>1691</v>
      </c>
      <c r="M5" s="335" t="s">
        <v>1692</v>
      </c>
      <c r="N5" s="335" t="s">
        <v>388</v>
      </c>
      <c r="O5" s="335" t="s">
        <v>389</v>
      </c>
      <c r="Q5" s="307" t="e">
        <f ca="1">_xll.BDP(M5&amp;" "&amp;N5&amp;" "&amp;O5,Q$2)</f>
        <v>#NAME?</v>
      </c>
      <c r="R5" s="307" t="e">
        <f ca="1">_xll.BDP(M5&amp;" "&amp;N5&amp;" "&amp;O5,R$2)</f>
        <v>#NAME?</v>
      </c>
      <c r="S5" s="307" t="e">
        <f ca="1">_xll.BDP(M5&amp;" "&amp;N5&amp;" "&amp;O5,S$2)</f>
        <v>#NAME?</v>
      </c>
      <c r="T5" s="307" t="e">
        <f ca="1">_xll.BDP(M5&amp;" "&amp;N5&amp;" "&amp;O5,T$2)</f>
        <v>#NAME?</v>
      </c>
      <c r="U5" s="307" t="e">
        <f ca="1">_xll.BDP(M5&amp;" "&amp;N5&amp;" "&amp;O5,U$2)</f>
        <v>#NAME?</v>
      </c>
      <c r="V5" s="307" t="e">
        <f ca="1">_xll.BDP(M5&amp;" "&amp;N5&amp;" "&amp;O5,V$2)</f>
        <v>#NAME?</v>
      </c>
      <c r="X5" s="307" t="s">
        <v>1693</v>
      </c>
      <c r="Y5" s="307">
        <v>32.1</v>
      </c>
      <c r="Z5" s="307">
        <v>29.1</v>
      </c>
      <c r="AA5" s="307">
        <v>35.1</v>
      </c>
      <c r="AB5" s="307" t="s">
        <v>390</v>
      </c>
      <c r="AC5" s="307" t="s">
        <v>1694</v>
      </c>
    </row>
    <row r="6" spans="1:29">
      <c r="B6" s="335" t="s">
        <v>374</v>
      </c>
      <c r="C6" s="335" t="s">
        <v>375</v>
      </c>
      <c r="D6" s="335" t="s">
        <v>1689</v>
      </c>
      <c r="E6" s="335" t="s">
        <v>1690</v>
      </c>
      <c r="F6" s="335" t="s">
        <v>376</v>
      </c>
      <c r="G6" s="335" t="s">
        <v>8</v>
      </c>
      <c r="H6" s="335" t="s">
        <v>16</v>
      </c>
      <c r="I6" s="335">
        <v>0</v>
      </c>
      <c r="J6" s="335" t="s">
        <v>823</v>
      </c>
      <c r="K6" s="335" t="s">
        <v>1691</v>
      </c>
      <c r="M6" s="335" t="s">
        <v>1695</v>
      </c>
      <c r="N6" s="335" t="s">
        <v>388</v>
      </c>
      <c r="O6" s="335" t="s">
        <v>389</v>
      </c>
      <c r="Q6" s="307" t="e">
        <f ca="1">_xll.BDP(M6&amp;" "&amp;N6&amp;" "&amp;O6,Q$2)</f>
        <v>#NAME?</v>
      </c>
      <c r="R6" s="307" t="e">
        <f ca="1">_xll.BDP(M6&amp;" "&amp;N6&amp;" "&amp;O6,R$2)</f>
        <v>#NAME?</v>
      </c>
      <c r="S6" s="307" t="e">
        <f ca="1">_xll.BDP(M6&amp;" "&amp;N6&amp;" "&amp;O6,S$2)</f>
        <v>#NAME?</v>
      </c>
      <c r="T6" s="307" t="e">
        <f ca="1">_xll.BDP(M6&amp;" "&amp;N6&amp;" "&amp;O6,T$2)</f>
        <v>#NAME?</v>
      </c>
      <c r="U6" s="307" t="e">
        <f ca="1">_xll.BDP(M6&amp;" "&amp;N6&amp;" "&amp;O6,U$2)</f>
        <v>#NAME?</v>
      </c>
      <c r="V6" s="307" t="e">
        <f ca="1">_xll.BDP(M6&amp;" "&amp;N6&amp;" "&amp;O6,V$2)</f>
        <v>#NAME?</v>
      </c>
      <c r="X6" s="307" t="s">
        <v>1696</v>
      </c>
      <c r="Y6" s="307">
        <v>32.5</v>
      </c>
      <c r="Z6" s="307">
        <v>29.5</v>
      </c>
      <c r="AA6" s="307">
        <v>35.6</v>
      </c>
      <c r="AB6" s="307" t="s">
        <v>390</v>
      </c>
      <c r="AC6" s="307" t="s">
        <v>1697</v>
      </c>
    </row>
    <row r="7" spans="1:29">
      <c r="B7" s="335" t="s">
        <v>374</v>
      </c>
      <c r="C7" s="335" t="s">
        <v>375</v>
      </c>
      <c r="D7" s="335" t="s">
        <v>1689</v>
      </c>
      <c r="E7" s="335" t="s">
        <v>1690</v>
      </c>
      <c r="F7" s="335" t="s">
        <v>376</v>
      </c>
      <c r="G7" s="335" t="s">
        <v>8</v>
      </c>
      <c r="H7" s="336" t="s">
        <v>17</v>
      </c>
      <c r="I7" s="335">
        <v>0</v>
      </c>
      <c r="J7" s="335" t="s">
        <v>823</v>
      </c>
      <c r="K7" s="335" t="s">
        <v>1691</v>
      </c>
      <c r="M7" s="335" t="s">
        <v>1698</v>
      </c>
      <c r="N7" s="335" t="s">
        <v>388</v>
      </c>
      <c r="O7" s="335" t="s">
        <v>389</v>
      </c>
      <c r="Q7" s="307" t="e">
        <f ca="1">_xll.BDP(M7&amp;" "&amp;N7&amp;" "&amp;O7,Q$2)</f>
        <v>#NAME?</v>
      </c>
      <c r="R7" s="307" t="e">
        <f ca="1">_xll.BDP(M7&amp;" "&amp;N7&amp;" "&amp;O7,R$2)</f>
        <v>#NAME?</v>
      </c>
      <c r="S7" s="307" t="e">
        <f ca="1">_xll.BDP(M7&amp;" "&amp;N7&amp;" "&amp;O7,S$2)</f>
        <v>#NAME?</v>
      </c>
      <c r="T7" s="307" t="e">
        <f ca="1">_xll.BDP(M7&amp;" "&amp;N7&amp;" "&amp;O7,T$2)</f>
        <v>#NAME?</v>
      </c>
      <c r="U7" s="307" t="e">
        <f ca="1">_xll.BDP(M7&amp;" "&amp;N7&amp;" "&amp;O7,U$2)</f>
        <v>#NAME?</v>
      </c>
      <c r="V7" s="307" t="e">
        <f ca="1">_xll.BDP(M7&amp;" "&amp;N7&amp;" "&amp;O7,V$2)</f>
        <v>#NAME?</v>
      </c>
      <c r="X7" s="307" t="s">
        <v>1699</v>
      </c>
      <c r="Y7" s="307">
        <v>27.8</v>
      </c>
      <c r="Z7" s="307">
        <v>24.8</v>
      </c>
      <c r="AA7" s="307">
        <v>30.8</v>
      </c>
      <c r="AB7" s="307" t="s">
        <v>390</v>
      </c>
      <c r="AC7" s="307" t="s">
        <v>1700</v>
      </c>
    </row>
    <row r="8" spans="1:29">
      <c r="B8" s="335" t="s">
        <v>374</v>
      </c>
      <c r="C8" s="335" t="s">
        <v>375</v>
      </c>
      <c r="D8" s="335" t="s">
        <v>1689</v>
      </c>
      <c r="E8" s="335" t="s">
        <v>1690</v>
      </c>
      <c r="F8" s="335" t="s">
        <v>376</v>
      </c>
      <c r="G8" s="335" t="s">
        <v>8</v>
      </c>
      <c r="H8" s="336" t="s">
        <v>104</v>
      </c>
      <c r="I8" s="335">
        <v>0</v>
      </c>
      <c r="J8" s="335" t="s">
        <v>823</v>
      </c>
      <c r="K8" s="335" t="s">
        <v>1691</v>
      </c>
      <c r="M8" s="335" t="s">
        <v>1701</v>
      </c>
      <c r="N8" s="335" t="s">
        <v>388</v>
      </c>
      <c r="O8" s="335" t="s">
        <v>389</v>
      </c>
      <c r="Q8" s="307" t="e">
        <f ca="1">_xll.BDP(M8&amp;" "&amp;N8&amp;" "&amp;O8,Q$2)</f>
        <v>#NAME?</v>
      </c>
      <c r="R8" s="307" t="e">
        <f ca="1">_xll.BDP(M8&amp;" "&amp;N8&amp;" "&amp;O8,R$2)</f>
        <v>#NAME?</v>
      </c>
      <c r="S8" s="307" t="e">
        <f ca="1">_xll.BDP(M8&amp;" "&amp;N8&amp;" "&amp;O8,S$2)</f>
        <v>#NAME?</v>
      </c>
      <c r="T8" s="307" t="e">
        <f ca="1">_xll.BDP(M8&amp;" "&amp;N8&amp;" "&amp;O8,T$2)</f>
        <v>#NAME?</v>
      </c>
      <c r="U8" s="307" t="e">
        <f ca="1">_xll.BDP(M8&amp;" "&amp;N8&amp;" "&amp;O8,U$2)</f>
        <v>#NAME?</v>
      </c>
      <c r="V8" s="307" t="e">
        <f ca="1">_xll.BDP(M8&amp;" "&amp;N8&amp;" "&amp;O8,V$2)</f>
        <v>#NAME?</v>
      </c>
      <c r="X8" s="307" t="s">
        <v>1702</v>
      </c>
      <c r="Y8" s="307">
        <v>24.1</v>
      </c>
      <c r="Z8" s="307">
        <v>21.1</v>
      </c>
      <c r="AA8" s="307">
        <v>27.2</v>
      </c>
      <c r="AB8" s="307" t="s">
        <v>390</v>
      </c>
      <c r="AC8" s="307" t="s">
        <v>1703</v>
      </c>
    </row>
    <row r="9" spans="1:29">
      <c r="B9" s="335" t="s">
        <v>374</v>
      </c>
      <c r="C9" s="335" t="s">
        <v>375</v>
      </c>
      <c r="D9" s="335" t="s">
        <v>1689</v>
      </c>
      <c r="E9" s="335" t="s">
        <v>1690</v>
      </c>
      <c r="F9" s="335" t="s">
        <v>376</v>
      </c>
    </row>
    <row r="10" spans="1:29">
      <c r="B10" s="335" t="s">
        <v>374</v>
      </c>
      <c r="C10" s="335" t="s">
        <v>375</v>
      </c>
      <c r="D10" s="335" t="s">
        <v>1689</v>
      </c>
      <c r="E10" s="335" t="s">
        <v>1690</v>
      </c>
      <c r="F10" s="335" t="s">
        <v>376</v>
      </c>
      <c r="G10" s="335" t="s">
        <v>11</v>
      </c>
      <c r="H10" s="335" t="s">
        <v>11</v>
      </c>
      <c r="I10" s="335">
        <v>0</v>
      </c>
      <c r="J10" s="335" t="s">
        <v>823</v>
      </c>
      <c r="K10" s="335" t="s">
        <v>1691</v>
      </c>
      <c r="M10" s="335" t="s">
        <v>1704</v>
      </c>
      <c r="N10" s="335" t="s">
        <v>388</v>
      </c>
      <c r="O10" s="335" t="s">
        <v>389</v>
      </c>
      <c r="Q10" s="307" t="e">
        <f ca="1">_xll.BDP(M10&amp;" "&amp;N10&amp;" "&amp;O10,Q$2)</f>
        <v>#NAME?</v>
      </c>
      <c r="R10" s="307" t="e">
        <f ca="1">_xll.BDP(M10&amp;" "&amp;N10&amp;" "&amp;O10,R$2)</f>
        <v>#NAME?</v>
      </c>
      <c r="S10" s="307" t="e">
        <f ca="1">_xll.BDP(M10&amp;" "&amp;N10&amp;" "&amp;O10,S$2)</f>
        <v>#NAME?</v>
      </c>
      <c r="T10" s="307" t="e">
        <f ca="1">_xll.BDP(M10&amp;" "&amp;N10&amp;" "&amp;O10,T$2)</f>
        <v>#NAME?</v>
      </c>
      <c r="U10" s="307" t="e">
        <f ca="1">_xll.BDP(M10&amp;" "&amp;N10&amp;" "&amp;O10,U$2)</f>
        <v>#NAME?</v>
      </c>
      <c r="V10" s="307" t="e">
        <f ca="1">_xll.BDP(M10&amp;" "&amp;N10&amp;" "&amp;O10,V$2)</f>
        <v>#NAME?</v>
      </c>
      <c r="X10" s="307" t="s">
        <v>1705</v>
      </c>
      <c r="Y10" s="307">
        <v>74</v>
      </c>
      <c r="Z10" s="307">
        <v>69.5</v>
      </c>
      <c r="AA10" s="307">
        <v>78.599999999999994</v>
      </c>
      <c r="AB10" s="307" t="s">
        <v>390</v>
      </c>
      <c r="AC10" s="307" t="s">
        <v>1703</v>
      </c>
    </row>
    <row r="11" spans="1:29">
      <c r="B11" s="335" t="s">
        <v>374</v>
      </c>
      <c r="C11" s="335" t="s">
        <v>375</v>
      </c>
      <c r="D11" s="335" t="s">
        <v>1689</v>
      </c>
      <c r="E11" s="335" t="s">
        <v>1690</v>
      </c>
      <c r="F11" s="335" t="s">
        <v>376</v>
      </c>
      <c r="G11" s="335" t="s">
        <v>11</v>
      </c>
      <c r="H11" s="335" t="s">
        <v>16</v>
      </c>
      <c r="I11" s="335">
        <v>0</v>
      </c>
      <c r="J11" s="335" t="s">
        <v>823</v>
      </c>
      <c r="K11" s="335" t="s">
        <v>1691</v>
      </c>
      <c r="M11" s="335" t="s">
        <v>1706</v>
      </c>
      <c r="N11" s="335" t="s">
        <v>388</v>
      </c>
      <c r="O11" s="335" t="s">
        <v>389</v>
      </c>
      <c r="Q11" s="307" t="e">
        <f ca="1">_xll.BDP(M11&amp;" "&amp;N11&amp;" "&amp;O11,Q$2)</f>
        <v>#NAME?</v>
      </c>
      <c r="R11" s="307" t="e">
        <f ca="1">_xll.BDP(M11&amp;" "&amp;N11&amp;" "&amp;O11,R$2)</f>
        <v>#NAME?</v>
      </c>
      <c r="S11" s="307" t="e">
        <f ca="1">_xll.BDP(M11&amp;" "&amp;N11&amp;" "&amp;O11,S$2)</f>
        <v>#NAME?</v>
      </c>
      <c r="T11" s="307" t="e">
        <f ca="1">_xll.BDP(M11&amp;" "&amp;N11&amp;" "&amp;O11,T$2)</f>
        <v>#NAME?</v>
      </c>
      <c r="U11" s="307" t="e">
        <f ca="1">_xll.BDP(M11&amp;" "&amp;N11&amp;" "&amp;O11,U$2)</f>
        <v>#NAME?</v>
      </c>
      <c r="V11" s="307" t="e">
        <f ca="1">_xll.BDP(M11&amp;" "&amp;N11&amp;" "&amp;O11,V$2)</f>
        <v>#NAME?</v>
      </c>
      <c r="X11" s="307" t="s">
        <v>1707</v>
      </c>
      <c r="Y11" s="307">
        <v>64.400000000000006</v>
      </c>
      <c r="Z11" s="307">
        <v>59.9</v>
      </c>
      <c r="AA11" s="307">
        <v>69</v>
      </c>
      <c r="AB11" s="307" t="s">
        <v>390</v>
      </c>
      <c r="AC11" s="307" t="s">
        <v>1697</v>
      </c>
    </row>
    <row r="12" spans="1:29">
      <c r="B12" s="335" t="s">
        <v>374</v>
      </c>
      <c r="C12" s="335" t="s">
        <v>375</v>
      </c>
      <c r="D12" s="335" t="s">
        <v>1689</v>
      </c>
      <c r="E12" s="335" t="s">
        <v>1690</v>
      </c>
      <c r="F12" s="335" t="s">
        <v>376</v>
      </c>
      <c r="G12" s="335" t="s">
        <v>11</v>
      </c>
      <c r="H12" s="336" t="s">
        <v>17</v>
      </c>
      <c r="I12" s="335">
        <v>0</v>
      </c>
      <c r="J12" s="335" t="s">
        <v>823</v>
      </c>
      <c r="K12" s="335" t="s">
        <v>1691</v>
      </c>
      <c r="M12" s="335" t="s">
        <v>1708</v>
      </c>
      <c r="N12" s="335" t="s">
        <v>388</v>
      </c>
      <c r="O12" s="335" t="s">
        <v>389</v>
      </c>
      <c r="Q12" s="307" t="e">
        <f ca="1">_xll.BDP(M12&amp;" "&amp;N12&amp;" "&amp;O12,Q$2)</f>
        <v>#NAME?</v>
      </c>
      <c r="R12" s="307" t="e">
        <f ca="1">_xll.BDP(M12&amp;" "&amp;N12&amp;" "&amp;O12,R$2)</f>
        <v>#NAME?</v>
      </c>
      <c r="S12" s="307" t="e">
        <f ca="1">_xll.BDP(M12&amp;" "&amp;N12&amp;" "&amp;O12,S$2)</f>
        <v>#NAME?</v>
      </c>
      <c r="T12" s="307" t="e">
        <f ca="1">_xll.BDP(M12&amp;" "&amp;N12&amp;" "&amp;O12,T$2)</f>
        <v>#NAME?</v>
      </c>
      <c r="U12" s="307" t="e">
        <f ca="1">_xll.BDP(M12&amp;" "&amp;N12&amp;" "&amp;O12,U$2)</f>
        <v>#NAME?</v>
      </c>
      <c r="V12" s="307" t="e">
        <f ca="1">_xll.BDP(M12&amp;" "&amp;N12&amp;" "&amp;O12,V$2)</f>
        <v>#NAME?</v>
      </c>
      <c r="X12" s="307" t="s">
        <v>1709</v>
      </c>
      <c r="Y12" s="307">
        <v>51.7</v>
      </c>
      <c r="Z12" s="307">
        <v>47.2</v>
      </c>
      <c r="AA12" s="307">
        <v>56.3</v>
      </c>
      <c r="AB12" s="307" t="s">
        <v>390</v>
      </c>
      <c r="AC12" s="307" t="s">
        <v>1700</v>
      </c>
    </row>
    <row r="13" spans="1:29">
      <c r="B13" s="335" t="s">
        <v>374</v>
      </c>
      <c r="C13" s="335" t="s">
        <v>375</v>
      </c>
      <c r="D13" s="335" t="s">
        <v>1689</v>
      </c>
      <c r="E13" s="335" t="s">
        <v>1690</v>
      </c>
      <c r="F13" s="335" t="s">
        <v>376</v>
      </c>
      <c r="G13" s="335" t="s">
        <v>11</v>
      </c>
      <c r="H13" s="336" t="s">
        <v>104</v>
      </c>
      <c r="I13" s="335">
        <v>0</v>
      </c>
      <c r="J13" s="335" t="s">
        <v>823</v>
      </c>
      <c r="K13" s="335" t="s">
        <v>1691</v>
      </c>
      <c r="M13" s="335" t="s">
        <v>1710</v>
      </c>
      <c r="N13" s="335" t="s">
        <v>388</v>
      </c>
      <c r="O13" s="335" t="s">
        <v>389</v>
      </c>
      <c r="Q13" s="307" t="e">
        <f ca="1">_xll.BDP(M13&amp;" "&amp;N13&amp;" "&amp;O13,Q$2)</f>
        <v>#NAME?</v>
      </c>
      <c r="R13" s="307" t="e">
        <f ca="1">_xll.BDP(M13&amp;" "&amp;N13&amp;" "&amp;O13,R$2)</f>
        <v>#NAME?</v>
      </c>
      <c r="S13" s="307" t="e">
        <f ca="1">_xll.BDP(M13&amp;" "&amp;N13&amp;" "&amp;O13,S$2)</f>
        <v>#NAME?</v>
      </c>
      <c r="T13" s="307" t="e">
        <f ca="1">_xll.BDP(M13&amp;" "&amp;N13&amp;" "&amp;O13,T$2)</f>
        <v>#NAME?</v>
      </c>
      <c r="U13" s="307" t="e">
        <f ca="1">_xll.BDP(M13&amp;" "&amp;N13&amp;" "&amp;O13,U$2)</f>
        <v>#NAME?</v>
      </c>
      <c r="V13" s="307" t="e">
        <f ca="1">_xll.BDP(M13&amp;" "&amp;N13&amp;" "&amp;O13,V$2)</f>
        <v>#NAME?</v>
      </c>
      <c r="X13" s="307" t="s">
        <v>1711</v>
      </c>
      <c r="Y13" s="307">
        <v>43.3</v>
      </c>
      <c r="Z13" s="307">
        <v>38.799999999999997</v>
      </c>
      <c r="AA13" s="307">
        <v>48</v>
      </c>
      <c r="AB13" s="307" t="s">
        <v>390</v>
      </c>
      <c r="AC13" s="307" t="s">
        <v>1703</v>
      </c>
    </row>
    <row r="14" spans="1:29">
      <c r="B14" s="335" t="s">
        <v>374</v>
      </c>
      <c r="C14" s="335" t="s">
        <v>375</v>
      </c>
      <c r="D14" s="335" t="s">
        <v>1689</v>
      </c>
      <c r="E14" s="335" t="s">
        <v>1690</v>
      </c>
      <c r="F14" s="335" t="s">
        <v>376</v>
      </c>
    </row>
    <row r="15" spans="1:29">
      <c r="B15" s="335" t="s">
        <v>374</v>
      </c>
      <c r="C15" s="335" t="s">
        <v>375</v>
      </c>
      <c r="D15" s="335" t="s">
        <v>1689</v>
      </c>
      <c r="E15" s="335" t="s">
        <v>1690</v>
      </c>
      <c r="F15" s="335" t="s">
        <v>376</v>
      </c>
      <c r="G15" s="335" t="s">
        <v>16</v>
      </c>
      <c r="H15" s="335" t="s">
        <v>11</v>
      </c>
      <c r="I15" s="335">
        <v>0</v>
      </c>
      <c r="J15" s="335" t="s">
        <v>823</v>
      </c>
      <c r="K15" s="335" t="s">
        <v>1691</v>
      </c>
      <c r="M15" s="335" t="s">
        <v>1712</v>
      </c>
      <c r="N15" s="335" t="s">
        <v>388</v>
      </c>
      <c r="O15" s="335" t="s">
        <v>389</v>
      </c>
      <c r="Q15" s="307" t="e">
        <f ca="1">_xll.BDP(M15&amp;" "&amp;N15&amp;" "&amp;O15,Q$2)</f>
        <v>#NAME?</v>
      </c>
      <c r="R15" s="307" t="e">
        <f ca="1">_xll.BDP(M15&amp;" "&amp;N15&amp;" "&amp;O15,R$2)</f>
        <v>#NAME?</v>
      </c>
      <c r="S15" s="307" t="e">
        <f ca="1">_xll.BDP(M15&amp;" "&amp;N15&amp;" "&amp;O15,S$2)</f>
        <v>#NAME?</v>
      </c>
      <c r="T15" s="307" t="e">
        <f ca="1">_xll.BDP(M15&amp;" "&amp;N15&amp;" "&amp;O15,T$2)</f>
        <v>#NAME?</v>
      </c>
      <c r="U15" s="307" t="e">
        <f ca="1">_xll.BDP(M15&amp;" "&amp;N15&amp;" "&amp;O15,U$2)</f>
        <v>#NAME?</v>
      </c>
      <c r="V15" s="307" t="e">
        <f ca="1">_xll.BDP(M15&amp;" "&amp;N15&amp;" "&amp;O15,V$2)</f>
        <v>#NAME?</v>
      </c>
      <c r="X15" s="307" t="s">
        <v>1713</v>
      </c>
      <c r="Y15" s="307">
        <v>127</v>
      </c>
      <c r="Z15" s="307">
        <v>122</v>
      </c>
      <c r="AA15" s="307">
        <v>132.30000000000001</v>
      </c>
      <c r="AB15" s="307" t="s">
        <v>390</v>
      </c>
      <c r="AC15" s="307" t="s">
        <v>1703</v>
      </c>
    </row>
    <row r="16" spans="1:29">
      <c r="B16" s="335" t="s">
        <v>374</v>
      </c>
      <c r="C16" s="335" t="s">
        <v>375</v>
      </c>
      <c r="D16" s="335" t="s">
        <v>1689</v>
      </c>
      <c r="E16" s="335" t="s">
        <v>1690</v>
      </c>
      <c r="F16" s="335" t="s">
        <v>376</v>
      </c>
      <c r="G16" s="335" t="s">
        <v>16</v>
      </c>
      <c r="H16" s="335" t="s">
        <v>16</v>
      </c>
      <c r="I16" s="335">
        <v>0</v>
      </c>
      <c r="J16" s="335" t="s">
        <v>823</v>
      </c>
      <c r="K16" s="335" t="s">
        <v>1691</v>
      </c>
      <c r="M16" s="335" t="s">
        <v>1714</v>
      </c>
      <c r="N16" s="335" t="s">
        <v>388</v>
      </c>
      <c r="O16" s="335" t="s">
        <v>389</v>
      </c>
      <c r="Q16" s="307" t="e">
        <f ca="1">_xll.BDP(M16&amp;" "&amp;N16&amp;" "&amp;O16,Q$2)</f>
        <v>#NAME?</v>
      </c>
      <c r="R16" s="307" t="e">
        <f ca="1">_xll.BDP(M16&amp;" "&amp;N16&amp;" "&amp;O16,R$2)</f>
        <v>#NAME?</v>
      </c>
      <c r="S16" s="307" t="e">
        <f ca="1">_xll.BDP(M16&amp;" "&amp;N16&amp;" "&amp;O16,S$2)</f>
        <v>#NAME?</v>
      </c>
      <c r="T16" s="307" t="e">
        <f ca="1">_xll.BDP(M16&amp;" "&amp;N16&amp;" "&amp;O16,T$2)</f>
        <v>#NAME?</v>
      </c>
      <c r="U16" s="307" t="e">
        <f ca="1">_xll.BDP(M16&amp;" "&amp;N16&amp;" "&amp;O16,U$2)</f>
        <v>#NAME?</v>
      </c>
      <c r="V16" s="307" t="e">
        <f ca="1">_xll.BDP(M16&amp;" "&amp;N16&amp;" "&amp;O16,V$2)</f>
        <v>#NAME?</v>
      </c>
      <c r="X16" s="307" t="s">
        <v>1715</v>
      </c>
      <c r="Y16" s="307">
        <v>100.1</v>
      </c>
      <c r="Z16" s="307">
        <v>95.1</v>
      </c>
      <c r="AA16" s="307">
        <v>105.3</v>
      </c>
      <c r="AB16" s="307" t="s">
        <v>390</v>
      </c>
      <c r="AC16" s="307" t="s">
        <v>1703</v>
      </c>
    </row>
    <row r="17" spans="2:29">
      <c r="B17" s="335" t="s">
        <v>374</v>
      </c>
      <c r="C17" s="335" t="s">
        <v>375</v>
      </c>
      <c r="D17" s="335" t="s">
        <v>1689</v>
      </c>
      <c r="E17" s="335" t="s">
        <v>1690</v>
      </c>
      <c r="F17" s="335" t="s">
        <v>376</v>
      </c>
      <c r="G17" s="335" t="s">
        <v>16</v>
      </c>
      <c r="H17" s="336" t="s">
        <v>17</v>
      </c>
      <c r="I17" s="335">
        <v>0</v>
      </c>
      <c r="J17" s="335" t="s">
        <v>823</v>
      </c>
      <c r="K17" s="335" t="s">
        <v>1691</v>
      </c>
      <c r="M17" s="335" t="s">
        <v>1716</v>
      </c>
      <c r="N17" s="335" t="s">
        <v>388</v>
      </c>
      <c r="O17" s="335" t="s">
        <v>389</v>
      </c>
      <c r="Q17" s="307" t="e">
        <f ca="1">_xll.BDP(M17&amp;" "&amp;N17&amp;" "&amp;O17,Q$2)</f>
        <v>#NAME?</v>
      </c>
      <c r="R17" s="307" t="e">
        <f ca="1">_xll.BDP(M17&amp;" "&amp;N17&amp;" "&amp;O17,R$2)</f>
        <v>#NAME?</v>
      </c>
      <c r="S17" s="307" t="e">
        <f ca="1">_xll.BDP(M17&amp;" "&amp;N17&amp;" "&amp;O17,S$2)</f>
        <v>#NAME?</v>
      </c>
      <c r="T17" s="307" t="e">
        <f ca="1">_xll.BDP(M17&amp;" "&amp;N17&amp;" "&amp;O17,T$2)</f>
        <v>#NAME?</v>
      </c>
      <c r="U17" s="307" t="e">
        <f ca="1">_xll.BDP(M17&amp;" "&amp;N17&amp;" "&amp;O17,U$2)</f>
        <v>#NAME?</v>
      </c>
      <c r="V17" s="307" t="e">
        <f ca="1">_xll.BDP(M17&amp;" "&amp;N17&amp;" "&amp;O17,V$2)</f>
        <v>#NAME?</v>
      </c>
      <c r="X17" s="307" t="s">
        <v>1717</v>
      </c>
      <c r="Y17" s="307">
        <v>77.2</v>
      </c>
      <c r="Z17" s="307">
        <v>72.2</v>
      </c>
      <c r="AA17" s="307">
        <v>82.4</v>
      </c>
      <c r="AB17" s="307" t="s">
        <v>390</v>
      </c>
      <c r="AC17" s="307" t="s">
        <v>1694</v>
      </c>
    </row>
    <row r="18" spans="2:29">
      <c r="B18" s="335" t="s">
        <v>374</v>
      </c>
      <c r="C18" s="335" t="s">
        <v>375</v>
      </c>
      <c r="D18" s="335" t="s">
        <v>1689</v>
      </c>
      <c r="E18" s="335" t="s">
        <v>1690</v>
      </c>
      <c r="F18" s="335" t="s">
        <v>376</v>
      </c>
      <c r="G18" s="335" t="s">
        <v>16</v>
      </c>
      <c r="H18" s="336" t="s">
        <v>104</v>
      </c>
      <c r="I18" s="335">
        <v>0</v>
      </c>
      <c r="J18" s="335" t="s">
        <v>823</v>
      </c>
      <c r="K18" s="335" t="s">
        <v>1691</v>
      </c>
      <c r="M18" s="335" t="s">
        <v>1718</v>
      </c>
      <c r="N18" s="335" t="s">
        <v>388</v>
      </c>
      <c r="O18" s="335" t="s">
        <v>389</v>
      </c>
      <c r="Q18" s="307" t="e">
        <f ca="1">_xll.BDP(M18&amp;" "&amp;N18&amp;" "&amp;O18,Q$2)</f>
        <v>#NAME?</v>
      </c>
      <c r="R18" s="307" t="e">
        <f ca="1">_xll.BDP(M18&amp;" "&amp;N18&amp;" "&amp;O18,R$2)</f>
        <v>#NAME?</v>
      </c>
      <c r="S18" s="307" t="e">
        <f ca="1">_xll.BDP(M18&amp;" "&amp;N18&amp;" "&amp;O18,S$2)</f>
        <v>#NAME?</v>
      </c>
      <c r="T18" s="307" t="e">
        <f ca="1">_xll.BDP(M18&amp;" "&amp;N18&amp;" "&amp;O18,T$2)</f>
        <v>#NAME?</v>
      </c>
      <c r="U18" s="307" t="e">
        <f ca="1">_xll.BDP(M18&amp;" "&amp;N18&amp;" "&amp;O18,U$2)</f>
        <v>#NAME?</v>
      </c>
      <c r="V18" s="307" t="e">
        <f ca="1">_xll.BDP(M18&amp;" "&amp;N18&amp;" "&amp;O18,V$2)</f>
        <v>#NAME?</v>
      </c>
      <c r="X18" s="307" t="s">
        <v>1719</v>
      </c>
      <c r="Y18" s="307">
        <v>64.400000000000006</v>
      </c>
      <c r="Z18" s="307">
        <v>54.4</v>
      </c>
      <c r="AA18" s="307">
        <v>74.599999999999994</v>
      </c>
      <c r="AB18" s="307" t="s">
        <v>390</v>
      </c>
      <c r="AC18" s="307" t="s">
        <v>1703</v>
      </c>
    </row>
    <row r="19" spans="2:29">
      <c r="B19" s="335" t="s">
        <v>374</v>
      </c>
      <c r="C19" s="335" t="s">
        <v>375</v>
      </c>
      <c r="D19" s="335" t="s">
        <v>1689</v>
      </c>
      <c r="E19" s="335" t="s">
        <v>1690</v>
      </c>
      <c r="F19" s="335" t="s">
        <v>376</v>
      </c>
    </row>
    <row r="20" spans="2:29">
      <c r="B20" s="335" t="s">
        <v>374</v>
      </c>
      <c r="C20" s="335" t="s">
        <v>375</v>
      </c>
      <c r="D20" s="335" t="s">
        <v>1689</v>
      </c>
      <c r="E20" s="335" t="s">
        <v>1690</v>
      </c>
      <c r="F20" s="335" t="s">
        <v>376</v>
      </c>
      <c r="G20" s="335" t="s">
        <v>104</v>
      </c>
      <c r="H20" s="335" t="s">
        <v>11</v>
      </c>
      <c r="I20" s="335">
        <v>0</v>
      </c>
      <c r="J20" s="335" t="s">
        <v>823</v>
      </c>
      <c r="K20" s="335" t="s">
        <v>1691</v>
      </c>
      <c r="M20" s="335" t="s">
        <v>1720</v>
      </c>
      <c r="N20" s="335" t="s">
        <v>388</v>
      </c>
      <c r="O20" s="335" t="s">
        <v>389</v>
      </c>
      <c r="Q20" s="307" t="e">
        <f ca="1">_xll.BDP(M20&amp;" "&amp;N20&amp;" "&amp;O20,Q$2)</f>
        <v>#NAME?</v>
      </c>
      <c r="R20" s="307" t="e">
        <f ca="1">_xll.BDP(M20&amp;" "&amp;N20&amp;" "&amp;O20,R$2)</f>
        <v>#NAME?</v>
      </c>
      <c r="S20" s="307" t="e">
        <f ca="1">_xll.BDP(M20&amp;" "&amp;N20&amp;" "&amp;O20,S$2)</f>
        <v>#NAME?</v>
      </c>
      <c r="T20" s="307" t="e">
        <f ca="1">_xll.BDP(M20&amp;" "&amp;N20&amp;" "&amp;O20,T$2)</f>
        <v>#NAME?</v>
      </c>
      <c r="U20" s="307" t="e">
        <f ca="1">_xll.BDP(M20&amp;" "&amp;N20&amp;" "&amp;O20,U$2)</f>
        <v>#NAME?</v>
      </c>
      <c r="V20" s="307" t="e">
        <f ca="1">_xll.BDP(M20&amp;" "&amp;N20&amp;" "&amp;O20,V$2)</f>
        <v>#NAME?</v>
      </c>
      <c r="X20" s="307" t="s">
        <v>1721</v>
      </c>
      <c r="Y20" s="307">
        <v>156.5</v>
      </c>
      <c r="Z20" s="307">
        <v>146.5</v>
      </c>
      <c r="AA20" s="307">
        <v>166.8</v>
      </c>
      <c r="AB20" s="307" t="s">
        <v>390</v>
      </c>
      <c r="AC20" s="307" t="s">
        <v>1703</v>
      </c>
    </row>
    <row r="21" spans="2:29">
      <c r="B21" s="335" t="s">
        <v>374</v>
      </c>
      <c r="C21" s="335" t="s">
        <v>375</v>
      </c>
      <c r="D21" s="335" t="s">
        <v>1689</v>
      </c>
      <c r="E21" s="335" t="s">
        <v>1690</v>
      </c>
      <c r="F21" s="335" t="s">
        <v>376</v>
      </c>
      <c r="G21" s="335" t="s">
        <v>104</v>
      </c>
      <c r="H21" s="335" t="s">
        <v>16</v>
      </c>
      <c r="I21" s="335">
        <v>0</v>
      </c>
      <c r="J21" s="335" t="s">
        <v>823</v>
      </c>
      <c r="K21" s="335" t="s">
        <v>1691</v>
      </c>
      <c r="M21" s="335" t="s">
        <v>1722</v>
      </c>
      <c r="N21" s="335" t="s">
        <v>388</v>
      </c>
      <c r="O21" s="335" t="s">
        <v>389</v>
      </c>
      <c r="Q21" s="307" t="e">
        <f ca="1">_xll.BDP(M21&amp;" "&amp;N21&amp;" "&amp;O21,Q$2)</f>
        <v>#NAME?</v>
      </c>
      <c r="R21" s="307" t="e">
        <f ca="1">_xll.BDP(M21&amp;" "&amp;N21&amp;" "&amp;O21,R$2)</f>
        <v>#NAME?</v>
      </c>
      <c r="S21" s="307" t="e">
        <f ca="1">_xll.BDP(M21&amp;" "&amp;N21&amp;" "&amp;O21,S$2)</f>
        <v>#NAME?</v>
      </c>
      <c r="T21" s="307" t="e">
        <f ca="1">_xll.BDP(M21&amp;" "&amp;N21&amp;" "&amp;O21,T$2)</f>
        <v>#NAME?</v>
      </c>
      <c r="U21" s="307" t="e">
        <f ca="1">_xll.BDP(M21&amp;" "&amp;N21&amp;" "&amp;O21,U$2)</f>
        <v>#NAME?</v>
      </c>
      <c r="V21" s="307" t="e">
        <f ca="1">_xll.BDP(M21&amp;" "&amp;N21&amp;" "&amp;O21,V$2)</f>
        <v>#NAME?</v>
      </c>
      <c r="X21" s="307" t="s">
        <v>1723</v>
      </c>
      <c r="Y21" s="307">
        <v>115.5</v>
      </c>
      <c r="Z21" s="307">
        <v>105.5</v>
      </c>
      <c r="AA21" s="307">
        <v>125.7</v>
      </c>
      <c r="AB21" s="307" t="s">
        <v>390</v>
      </c>
      <c r="AC21" s="307" t="s">
        <v>1700</v>
      </c>
    </row>
    <row r="22" spans="2:29">
      <c r="B22" s="335" t="s">
        <v>374</v>
      </c>
      <c r="C22" s="335" t="s">
        <v>375</v>
      </c>
      <c r="D22" s="335" t="s">
        <v>1689</v>
      </c>
      <c r="E22" s="335" t="s">
        <v>1690</v>
      </c>
      <c r="F22" s="335" t="s">
        <v>376</v>
      </c>
      <c r="G22" s="335" t="s">
        <v>104</v>
      </c>
      <c r="H22" s="336" t="s">
        <v>17</v>
      </c>
      <c r="I22" s="335">
        <v>0</v>
      </c>
      <c r="J22" s="335" t="s">
        <v>823</v>
      </c>
      <c r="K22" s="335" t="s">
        <v>1691</v>
      </c>
      <c r="M22" s="335" t="s">
        <v>1724</v>
      </c>
      <c r="N22" s="335" t="s">
        <v>388</v>
      </c>
      <c r="O22" s="335" t="s">
        <v>389</v>
      </c>
      <c r="Q22" s="307" t="e">
        <f ca="1">_xll.BDP(M22&amp;" "&amp;N22&amp;" "&amp;O22,Q$2)</f>
        <v>#NAME?</v>
      </c>
      <c r="R22" s="307" t="e">
        <f ca="1">_xll.BDP(M22&amp;" "&amp;N22&amp;" "&amp;O22,R$2)</f>
        <v>#NAME?</v>
      </c>
      <c r="S22" s="307" t="e">
        <f ca="1">_xll.BDP(M22&amp;" "&amp;N22&amp;" "&amp;O22,S$2)</f>
        <v>#NAME?</v>
      </c>
      <c r="T22" s="307" t="e">
        <f ca="1">_xll.BDP(M22&amp;" "&amp;N22&amp;" "&amp;O22,T$2)</f>
        <v>#NAME?</v>
      </c>
      <c r="U22" s="307" t="e">
        <f ca="1">_xll.BDP(M22&amp;" "&amp;N22&amp;" "&amp;O22,U$2)</f>
        <v>#NAME?</v>
      </c>
      <c r="V22" s="307" t="e">
        <f ca="1">_xll.BDP(M22&amp;" "&amp;N22&amp;" "&amp;O22,V$2)</f>
        <v>#NAME?</v>
      </c>
      <c r="X22" s="307" t="s">
        <v>1725</v>
      </c>
      <c r="Y22" s="307">
        <v>89</v>
      </c>
      <c r="Z22" s="307">
        <v>79</v>
      </c>
      <c r="AA22" s="307">
        <v>99.2</v>
      </c>
      <c r="AB22" s="307" t="s">
        <v>390</v>
      </c>
      <c r="AC22" s="307" t="s">
        <v>1700</v>
      </c>
    </row>
    <row r="23" spans="2:29">
      <c r="B23" s="335" t="s">
        <v>374</v>
      </c>
      <c r="C23" s="335" t="s">
        <v>375</v>
      </c>
      <c r="D23" s="335" t="s">
        <v>1689</v>
      </c>
      <c r="E23" s="335" t="s">
        <v>1690</v>
      </c>
      <c r="F23" s="335" t="s">
        <v>376</v>
      </c>
      <c r="G23" s="335" t="s">
        <v>104</v>
      </c>
      <c r="H23" s="336" t="s">
        <v>104</v>
      </c>
      <c r="I23" s="335">
        <v>0</v>
      </c>
      <c r="J23" s="335" t="s">
        <v>823</v>
      </c>
      <c r="K23" s="335" t="s">
        <v>1691</v>
      </c>
      <c r="M23" s="335" t="s">
        <v>1726</v>
      </c>
      <c r="N23" s="335" t="s">
        <v>388</v>
      </c>
      <c r="O23" s="335" t="s">
        <v>389</v>
      </c>
      <c r="Q23" s="307" t="e">
        <f ca="1">_xll.BDP(M23&amp;" "&amp;N23&amp;" "&amp;O23,Q$2)</f>
        <v>#NAME?</v>
      </c>
      <c r="R23" s="307" t="e">
        <f ca="1">_xll.BDP(M23&amp;" "&amp;N23&amp;" "&amp;O23,R$2)</f>
        <v>#NAME?</v>
      </c>
      <c r="S23" s="307" t="e">
        <f ca="1">_xll.BDP(M23&amp;" "&amp;N23&amp;" "&amp;O23,S$2)</f>
        <v>#NAME?</v>
      </c>
      <c r="T23" s="307" t="e">
        <f ca="1">_xll.BDP(M23&amp;" "&amp;N23&amp;" "&amp;O23,T$2)</f>
        <v>#NAME?</v>
      </c>
      <c r="U23" s="307" t="e">
        <f ca="1">_xll.BDP(M23&amp;" "&amp;N23&amp;" "&amp;O23,U$2)</f>
        <v>#NAME?</v>
      </c>
      <c r="V23" s="307" t="e">
        <f ca="1">_xll.BDP(M23&amp;" "&amp;N23&amp;" "&amp;O23,V$2)</f>
        <v>#NAME?</v>
      </c>
      <c r="X23" s="307" t="s">
        <v>1727</v>
      </c>
      <c r="Y23" s="307">
        <v>76.8</v>
      </c>
      <c r="Z23" s="307">
        <v>66.8</v>
      </c>
      <c r="AA23" s="307">
        <v>87.1</v>
      </c>
      <c r="AB23" s="307" t="s">
        <v>390</v>
      </c>
      <c r="AC23" s="307" t="s">
        <v>1703</v>
      </c>
    </row>
    <row r="24" spans="2:29">
      <c r="B24" s="335" t="s">
        <v>374</v>
      </c>
      <c r="C24" s="335" t="s">
        <v>375</v>
      </c>
      <c r="D24" s="335" t="s">
        <v>1689</v>
      </c>
      <c r="E24" s="335" t="s">
        <v>1690</v>
      </c>
      <c r="F24" s="335" t="s">
        <v>376</v>
      </c>
    </row>
    <row r="25" spans="2:29">
      <c r="B25" s="335" t="s">
        <v>374</v>
      </c>
      <c r="C25" s="335" t="s">
        <v>375</v>
      </c>
      <c r="D25" s="335" t="s">
        <v>1689</v>
      </c>
      <c r="E25" s="335" t="s">
        <v>1690</v>
      </c>
      <c r="F25" s="335" t="s">
        <v>376</v>
      </c>
      <c r="G25" s="335" t="s">
        <v>106</v>
      </c>
      <c r="H25" s="335" t="s">
        <v>11</v>
      </c>
      <c r="I25" s="335">
        <v>0</v>
      </c>
      <c r="J25" s="335" t="s">
        <v>823</v>
      </c>
      <c r="K25" s="335" t="s">
        <v>1691</v>
      </c>
      <c r="M25" s="335" t="s">
        <v>1728</v>
      </c>
      <c r="N25" s="335" t="s">
        <v>388</v>
      </c>
      <c r="O25" s="335" t="s">
        <v>389</v>
      </c>
      <c r="Q25" s="307" t="e">
        <f ca="1">_xll.BDP(M25&amp;" "&amp;N25&amp;" "&amp;O25,Q$2)</f>
        <v>#NAME?</v>
      </c>
      <c r="R25" s="307" t="e">
        <f ca="1">_xll.BDP(M25&amp;" "&amp;N25&amp;" "&amp;O25,R$2)</f>
        <v>#NAME?</v>
      </c>
      <c r="S25" s="307" t="e">
        <f ca="1">_xll.BDP(M25&amp;" "&amp;N25&amp;" "&amp;O25,S$2)</f>
        <v>#NAME?</v>
      </c>
      <c r="T25" s="307" t="e">
        <f ca="1">_xll.BDP(M25&amp;" "&amp;N25&amp;" "&amp;O25,T$2)</f>
        <v>#NAME?</v>
      </c>
      <c r="U25" s="307" t="e">
        <f ca="1">_xll.BDP(M25&amp;" "&amp;N25&amp;" "&amp;O25,U$2)</f>
        <v>#NAME?</v>
      </c>
      <c r="V25" s="307" t="e">
        <f ca="1">_xll.BDP(M25&amp;" "&amp;N25&amp;" "&amp;O25,V$2)</f>
        <v>#NAME?</v>
      </c>
      <c r="X25" s="307" t="s">
        <v>1729</v>
      </c>
      <c r="Y25" s="307">
        <v>159.80000000000001</v>
      </c>
      <c r="Z25" s="307">
        <v>147.30000000000001</v>
      </c>
      <c r="AA25" s="307">
        <v>172.6</v>
      </c>
      <c r="AB25" s="307" t="s">
        <v>390</v>
      </c>
      <c r="AC25" s="307" t="s">
        <v>1703</v>
      </c>
    </row>
    <row r="26" spans="2:29">
      <c r="B26" s="335" t="s">
        <v>374</v>
      </c>
      <c r="C26" s="335" t="s">
        <v>375</v>
      </c>
      <c r="D26" s="335" t="s">
        <v>1689</v>
      </c>
      <c r="E26" s="335" t="s">
        <v>1690</v>
      </c>
      <c r="F26" s="335" t="s">
        <v>376</v>
      </c>
      <c r="G26" s="335" t="s">
        <v>106</v>
      </c>
      <c r="H26" s="335" t="s">
        <v>16</v>
      </c>
      <c r="I26" s="335">
        <v>0</v>
      </c>
      <c r="J26" s="335" t="s">
        <v>823</v>
      </c>
      <c r="K26" s="335" t="s">
        <v>1691</v>
      </c>
      <c r="M26" s="335" t="s">
        <v>1730</v>
      </c>
      <c r="N26" s="335" t="s">
        <v>388</v>
      </c>
      <c r="O26" s="335" t="s">
        <v>389</v>
      </c>
      <c r="Q26" s="307" t="e">
        <f ca="1">_xll.BDP(M26&amp;" "&amp;N26&amp;" "&amp;O26,Q$2)</f>
        <v>#NAME?</v>
      </c>
      <c r="R26" s="307" t="e">
        <f ca="1">_xll.BDP(M26&amp;" "&amp;N26&amp;" "&amp;O26,R$2)</f>
        <v>#NAME?</v>
      </c>
      <c r="S26" s="307" t="e">
        <f ca="1">_xll.BDP(M26&amp;" "&amp;N26&amp;" "&amp;O26,S$2)</f>
        <v>#NAME?</v>
      </c>
      <c r="T26" s="307" t="e">
        <f ca="1">_xll.BDP(M26&amp;" "&amp;N26&amp;" "&amp;O26,T$2)</f>
        <v>#NAME?</v>
      </c>
      <c r="U26" s="307" t="e">
        <f ca="1">_xll.BDP(M26&amp;" "&amp;N26&amp;" "&amp;O26,U$2)</f>
        <v>#NAME?</v>
      </c>
      <c r="V26" s="307" t="e">
        <f ca="1">_xll.BDP(M26&amp;" "&amp;N26&amp;" "&amp;O26,V$2)</f>
        <v>#NAME?</v>
      </c>
      <c r="X26" s="307" t="s">
        <v>1731</v>
      </c>
      <c r="Y26" s="307">
        <v>117.7</v>
      </c>
      <c r="Z26" s="307">
        <v>105.2</v>
      </c>
      <c r="AA26" s="307">
        <v>130.4</v>
      </c>
      <c r="AB26" s="307" t="s">
        <v>390</v>
      </c>
      <c r="AC26" s="307" t="s">
        <v>1700</v>
      </c>
    </row>
    <row r="27" spans="2:29">
      <c r="B27" s="335" t="s">
        <v>374</v>
      </c>
      <c r="C27" s="335" t="s">
        <v>375</v>
      </c>
      <c r="D27" s="335" t="s">
        <v>1689</v>
      </c>
      <c r="E27" s="335" t="s">
        <v>1690</v>
      </c>
      <c r="F27" s="335" t="s">
        <v>376</v>
      </c>
      <c r="G27" s="335" t="s">
        <v>106</v>
      </c>
      <c r="H27" s="336" t="s">
        <v>17</v>
      </c>
      <c r="I27" s="335">
        <v>0</v>
      </c>
      <c r="J27" s="335" t="s">
        <v>823</v>
      </c>
      <c r="K27" s="335" t="s">
        <v>1691</v>
      </c>
      <c r="M27" s="335" t="s">
        <v>1732</v>
      </c>
      <c r="N27" s="335" t="s">
        <v>388</v>
      </c>
      <c r="O27" s="335" t="s">
        <v>389</v>
      </c>
      <c r="Q27" s="307" t="e">
        <f ca="1">_xll.BDP(M27&amp;" "&amp;N27&amp;" "&amp;O27,Q$2)</f>
        <v>#NAME?</v>
      </c>
      <c r="R27" s="307" t="e">
        <f ca="1">_xll.BDP(M27&amp;" "&amp;N27&amp;" "&amp;O27,R$2)</f>
        <v>#NAME?</v>
      </c>
      <c r="S27" s="307" t="e">
        <f ca="1">_xll.BDP(M27&amp;" "&amp;N27&amp;" "&amp;O27,S$2)</f>
        <v>#NAME?</v>
      </c>
      <c r="T27" s="307" t="e">
        <f ca="1">_xll.BDP(M27&amp;" "&amp;N27&amp;" "&amp;O27,T$2)</f>
        <v>#NAME?</v>
      </c>
      <c r="U27" s="307" t="e">
        <f ca="1">_xll.BDP(M27&amp;" "&amp;N27&amp;" "&amp;O27,U$2)</f>
        <v>#NAME?</v>
      </c>
      <c r="V27" s="307" t="e">
        <f ca="1">_xll.BDP(M27&amp;" "&amp;N27&amp;" "&amp;O27,V$2)</f>
        <v>#NAME?</v>
      </c>
      <c r="X27" s="307" t="s">
        <v>1733</v>
      </c>
      <c r="Y27" s="307">
        <v>92</v>
      </c>
      <c r="Z27" s="307">
        <v>79.5</v>
      </c>
      <c r="AA27" s="307">
        <v>104.8</v>
      </c>
      <c r="AB27" s="307" t="s">
        <v>390</v>
      </c>
      <c r="AC27" s="307" t="s">
        <v>1700</v>
      </c>
    </row>
    <row r="28" spans="2:29">
      <c r="B28" s="335" t="s">
        <v>374</v>
      </c>
      <c r="C28" s="335" t="s">
        <v>375</v>
      </c>
      <c r="D28" s="335" t="s">
        <v>1689</v>
      </c>
      <c r="E28" s="335" t="s">
        <v>1690</v>
      </c>
      <c r="F28" s="335" t="s">
        <v>376</v>
      </c>
      <c r="G28" s="335" t="s">
        <v>106</v>
      </c>
      <c r="H28" s="336" t="s">
        <v>104</v>
      </c>
      <c r="I28" s="335">
        <v>0</v>
      </c>
      <c r="J28" s="335" t="s">
        <v>823</v>
      </c>
      <c r="K28" s="335" t="s">
        <v>1691</v>
      </c>
      <c r="M28" s="335" t="s">
        <v>1734</v>
      </c>
      <c r="N28" s="335" t="s">
        <v>388</v>
      </c>
      <c r="O28" s="335" t="s">
        <v>389</v>
      </c>
      <c r="Q28" s="307" t="e">
        <f ca="1">_xll.BDP(M28&amp;" "&amp;N28&amp;" "&amp;O28,Q$2)</f>
        <v>#NAME?</v>
      </c>
      <c r="R28" s="307" t="e">
        <f ca="1">_xll.BDP(M28&amp;" "&amp;N28&amp;" "&amp;O28,R$2)</f>
        <v>#NAME?</v>
      </c>
      <c r="S28" s="307" t="e">
        <f ca="1">_xll.BDP(M28&amp;" "&amp;N28&amp;" "&amp;O28,S$2)</f>
        <v>#NAME?</v>
      </c>
      <c r="T28" s="307" t="e">
        <f ca="1">_xll.BDP(M28&amp;" "&amp;N28&amp;" "&amp;O28,T$2)</f>
        <v>#NAME?</v>
      </c>
      <c r="U28" s="307" t="e">
        <f ca="1">_xll.BDP(M28&amp;" "&amp;N28&amp;" "&amp;O28,U$2)</f>
        <v>#NAME?</v>
      </c>
      <c r="V28" s="307" t="e">
        <f ca="1">_xll.BDP(M28&amp;" "&amp;N28&amp;" "&amp;O28,V$2)</f>
        <v>#NAME?</v>
      </c>
      <c r="X28" s="307" t="s">
        <v>1735</v>
      </c>
      <c r="Y28" s="307">
        <v>80.900000000000006</v>
      </c>
      <c r="Z28" s="307">
        <v>65.900000000000006</v>
      </c>
      <c r="AA28" s="307">
        <v>96.3</v>
      </c>
      <c r="AB28" s="307" t="s">
        <v>390</v>
      </c>
      <c r="AC28" s="307" t="s">
        <v>1700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7030A0"/>
  </sheetPr>
  <dimension ref="B3:V144"/>
  <sheetViews>
    <sheetView showGridLines="0" zoomScale="70" zoomScaleNormal="70" workbookViewId="0">
      <selection activeCell="D9" sqref="D9"/>
    </sheetView>
  </sheetViews>
  <sheetFormatPr defaultColWidth="11.42578125" defaultRowHeight="12.75"/>
  <cols>
    <col min="1" max="1" width="11.42578125" style="47"/>
    <col min="2" max="2" width="11.42578125" style="47" customWidth="1"/>
    <col min="3" max="3" width="27.28515625" style="47" bestFit="1" customWidth="1"/>
    <col min="4" max="4" width="27.28515625" style="47" customWidth="1"/>
    <col min="5" max="5" width="11.42578125" style="47" customWidth="1"/>
    <col min="6" max="6" width="13" style="47" bestFit="1" customWidth="1"/>
    <col min="7" max="8" width="20.140625" style="47" customWidth="1"/>
    <col min="9" max="9" width="17.7109375" style="47" bestFit="1" customWidth="1"/>
    <col min="10" max="10" width="19.28515625" style="47" bestFit="1" customWidth="1"/>
    <col min="11" max="11" width="33" style="47" customWidth="1"/>
    <col min="12" max="12" width="15.7109375" style="47" bestFit="1" customWidth="1"/>
    <col min="13" max="13" width="10.7109375" style="47" bestFit="1" customWidth="1"/>
    <col min="14" max="14" width="20.140625" style="47" customWidth="1"/>
    <col min="15" max="15" width="32" style="47" bestFit="1" customWidth="1"/>
    <col min="16" max="17" width="15.7109375" style="47" bestFit="1" customWidth="1"/>
    <col min="18" max="18" width="24" style="47" bestFit="1" customWidth="1"/>
    <col min="19" max="19" width="30.140625" style="47" bestFit="1" customWidth="1"/>
    <col min="20" max="20" width="13.5703125" style="47" customWidth="1"/>
    <col min="21" max="21" width="18.7109375" style="47" bestFit="1" customWidth="1"/>
    <col min="22" max="22" width="12.85546875" style="47" customWidth="1"/>
    <col min="23" max="23" width="10.42578125" style="47" bestFit="1" customWidth="1"/>
    <col min="24" max="24" width="11.42578125" style="47" customWidth="1"/>
    <col min="25" max="25" width="13.28515625" style="47" bestFit="1" customWidth="1"/>
    <col min="26" max="26" width="10.7109375" style="47" customWidth="1"/>
    <col min="27" max="33" width="11.42578125" style="47" customWidth="1"/>
    <col min="34" max="34" width="10.28515625" style="47" bestFit="1" customWidth="1"/>
    <col min="35" max="40" width="11.42578125" style="47" customWidth="1"/>
    <col min="41" max="41" width="16.7109375" style="47" bestFit="1" customWidth="1"/>
    <col min="42" max="16384" width="11.42578125" style="47"/>
  </cols>
  <sheetData>
    <row r="3" spans="3:22">
      <c r="C3" s="1" t="s">
        <v>0</v>
      </c>
      <c r="D3" s="2" t="s">
        <v>45</v>
      </c>
    </row>
    <row r="5" spans="3:22">
      <c r="C5" s="419" t="b">
        <f ca="1">_xll.qlSettingsSetEvaluationDate(D6)</f>
        <v>1</v>
      </c>
      <c r="D5" s="420"/>
    </row>
    <row r="6" spans="3:22">
      <c r="C6" s="3" t="s">
        <v>1</v>
      </c>
      <c r="D6" s="434">
        <f ca="1">DATE(VALUE(RIGHT(BBDate,4)),VALUE(LEFT(BBDate,2)),VALUE(MID(BBDate,4,2)))</f>
        <v>42254</v>
      </c>
      <c r="G6" s="84"/>
    </row>
    <row r="10" spans="3:22">
      <c r="C10" s="48" t="s">
        <v>112</v>
      </c>
    </row>
    <row r="12" spans="3:22">
      <c r="C12" s="30" t="s">
        <v>113</v>
      </c>
      <c r="D12" s="49" t="str">
        <f ca="1">_xll.qlEonia()</f>
        <v>obj_00017#0001</v>
      </c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</row>
    <row r="13" spans="3:22">
      <c r="C13" s="30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</row>
    <row r="14" spans="3:22">
      <c r="C14" s="50" t="s">
        <v>114</v>
      </c>
      <c r="D14" s="51" t="str">
        <f ca="1">_xll.qlEonia("Eonia-Bootstrapindex")</f>
        <v>Eonia-Bootstrapindex#0001</v>
      </c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30" t="s">
        <v>115</v>
      </c>
      <c r="S14" s="49"/>
      <c r="U14" s="52" t="s">
        <v>116</v>
      </c>
      <c r="V14" s="49"/>
    </row>
    <row r="15" spans="3:22"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U15" s="49"/>
      <c r="V15" s="49"/>
    </row>
    <row r="16" spans="3:22">
      <c r="C16" s="53" t="s">
        <v>2</v>
      </c>
      <c r="D16" s="53" t="s">
        <v>117</v>
      </c>
      <c r="E16" s="53" t="s">
        <v>118</v>
      </c>
      <c r="F16" s="53" t="s">
        <v>119</v>
      </c>
      <c r="G16" s="53" t="s">
        <v>3</v>
      </c>
      <c r="H16" s="53" t="s">
        <v>3</v>
      </c>
      <c r="I16" s="53" t="s">
        <v>4</v>
      </c>
      <c r="J16" s="53" t="s">
        <v>120</v>
      </c>
      <c r="K16" s="53" t="s">
        <v>121</v>
      </c>
      <c r="L16" s="54"/>
      <c r="M16" s="55"/>
      <c r="N16" s="56"/>
      <c r="O16" s="53" t="s">
        <v>122</v>
      </c>
      <c r="P16" s="53" t="s">
        <v>5</v>
      </c>
      <c r="R16" s="5" t="s">
        <v>123</v>
      </c>
      <c r="S16" s="6" t="str">
        <f ca="1">_xll.qlPiecewiseYieldCurve(S18,S19,S20,_xll.ohPack(O18:O53),S22,S23,S24,S25,S26,S27,S28,S29,S30)</f>
        <v>EONIA-Curve#0001</v>
      </c>
      <c r="U16" s="57" t="s">
        <v>18</v>
      </c>
      <c r="V16" s="57" t="s">
        <v>124</v>
      </c>
    </row>
    <row r="17" spans="2:22">
      <c r="C17" s="58" t="s">
        <v>2</v>
      </c>
      <c r="D17" s="58" t="s">
        <v>117</v>
      </c>
      <c r="E17" s="58" t="s">
        <v>6</v>
      </c>
      <c r="F17" s="58" t="s">
        <v>3</v>
      </c>
      <c r="G17" s="58" t="s">
        <v>125</v>
      </c>
      <c r="H17" s="58" t="s">
        <v>125</v>
      </c>
      <c r="I17" s="58" t="s">
        <v>126</v>
      </c>
      <c r="J17" s="58" t="s">
        <v>127</v>
      </c>
      <c r="K17" s="58" t="s">
        <v>128</v>
      </c>
      <c r="L17" s="58" t="s">
        <v>129</v>
      </c>
      <c r="M17" s="58" t="s">
        <v>130</v>
      </c>
      <c r="N17" s="58" t="s">
        <v>131</v>
      </c>
      <c r="O17" s="58" t="s">
        <v>132</v>
      </c>
      <c r="P17" s="58" t="s">
        <v>5</v>
      </c>
      <c r="R17" s="7" t="s">
        <v>5</v>
      </c>
      <c r="S17" s="4" t="str">
        <f ca="1">_xll.ohRangeRetrieveError(S16)</f>
        <v/>
      </c>
      <c r="U17" s="59">
        <f t="array" aca="1" ref="U17:U51" ca="1">_xll.qlPiecewiseYieldCurveDates(S16,S16)</f>
        <v>42254</v>
      </c>
      <c r="V17" s="62">
        <f t="array" aca="1" ref="V17:V51" ca="1">_xll.qlPiecewiseYieldCurveData(S16,S16)</f>
        <v>1</v>
      </c>
    </row>
    <row r="18" spans="2:22">
      <c r="B18" s="65"/>
      <c r="C18" s="66" t="s">
        <v>185</v>
      </c>
      <c r="D18" s="337">
        <f ca="1">VLOOKUP(C18,'Swap Curves'!$U:$V,2,FALSE)%</f>
        <v>-1.33E-3</v>
      </c>
      <c r="E18" s="66" t="s">
        <v>133</v>
      </c>
      <c r="F18" s="66">
        <v>0</v>
      </c>
      <c r="G18" s="66"/>
      <c r="H18" s="66" t="s">
        <v>20</v>
      </c>
      <c r="I18" s="66" t="s">
        <v>21</v>
      </c>
      <c r="J18" s="66" t="b">
        <v>1</v>
      </c>
      <c r="K18" s="66" t="s">
        <v>22</v>
      </c>
      <c r="L18" s="67"/>
      <c r="M18" s="67"/>
      <c r="N18" s="68"/>
      <c r="O18" s="69" t="str">
        <f ca="1">_xll.qlDepositRateHelper2(C18,D18,E18,F18,H18,I18,J18,K18)</f>
        <v>Euro OverNight Index Average#0001</v>
      </c>
      <c r="P18" s="70" t="str">
        <f ca="1">_xll.ohRangeRetrieveError(O18)</f>
        <v/>
      </c>
      <c r="R18" s="8" t="s">
        <v>2</v>
      </c>
      <c r="S18" s="9" t="s">
        <v>38</v>
      </c>
      <c r="U18" s="60">
        <f ca="1"/>
        <v>42255</v>
      </c>
      <c r="V18" s="63">
        <f ca="1"/>
        <v>1.0000036944580935</v>
      </c>
    </row>
    <row r="19" spans="2:22">
      <c r="B19" s="65"/>
      <c r="C19" s="71" t="s">
        <v>186</v>
      </c>
      <c r="D19" s="338">
        <f ca="1">VLOOKUP(C19,'Swap Curves'!$U:$V,2,FALSE)%</f>
        <v>-1.2800000000000001E-3</v>
      </c>
      <c r="E19" s="71" t="s">
        <v>134</v>
      </c>
      <c r="F19" s="71">
        <v>2</v>
      </c>
      <c r="G19" s="71"/>
      <c r="H19" s="71"/>
      <c r="I19" s="71"/>
      <c r="J19" s="71"/>
      <c r="K19" s="68" t="str">
        <f t="shared" ref="K19:K53" ca="1" si="0">$D$14</f>
        <v>Eonia-Bootstrapindex#0001</v>
      </c>
      <c r="L19" s="72"/>
      <c r="M19" s="71"/>
      <c r="N19" s="68"/>
      <c r="O19" s="73" t="str">
        <f ca="1">_xll.qlOISRateHelper(C19,F19,E19,D19,K19)</f>
        <v>EUR SWAP (EONIA)    1 WK#0001</v>
      </c>
      <c r="P19" s="74" t="str">
        <f ca="1">_xll.ohRangeRetrieveError(O19)</f>
        <v/>
      </c>
      <c r="R19" s="10" t="s">
        <v>135</v>
      </c>
      <c r="S19" s="11">
        <v>0</v>
      </c>
      <c r="U19" s="60">
        <f ca="1"/>
        <v>42263</v>
      </c>
      <c r="V19" s="63">
        <f ca="1"/>
        <v>1.0000322403346626</v>
      </c>
    </row>
    <row r="20" spans="2:22">
      <c r="B20" s="65"/>
      <c r="C20" s="71" t="s">
        <v>187</v>
      </c>
      <c r="D20" s="338">
        <f ca="1">VLOOKUP(C20,'Swap Curves'!$U:$V,2,FALSE)%</f>
        <v>-1.2900000000000001E-3</v>
      </c>
      <c r="E20" s="71" t="s">
        <v>136</v>
      </c>
      <c r="F20" s="71">
        <v>2</v>
      </c>
      <c r="G20" s="71"/>
      <c r="H20" s="71"/>
      <c r="I20" s="71"/>
      <c r="J20" s="71"/>
      <c r="K20" s="68" t="str">
        <f t="shared" ca="1" si="0"/>
        <v>Eonia-Bootstrapindex#0001</v>
      </c>
      <c r="L20" s="72"/>
      <c r="M20" s="71"/>
      <c r="N20" s="68"/>
      <c r="O20" s="73" t="str">
        <f ca="1">_xll.qlOISRateHelper(C20,F20,E20,D20,K20)</f>
        <v>EUR SWAP (EONIA)    2 WK#0001</v>
      </c>
      <c r="P20" s="74" t="str">
        <f ca="1">_xll.ohRangeRetrieveError(O20)</f>
        <v/>
      </c>
      <c r="R20" s="10" t="s">
        <v>3</v>
      </c>
      <c r="S20" s="12" t="s">
        <v>20</v>
      </c>
      <c r="U20" s="60">
        <f ca="1"/>
        <v>42270</v>
      </c>
      <c r="V20" s="63">
        <f ca="1"/>
        <v>1.0000575201952908</v>
      </c>
    </row>
    <row r="21" spans="2:22">
      <c r="B21" s="65"/>
      <c r="C21" s="71" t="s">
        <v>188</v>
      </c>
      <c r="D21" s="338">
        <f ca="1">VLOOKUP(C21,'Swap Curves'!$U:$V,2,FALSE)%</f>
        <v>-1.31E-3</v>
      </c>
      <c r="E21" s="71" t="s">
        <v>137</v>
      </c>
      <c r="F21" s="71">
        <v>2</v>
      </c>
      <c r="G21" s="71"/>
      <c r="H21" s="71"/>
      <c r="I21" s="71"/>
      <c r="J21" s="71"/>
      <c r="K21" s="68" t="str">
        <f t="shared" ca="1" si="0"/>
        <v>Eonia-Bootstrapindex#0001</v>
      </c>
      <c r="L21" s="72"/>
      <c r="M21" s="71"/>
      <c r="N21" s="68"/>
      <c r="O21" s="73" t="str">
        <f ca="1">_xll.qlOISRateHelper(C21,F21,E21,D21,K21)</f>
        <v>EUR SWAP (EONIA)    3 WK#0001</v>
      </c>
      <c r="P21" s="75" t="str">
        <f ca="1">_xll.ohRangeRetrieveError(O21)</f>
        <v/>
      </c>
      <c r="R21" s="10" t="s">
        <v>113</v>
      </c>
      <c r="S21" s="76"/>
      <c r="U21" s="60">
        <f ca="1"/>
        <v>42277</v>
      </c>
      <c r="V21" s="63">
        <f ca="1"/>
        <v>1.0000837737116308</v>
      </c>
    </row>
    <row r="22" spans="2:22">
      <c r="B22" s="65"/>
      <c r="C22" s="71" t="s">
        <v>189</v>
      </c>
      <c r="D22" s="338">
        <f ca="1">VLOOKUP(C22,'Swap Curves'!$U:$V,2,FALSE)%</f>
        <v>-1.2999999999999999E-3</v>
      </c>
      <c r="E22" s="71" t="s">
        <v>138</v>
      </c>
      <c r="F22" s="71">
        <v>2</v>
      </c>
      <c r="G22" s="71"/>
      <c r="H22" s="71"/>
      <c r="I22" s="71"/>
      <c r="J22" s="71"/>
      <c r="K22" s="68" t="str">
        <f t="shared" ca="1" si="0"/>
        <v>Eonia-Bootstrapindex#0001</v>
      </c>
      <c r="L22" s="72"/>
      <c r="M22" s="71"/>
      <c r="N22" s="68"/>
      <c r="O22" s="73" t="str">
        <f ca="1">_xll.qlOISRateHelper(C22,F22,E22,D22,K22)</f>
        <v>EUR SWAP (EONIA)    1 MO#0001</v>
      </c>
      <c r="P22" s="74" t="str">
        <f ca="1">_xll.ohRangeRetrieveError(O22)</f>
        <v/>
      </c>
      <c r="R22" s="10" t="s">
        <v>28</v>
      </c>
      <c r="S22" s="12" t="s">
        <v>29</v>
      </c>
      <c r="U22" s="60">
        <f ca="1"/>
        <v>42286</v>
      </c>
      <c r="V22" s="63">
        <f ca="1"/>
        <v>1.0001156965103559</v>
      </c>
    </row>
    <row r="23" spans="2:22">
      <c r="B23" s="65"/>
      <c r="C23" s="71" t="s">
        <v>190</v>
      </c>
      <c r="D23" s="338">
        <f ca="1">VLOOKUP(C23,'Swap Curves'!$U:$V,2,FALSE)%</f>
        <v>-1.32E-3</v>
      </c>
      <c r="E23" s="71" t="s">
        <v>139</v>
      </c>
      <c r="F23" s="71">
        <v>2</v>
      </c>
      <c r="G23" s="71"/>
      <c r="H23" s="71"/>
      <c r="I23" s="71"/>
      <c r="J23" s="71"/>
      <c r="K23" s="68" t="str">
        <f t="shared" ca="1" si="0"/>
        <v>Eonia-Bootstrapindex#0001</v>
      </c>
      <c r="L23" s="72"/>
      <c r="M23" s="71"/>
      <c r="N23" s="68"/>
      <c r="O23" s="73" t="str">
        <f ca="1">_xll.qlOISRateHelper(C23,F23,E23,D23,K23)</f>
        <v>EUR SWAP (EONIA)    2 MO#0001</v>
      </c>
      <c r="P23" s="74" t="str">
        <f ca="1">_xll.ohRangeRetrieveError(O23)</f>
        <v/>
      </c>
      <c r="R23" s="10" t="s">
        <v>140</v>
      </c>
      <c r="S23" s="11"/>
      <c r="U23" s="60">
        <f ca="1"/>
        <v>42317</v>
      </c>
      <c r="V23" s="63">
        <f ca="1"/>
        <v>1.0002310689920806</v>
      </c>
    </row>
    <row r="24" spans="2:22">
      <c r="B24" s="65"/>
      <c r="C24" s="71" t="s">
        <v>191</v>
      </c>
      <c r="D24" s="338">
        <f ca="1">VLOOKUP(C24,'Swap Curves'!$U:$V,2,FALSE)%</f>
        <v>-1.34E-3</v>
      </c>
      <c r="E24" s="71" t="s">
        <v>141</v>
      </c>
      <c r="F24" s="71">
        <v>2</v>
      </c>
      <c r="G24" s="71"/>
      <c r="H24" s="71"/>
      <c r="I24" s="71"/>
      <c r="J24" s="71"/>
      <c r="K24" s="68" t="str">
        <f t="shared" ca="1" si="0"/>
        <v>Eonia-Bootstrapindex#0001</v>
      </c>
      <c r="L24" s="72"/>
      <c r="M24" s="71"/>
      <c r="N24" s="68"/>
      <c r="O24" s="73" t="str">
        <f ca="1">_xll.qlOISRateHelper(C24,F24,E24,D24,K24)</f>
        <v>EUR SWAP (EONIA)    3 MO#0001</v>
      </c>
      <c r="P24" s="74" t="str">
        <f ca="1">_xll.ohRangeRetrieveError(O24)</f>
        <v/>
      </c>
      <c r="R24" s="10" t="s">
        <v>142</v>
      </c>
      <c r="S24" s="11"/>
      <c r="U24" s="60">
        <f ca="1"/>
        <v>42347</v>
      </c>
      <c r="V24" s="63">
        <f ca="1"/>
        <v>1.0003461901275059</v>
      </c>
    </row>
    <row r="25" spans="2:22">
      <c r="B25" s="65"/>
      <c r="C25" s="71" t="s">
        <v>192</v>
      </c>
      <c r="D25" s="338">
        <f ca="1">VLOOKUP(C25,'Swap Curves'!$U:$V,2,FALSE)%</f>
        <v>-1.34E-3</v>
      </c>
      <c r="E25" s="71" t="s">
        <v>143</v>
      </c>
      <c r="F25" s="71">
        <v>2</v>
      </c>
      <c r="G25" s="71"/>
      <c r="H25" s="71"/>
      <c r="I25" s="71"/>
      <c r="J25" s="71"/>
      <c r="K25" s="68" t="str">
        <f t="shared" ca="1" si="0"/>
        <v>Eonia-Bootstrapindex#0001</v>
      </c>
      <c r="L25" s="72"/>
      <c r="M25" s="71"/>
      <c r="N25" s="68"/>
      <c r="O25" s="73" t="str">
        <f ca="1">_xll.qlOISRateHelper(C25,F25,E25,D25,K25)</f>
        <v>EUR SWAP (EONIA)    4 MO#0001</v>
      </c>
      <c r="P25" s="74" t="str">
        <f ca="1">_xll.ohRangeRetrieveError(O25)</f>
        <v/>
      </c>
      <c r="R25" s="10" t="s">
        <v>144</v>
      </c>
      <c r="S25" s="11"/>
      <c r="U25" s="60">
        <f ca="1"/>
        <v>42380</v>
      </c>
      <c r="V25" s="63">
        <f ca="1"/>
        <v>1.0004691227247142</v>
      </c>
    </row>
    <row r="26" spans="2:22">
      <c r="B26" s="65"/>
      <c r="C26" s="71" t="s">
        <v>193</v>
      </c>
      <c r="D26" s="338">
        <f ca="1">VLOOKUP(C26,'Swap Curves'!$U:$V,2,FALSE)%</f>
        <v>-1.3800000000000002E-3</v>
      </c>
      <c r="E26" s="71" t="s">
        <v>145</v>
      </c>
      <c r="F26" s="71">
        <v>2</v>
      </c>
      <c r="G26" s="71"/>
      <c r="H26" s="71"/>
      <c r="I26" s="71"/>
      <c r="J26" s="71"/>
      <c r="K26" s="68" t="str">
        <f t="shared" ca="1" si="0"/>
        <v>Eonia-Bootstrapindex#0001</v>
      </c>
      <c r="L26" s="72"/>
      <c r="M26" s="71"/>
      <c r="N26" s="68"/>
      <c r="O26" s="73" t="str">
        <f ca="1">_xll.qlOISRateHelper(C26,F26,E26,D26,K26)</f>
        <v>EUR SWAP (EONIA)    5 MO#0001</v>
      </c>
      <c r="P26" s="74" t="str">
        <f ca="1">_xll.ohRangeRetrieveError(O26)</f>
        <v/>
      </c>
      <c r="R26" s="13" t="s">
        <v>31</v>
      </c>
      <c r="S26" s="12" t="s">
        <v>292</v>
      </c>
      <c r="U26" s="60">
        <f ca="1"/>
        <v>42409</v>
      </c>
      <c r="V26" s="63">
        <f ca="1"/>
        <v>1.0005941991408023</v>
      </c>
    </row>
    <row r="27" spans="2:22">
      <c r="B27" s="65"/>
      <c r="C27" s="71" t="s">
        <v>194</v>
      </c>
      <c r="D27" s="338">
        <f ca="1">VLOOKUP(C27,'Swap Curves'!$U:$V,2,FALSE)%</f>
        <v>-1.4000000000000002E-3</v>
      </c>
      <c r="E27" s="71" t="s">
        <v>146</v>
      </c>
      <c r="F27" s="71">
        <v>2</v>
      </c>
      <c r="G27" s="71"/>
      <c r="H27" s="71"/>
      <c r="I27" s="71"/>
      <c r="J27" s="71"/>
      <c r="K27" s="68" t="str">
        <f t="shared" ca="1" si="0"/>
        <v>Eonia-Bootstrapindex#0001</v>
      </c>
      <c r="L27" s="72"/>
      <c r="M27" s="71"/>
      <c r="N27" s="68"/>
      <c r="O27" s="73" t="str">
        <f ca="1">_xll.qlOISRateHelper(C27,F27,E27,D27,K27)</f>
        <v>EUR SWAP (EONIA)    6 MO#0001</v>
      </c>
      <c r="P27" s="75" t="str">
        <f ca="1">_xll.ohRangeRetrieveError(O27)</f>
        <v/>
      </c>
      <c r="R27" s="13" t="s">
        <v>33</v>
      </c>
      <c r="S27" s="12" t="s">
        <v>293</v>
      </c>
      <c r="U27" s="60">
        <f ca="1"/>
        <v>42438</v>
      </c>
      <c r="V27" s="63">
        <f ca="1"/>
        <v>1.0007156349312853</v>
      </c>
    </row>
    <row r="28" spans="2:22">
      <c r="B28" s="65"/>
      <c r="C28" s="71" t="s">
        <v>195</v>
      </c>
      <c r="D28" s="338">
        <f ca="1">VLOOKUP(C28,'Swap Curves'!$U:$V,2,FALSE)%</f>
        <v>-1.4199999999999998E-3</v>
      </c>
      <c r="E28" s="71" t="s">
        <v>147</v>
      </c>
      <c r="F28" s="71">
        <v>2</v>
      </c>
      <c r="G28" s="71"/>
      <c r="H28" s="71"/>
      <c r="I28" s="71"/>
      <c r="J28" s="71"/>
      <c r="K28" s="68" t="str">
        <f t="shared" ca="1" si="0"/>
        <v>Eonia-Bootstrapindex#0001</v>
      </c>
      <c r="L28" s="72"/>
      <c r="M28" s="71"/>
      <c r="N28" s="68"/>
      <c r="O28" s="73" t="str">
        <f ca="1">_xll.qlOISRateHelper(C28,F28,E28,D28,K28)</f>
        <v>EUR SWAP (EONIA)    7 MO#0001</v>
      </c>
      <c r="P28" s="74" t="str">
        <f ca="1">_xll.ohRangeRetrieveError(O28)</f>
        <v/>
      </c>
      <c r="R28" s="10" t="s">
        <v>30</v>
      </c>
      <c r="S28" s="11"/>
      <c r="U28" s="60">
        <f ca="1"/>
        <v>42471</v>
      </c>
      <c r="V28" s="63">
        <f ca="1"/>
        <v>1.0008561322462224</v>
      </c>
    </row>
    <row r="29" spans="2:22">
      <c r="B29" s="65"/>
      <c r="C29" s="71" t="s">
        <v>196</v>
      </c>
      <c r="D29" s="338">
        <f ca="1">VLOOKUP(C29,'Swap Curves'!$U:$V,2,FALSE)%</f>
        <v>-1.4199999999999998E-3</v>
      </c>
      <c r="E29" s="71" t="s">
        <v>148</v>
      </c>
      <c r="F29" s="71">
        <v>2</v>
      </c>
      <c r="G29" s="71"/>
      <c r="H29" s="71"/>
      <c r="I29" s="71"/>
      <c r="J29" s="71"/>
      <c r="K29" s="68" t="str">
        <f t="shared" ca="1" si="0"/>
        <v>Eonia-Bootstrapindex#0001</v>
      </c>
      <c r="L29" s="72"/>
      <c r="M29" s="71"/>
      <c r="N29" s="68"/>
      <c r="O29" s="73" t="str">
        <f ca="1">_xll.qlOISRateHelper(C29,F29,E29,D29,K29)</f>
        <v>EUR SWAP (EONIA)    8 MO#0001</v>
      </c>
      <c r="P29" s="74" t="str">
        <f ca="1">_xll.ohRangeRetrieveError(O29)</f>
        <v/>
      </c>
      <c r="R29" s="10" t="s">
        <v>32</v>
      </c>
      <c r="S29" s="11"/>
      <c r="U29" s="60">
        <f ca="1"/>
        <v>42499</v>
      </c>
      <c r="V29" s="63">
        <f ca="1"/>
        <v>1.0009667772990589</v>
      </c>
    </row>
    <row r="30" spans="2:22">
      <c r="B30" s="65"/>
      <c r="C30" s="71" t="s">
        <v>197</v>
      </c>
      <c r="D30" s="338">
        <f ca="1">VLOOKUP(C30,'Swap Curves'!$U:$V,2,FALSE)%</f>
        <v>-1.4499999999999999E-3</v>
      </c>
      <c r="E30" s="71" t="s">
        <v>149</v>
      </c>
      <c r="F30" s="71">
        <v>2</v>
      </c>
      <c r="G30" s="71"/>
      <c r="H30" s="71"/>
      <c r="I30" s="71"/>
      <c r="J30" s="71"/>
      <c r="K30" s="68" t="str">
        <f t="shared" ca="1" si="0"/>
        <v>Eonia-Bootstrapindex#0001</v>
      </c>
      <c r="L30" s="72"/>
      <c r="M30" s="71"/>
      <c r="N30" s="68"/>
      <c r="O30" s="73" t="str">
        <f ca="1">_xll.qlOISRateHelper(C30,F30,E30,D30,K30)</f>
        <v>EUR SWAP (EONIA)    9 MO#0001</v>
      </c>
      <c r="P30" s="74" t="str">
        <f ca="1">_xll.ohRangeRetrieveError(O30)</f>
        <v/>
      </c>
      <c r="R30" s="14" t="s">
        <v>34</v>
      </c>
      <c r="S30" s="15"/>
      <c r="U30" s="60">
        <f ca="1"/>
        <v>42530</v>
      </c>
      <c r="V30" s="63">
        <f ca="1"/>
        <v>1.0011121891784289</v>
      </c>
    </row>
    <row r="31" spans="2:22">
      <c r="B31" s="65"/>
      <c r="C31" s="71" t="s">
        <v>198</v>
      </c>
      <c r="D31" s="338">
        <f ca="1">VLOOKUP(C31,'Swap Curves'!$U:$V,2,FALSE)%</f>
        <v>-1.4599999999999999E-3</v>
      </c>
      <c r="E31" s="71" t="s">
        <v>150</v>
      </c>
      <c r="F31" s="71">
        <v>2</v>
      </c>
      <c r="G31" s="71"/>
      <c r="H31" s="71"/>
      <c r="I31" s="71"/>
      <c r="J31" s="71"/>
      <c r="K31" s="68" t="str">
        <f t="shared" ca="1" si="0"/>
        <v>Eonia-Bootstrapindex#0001</v>
      </c>
      <c r="L31" s="72"/>
      <c r="M31" s="71"/>
      <c r="N31" s="68"/>
      <c r="O31" s="73" t="str">
        <f ca="1">_xll.qlOISRateHelper(C31,F31,E31,D31,K31)</f>
        <v>EUR SWAP (EONIA)   10 MO#0001</v>
      </c>
      <c r="P31" s="74" t="str">
        <f ca="1">_xll.ohRangeRetrieveError(O31)</f>
        <v/>
      </c>
      <c r="R31" s="342" t="s">
        <v>1741</v>
      </c>
      <c r="S31" s="343" t="b">
        <f ca="1">_xll.qlExtrapolatorEnableExtrapolation(S16,,S16)</f>
        <v>1</v>
      </c>
      <c r="U31" s="60">
        <f ca="1"/>
        <v>42562</v>
      </c>
      <c r="V31" s="63">
        <f ca="1"/>
        <v>1.0012499017710688</v>
      </c>
    </row>
    <row r="32" spans="2:22">
      <c r="B32" s="65"/>
      <c r="C32" s="71" t="s">
        <v>199</v>
      </c>
      <c r="D32" s="338">
        <f ca="1">VLOOKUP(C32,'Swap Curves'!$U:$V,2,FALSE)%</f>
        <v>-1.47E-3</v>
      </c>
      <c r="E32" s="71" t="s">
        <v>151</v>
      </c>
      <c r="F32" s="71">
        <v>2</v>
      </c>
      <c r="G32" s="71"/>
      <c r="H32" s="71"/>
      <c r="I32" s="71"/>
      <c r="J32" s="71"/>
      <c r="K32" s="68" t="str">
        <f t="shared" ca="1" si="0"/>
        <v>Eonia-Bootstrapindex#0001</v>
      </c>
      <c r="L32" s="72"/>
      <c r="M32" s="71"/>
      <c r="N32" s="68"/>
      <c r="O32" s="73" t="str">
        <f ca="1">_xll.qlOISRateHelper(C32,F32,E32,D32,K32)</f>
        <v>EUR SWAP (EONIA)   11 MO#0001</v>
      </c>
      <c r="P32" s="74" t="str">
        <f ca="1">_xll.ohRangeRetrieveError(O32)</f>
        <v/>
      </c>
      <c r="U32" s="60">
        <f ca="1"/>
        <v>42591</v>
      </c>
      <c r="V32" s="63">
        <f ca="1"/>
        <v>1.0013771511376666</v>
      </c>
    </row>
    <row r="33" spans="2:22">
      <c r="B33" s="65"/>
      <c r="C33" s="71" t="s">
        <v>200</v>
      </c>
      <c r="D33" s="338">
        <f ca="1">VLOOKUP(C33,'Swap Curves'!$U:$V,2,FALSE)%</f>
        <v>-1.48E-3</v>
      </c>
      <c r="E33" s="71" t="s">
        <v>7</v>
      </c>
      <c r="F33" s="71">
        <v>2</v>
      </c>
      <c r="G33" s="71"/>
      <c r="H33" s="71"/>
      <c r="I33" s="71"/>
      <c r="J33" s="71"/>
      <c r="K33" s="68" t="str">
        <f t="shared" ca="1" si="0"/>
        <v>Eonia-Bootstrapindex#0001</v>
      </c>
      <c r="L33" s="72"/>
      <c r="M33" s="71"/>
      <c r="N33" s="68"/>
      <c r="O33" s="73" t="str">
        <f ca="1">_xll.qlOISRateHelper(C33,F33,E33,D33,K33)</f>
        <v>EUR SWAP (EONIA)    1 YR#0001</v>
      </c>
      <c r="P33" s="74" t="str">
        <f ca="1">_xll.ohRangeRetrieveError(O33)</f>
        <v/>
      </c>
      <c r="U33" s="60">
        <f ca="1"/>
        <v>42622</v>
      </c>
      <c r="V33" s="63">
        <f ca="1"/>
        <v>1.0015142958200933</v>
      </c>
    </row>
    <row r="34" spans="2:22">
      <c r="B34" s="65"/>
      <c r="C34" s="71" t="s">
        <v>201</v>
      </c>
      <c r="D34" s="338">
        <f ca="1">VLOOKUP(C34,'Swap Curves'!$U:$V,2,FALSE)%</f>
        <v>-1.49E-3</v>
      </c>
      <c r="E34" s="71" t="s">
        <v>153</v>
      </c>
      <c r="F34" s="71">
        <v>2</v>
      </c>
      <c r="G34" s="71"/>
      <c r="H34" s="71"/>
      <c r="I34" s="71"/>
      <c r="J34" s="71"/>
      <c r="K34" s="68" t="str">
        <f t="shared" ca="1" si="0"/>
        <v>Eonia-Bootstrapindex#0001</v>
      </c>
      <c r="L34" s="72"/>
      <c r="M34" s="71"/>
      <c r="N34" s="68"/>
      <c r="O34" s="73" t="str">
        <f ca="1">_xll.qlOISRateHelper(C34,F34,E34,D34,K34)</f>
        <v>EUR SWAP (EONIA)   15 MO#0001</v>
      </c>
      <c r="P34" s="74" t="str">
        <f ca="1">_xll.ohRangeRetrieveError(O34)</f>
        <v/>
      </c>
      <c r="R34" s="5" t="s">
        <v>152</v>
      </c>
      <c r="S34" s="6" t="str">
        <f ca="1">_xll.qlEonia(S36,S38)</f>
        <v>Eonia#0001</v>
      </c>
      <c r="U34" s="60">
        <f ca="1"/>
        <v>42713</v>
      </c>
      <c r="V34" s="63">
        <f ca="1"/>
        <v>1.001901834216288</v>
      </c>
    </row>
    <row r="35" spans="2:22">
      <c r="B35" s="65"/>
      <c r="C35" s="71" t="s">
        <v>202</v>
      </c>
      <c r="D35" s="338">
        <f ca="1">VLOOKUP(C35,'Swap Curves'!$U:$V,2,FALSE)%</f>
        <v>-1.47E-3</v>
      </c>
      <c r="E35" s="71" t="s">
        <v>154</v>
      </c>
      <c r="F35" s="71">
        <v>2</v>
      </c>
      <c r="G35" s="71"/>
      <c r="H35" s="71"/>
      <c r="I35" s="71"/>
      <c r="J35" s="71"/>
      <c r="K35" s="68" t="str">
        <f t="shared" ca="1" si="0"/>
        <v>Eonia-Bootstrapindex#0001</v>
      </c>
      <c r="L35" s="72"/>
      <c r="M35" s="71"/>
      <c r="N35" s="68"/>
      <c r="O35" s="73" t="str">
        <f ca="1">_xll.qlOISRateHelper(C35,F35,E35,D35,K35)</f>
        <v>EUR SWAP (EONIA)   18 MO#0001</v>
      </c>
      <c r="P35" s="74" t="str">
        <f ca="1">_xll.ohRangeRetrieveError(O35)</f>
        <v/>
      </c>
      <c r="R35" s="7" t="s">
        <v>5</v>
      </c>
      <c r="S35" s="4" t="str">
        <f ca="1">_xll.ohRangeRetrieveError(S34)</f>
        <v/>
      </c>
      <c r="U35" s="60">
        <f ca="1"/>
        <v>42803</v>
      </c>
      <c r="V35" s="63">
        <f ca="1"/>
        <v>1.0022448115164524</v>
      </c>
    </row>
    <row r="36" spans="2:22">
      <c r="B36" s="65"/>
      <c r="C36" s="71" t="s">
        <v>203</v>
      </c>
      <c r="D36" s="338">
        <f ca="1">VLOOKUP(C36,'Swap Curves'!$U:$V,2,FALSE)%</f>
        <v>-1.4299999999999998E-3</v>
      </c>
      <c r="E36" s="71" t="s">
        <v>156</v>
      </c>
      <c r="F36" s="71">
        <v>2</v>
      </c>
      <c r="G36" s="71"/>
      <c r="H36" s="71"/>
      <c r="I36" s="71"/>
      <c r="J36" s="71"/>
      <c r="K36" s="68" t="str">
        <f t="shared" ca="1" si="0"/>
        <v>Eonia-Bootstrapindex#0001</v>
      </c>
      <c r="L36" s="72"/>
      <c r="M36" s="71"/>
      <c r="N36" s="68"/>
      <c r="O36" s="73" t="str">
        <f ca="1">_xll.qlOISRateHelper(C36,F36,E36,D36,K36)</f>
        <v>EUR SWAP (EONIA)   21 MO#0001</v>
      </c>
      <c r="P36" s="74" t="str">
        <f ca="1">_xll.ohRangeRetrieveError(O36)</f>
        <v/>
      </c>
      <c r="R36" s="16" t="s">
        <v>2</v>
      </c>
      <c r="S36" s="9" t="s">
        <v>155</v>
      </c>
      <c r="U36" s="60">
        <f ca="1"/>
        <v>42895</v>
      </c>
      <c r="V36" s="63">
        <f ca="1"/>
        <v>1.0025505090208719</v>
      </c>
    </row>
    <row r="37" spans="2:22">
      <c r="B37" s="65"/>
      <c r="C37" s="71" t="s">
        <v>204</v>
      </c>
      <c r="D37" s="338">
        <f ca="1">VLOOKUP(C37,'Swap Curves'!$U:$V,2,FALSE)%</f>
        <v>-1.3600000000000001E-3</v>
      </c>
      <c r="E37" s="71" t="s">
        <v>8</v>
      </c>
      <c r="F37" s="71">
        <v>2</v>
      </c>
      <c r="G37" s="71"/>
      <c r="H37" s="71"/>
      <c r="I37" s="71"/>
      <c r="J37" s="71"/>
      <c r="K37" s="68" t="str">
        <f t="shared" ca="1" si="0"/>
        <v>Eonia-Bootstrapindex#0001</v>
      </c>
      <c r="L37" s="72"/>
      <c r="M37" s="71"/>
      <c r="N37" s="68"/>
      <c r="O37" s="73" t="str">
        <f ca="1">_xll.qlOISRateHelper(C37,F37,E37,D37,K37)</f>
        <v>EUR SWAP (EONIA)    2 YR#0001</v>
      </c>
      <c r="P37" s="74" t="str">
        <f ca="1">_xll.ohRangeRetrieveError(O37)</f>
        <v/>
      </c>
      <c r="R37" s="17" t="s">
        <v>6</v>
      </c>
      <c r="S37" s="11"/>
      <c r="U37" s="60">
        <f ca="1"/>
        <v>42989</v>
      </c>
      <c r="V37" s="63">
        <f ca="1"/>
        <v>1.0027824131815131</v>
      </c>
    </row>
    <row r="38" spans="2:22">
      <c r="B38" s="65"/>
      <c r="C38" s="71" t="s">
        <v>205</v>
      </c>
      <c r="D38" s="338">
        <f ca="1">VLOOKUP(C38,'Swap Curves'!$U:$V,2,FALSE)%</f>
        <v>-8.4000000000000003E-4</v>
      </c>
      <c r="E38" s="71" t="s">
        <v>9</v>
      </c>
      <c r="F38" s="71">
        <v>2</v>
      </c>
      <c r="G38" s="71"/>
      <c r="H38" s="71"/>
      <c r="I38" s="71"/>
      <c r="J38" s="71"/>
      <c r="K38" s="68" t="str">
        <f t="shared" ca="1" si="0"/>
        <v>Eonia-Bootstrapindex#0001</v>
      </c>
      <c r="L38" s="72"/>
      <c r="M38" s="71"/>
      <c r="N38" s="68"/>
      <c r="O38" s="73" t="str">
        <f ca="1">_xll.qlOISRateHelper(C38,F38,E38,D38,K38)</f>
        <v>EUR SWAP (EONIA)    3 YR#0001</v>
      </c>
      <c r="P38" s="74" t="str">
        <f ca="1">_xll.ohRangeRetrieveError(O38)</f>
        <v/>
      </c>
      <c r="R38" s="17" t="s">
        <v>37</v>
      </c>
      <c r="S38" s="77" t="str">
        <f ca="1">S16</f>
        <v>EONIA-Curve#0001</v>
      </c>
      <c r="U38" s="60">
        <f ca="1"/>
        <v>43353</v>
      </c>
      <c r="V38" s="63">
        <f ca="1"/>
        <v>1.0025728784231915</v>
      </c>
    </row>
    <row r="39" spans="2:22">
      <c r="B39" s="65"/>
      <c r="C39" s="71" t="s">
        <v>206</v>
      </c>
      <c r="D39" s="338">
        <f ca="1">VLOOKUP(C39,'Swap Curves'!$U:$V,2,FALSE)%</f>
        <v>2.0000000000000002E-5</v>
      </c>
      <c r="E39" s="71" t="s">
        <v>10</v>
      </c>
      <c r="F39" s="71">
        <v>2</v>
      </c>
      <c r="G39" s="71"/>
      <c r="H39" s="71"/>
      <c r="I39" s="71"/>
      <c r="J39" s="71"/>
      <c r="K39" s="68" t="str">
        <f t="shared" ca="1" si="0"/>
        <v>Eonia-Bootstrapindex#0001</v>
      </c>
      <c r="L39" s="72"/>
      <c r="M39" s="71"/>
      <c r="N39" s="68"/>
      <c r="O39" s="73" t="str">
        <f ca="1">_xll.qlOISRateHelper(C39,F39,E39,D39,K39)</f>
        <v>EUR SWAP (EONIA)    4 YR#0001</v>
      </c>
      <c r="P39" s="74" t="str">
        <f ca="1">_xll.ohRangeRetrieveError(O39)</f>
        <v/>
      </c>
      <c r="R39" s="17" t="s">
        <v>30</v>
      </c>
      <c r="S39" s="11"/>
      <c r="U39" s="60">
        <f ca="1"/>
        <v>43717</v>
      </c>
      <c r="V39" s="63">
        <f ca="1"/>
        <v>0.999926045922642</v>
      </c>
    </row>
    <row r="40" spans="2:22">
      <c r="B40" s="65"/>
      <c r="C40" s="71" t="s">
        <v>207</v>
      </c>
      <c r="D40" s="338">
        <f ca="1">VLOOKUP(C40,'Swap Curves'!$U:$V,2,FALSE)%</f>
        <v>1.09E-3</v>
      </c>
      <c r="E40" s="71" t="s">
        <v>11</v>
      </c>
      <c r="F40" s="71">
        <v>2</v>
      </c>
      <c r="G40" s="71"/>
      <c r="H40" s="71"/>
      <c r="I40" s="71"/>
      <c r="J40" s="71"/>
      <c r="K40" s="68" t="str">
        <f t="shared" ca="1" si="0"/>
        <v>Eonia-Bootstrapindex#0001</v>
      </c>
      <c r="L40" s="72"/>
      <c r="M40" s="71"/>
      <c r="N40" s="68"/>
      <c r="O40" s="73" t="str">
        <f ca="1">_xll.qlOISRateHelper(C40,F40,E40,D40,K40)</f>
        <v>EUR SWAP (EONIA)    5 YR#0001</v>
      </c>
      <c r="P40" s="74" t="str">
        <f ca="1">_xll.ohRangeRetrieveError(O40)</f>
        <v/>
      </c>
      <c r="R40" s="17" t="s">
        <v>32</v>
      </c>
      <c r="S40" s="11"/>
      <c r="U40" s="60">
        <f ca="1"/>
        <v>44083</v>
      </c>
      <c r="V40" s="63">
        <f ca="1"/>
        <v>0.99447420016462529</v>
      </c>
    </row>
    <row r="41" spans="2:22">
      <c r="B41" s="65"/>
      <c r="C41" s="71" t="s">
        <v>208</v>
      </c>
      <c r="D41" s="338">
        <f ca="1">VLOOKUP(C41,'Swap Curves'!$U:$V,2,FALSE)%</f>
        <v>2.3799999999999997E-3</v>
      </c>
      <c r="E41" s="71" t="s">
        <v>12</v>
      </c>
      <c r="F41" s="71">
        <v>2</v>
      </c>
      <c r="G41" s="71"/>
      <c r="H41" s="71"/>
      <c r="I41" s="71"/>
      <c r="J41" s="71"/>
      <c r="K41" s="68" t="str">
        <f t="shared" ca="1" si="0"/>
        <v>Eonia-Bootstrapindex#0001</v>
      </c>
      <c r="L41" s="72"/>
      <c r="M41" s="71"/>
      <c r="N41" s="68"/>
      <c r="O41" s="73" t="str">
        <f ca="1">_xll.qlOISRateHelper(C41,F41,E41,D41,K41)</f>
        <v>EUR SWAP (EONIA)    6 YR#0001</v>
      </c>
      <c r="P41" s="74" t="str">
        <f ca="1">_xll.ohRangeRetrieveError(O41)</f>
        <v/>
      </c>
      <c r="R41" s="18" t="s">
        <v>34</v>
      </c>
      <c r="S41" s="15"/>
      <c r="U41" s="60">
        <f ca="1"/>
        <v>44448</v>
      </c>
      <c r="V41" s="63">
        <f ca="1"/>
        <v>0.98554761157712489</v>
      </c>
    </row>
    <row r="42" spans="2:22">
      <c r="B42" s="65"/>
      <c r="C42" s="71" t="s">
        <v>209</v>
      </c>
      <c r="D42" s="338">
        <f ca="1">VLOOKUP(C42,'Swap Curves'!$U:$V,2,FALSE)%</f>
        <v>3.7399999999999998E-3</v>
      </c>
      <c r="E42" s="71" t="s">
        <v>13</v>
      </c>
      <c r="F42" s="71">
        <v>2</v>
      </c>
      <c r="G42" s="71"/>
      <c r="H42" s="71"/>
      <c r="I42" s="71"/>
      <c r="J42" s="71"/>
      <c r="K42" s="68" t="str">
        <f t="shared" ca="1" si="0"/>
        <v>Eonia-Bootstrapindex#0001</v>
      </c>
      <c r="L42" s="72"/>
      <c r="M42" s="71"/>
      <c r="N42" s="68"/>
      <c r="O42" s="73" t="str">
        <f ca="1">_xll.qlOISRateHelper(C42,F42,E42,D42,K42)</f>
        <v>EUR SWAP (EONIA)    7 YR#0001</v>
      </c>
      <c r="P42" s="74" t="str">
        <f ca="1">_xll.ohRangeRetrieveError(O42)</f>
        <v/>
      </c>
      <c r="U42" s="60">
        <f ca="1"/>
        <v>44813</v>
      </c>
      <c r="V42" s="63">
        <f ca="1"/>
        <v>0.97359309262021176</v>
      </c>
    </row>
    <row r="43" spans="2:22">
      <c r="B43" s="65"/>
      <c r="C43" s="71" t="s">
        <v>210</v>
      </c>
      <c r="D43" s="338">
        <f ca="1">VLOOKUP(C43,'Swap Curves'!$U:$V,2,FALSE)%</f>
        <v>5.0600000000000003E-3</v>
      </c>
      <c r="E43" s="71" t="s">
        <v>14</v>
      </c>
      <c r="F43" s="71">
        <v>2</v>
      </c>
      <c r="G43" s="71"/>
      <c r="H43" s="71"/>
      <c r="I43" s="71"/>
      <c r="J43" s="71"/>
      <c r="K43" s="68" t="str">
        <f t="shared" ca="1" si="0"/>
        <v>Eonia-Bootstrapindex#0001</v>
      </c>
      <c r="L43" s="72"/>
      <c r="M43" s="71"/>
      <c r="N43" s="68"/>
      <c r="O43" s="73" t="str">
        <f ca="1">_xll.qlOISRateHelper(C43,F43,E43,D43,K43)</f>
        <v>EUR SWAP (EONIA)    8 YR#0001</v>
      </c>
      <c r="P43" s="74" t="str">
        <f ca="1">_xll.ohRangeRetrieveError(O43)</f>
        <v/>
      </c>
      <c r="U43" s="60">
        <f ca="1"/>
        <v>45180</v>
      </c>
      <c r="V43" s="63">
        <f ca="1"/>
        <v>0.95932185810401194</v>
      </c>
    </row>
    <row r="44" spans="2:22">
      <c r="B44" s="65"/>
      <c r="C44" s="71" t="s">
        <v>211</v>
      </c>
      <c r="D44" s="338">
        <f ca="1">VLOOKUP(C44,'Swap Curves'!$U:$V,2,FALSE)%</f>
        <v>6.2900000000000005E-3</v>
      </c>
      <c r="E44" s="71" t="s">
        <v>15</v>
      </c>
      <c r="F44" s="71">
        <v>2</v>
      </c>
      <c r="G44" s="71"/>
      <c r="H44" s="71"/>
      <c r="I44" s="71"/>
      <c r="J44" s="71"/>
      <c r="K44" s="68" t="str">
        <f t="shared" ca="1" si="0"/>
        <v>Eonia-Bootstrapindex#0001</v>
      </c>
      <c r="L44" s="72"/>
      <c r="M44" s="71"/>
      <c r="N44" s="68"/>
      <c r="O44" s="73" t="str">
        <f ca="1">_xll.qlOISRateHelper(C44,F44,E44,D44,K44)</f>
        <v>EUR SWAP (EONIA)    9 YR#0001</v>
      </c>
      <c r="P44" s="74" t="str">
        <f ca="1">_xll.ohRangeRetrieveError(O44)</f>
        <v/>
      </c>
      <c r="U44" s="60">
        <f ca="1"/>
        <v>45544</v>
      </c>
      <c r="V44" s="63">
        <f ca="1"/>
        <v>0.94343178503306735</v>
      </c>
    </row>
    <row r="45" spans="2:22">
      <c r="B45" s="65"/>
      <c r="C45" s="71" t="s">
        <v>212</v>
      </c>
      <c r="D45" s="338">
        <f ca="1">VLOOKUP(C45,'Swap Curves'!$U:$V,2,FALSE)%</f>
        <v>7.3899999999999999E-3</v>
      </c>
      <c r="E45" s="71" t="s">
        <v>16</v>
      </c>
      <c r="F45" s="71">
        <v>2</v>
      </c>
      <c r="G45" s="71"/>
      <c r="H45" s="71"/>
      <c r="I45" s="71"/>
      <c r="J45" s="71"/>
      <c r="K45" s="68" t="str">
        <f t="shared" ca="1" si="0"/>
        <v>Eonia-Bootstrapindex#0001</v>
      </c>
      <c r="L45" s="72"/>
      <c r="M45" s="71"/>
      <c r="N45" s="68"/>
      <c r="O45" s="73" t="str">
        <f ca="1">_xll.qlOISRateHelper(C45,F45,E45,D45,K45)</f>
        <v>EUR SWAP (EONIA)   10 YR#0001</v>
      </c>
      <c r="P45" s="74" t="str">
        <f ca="1">_xll.ohRangeRetrieveError(O45)</f>
        <v/>
      </c>
      <c r="U45" s="60">
        <f ca="1"/>
        <v>45909</v>
      </c>
      <c r="V45" s="63">
        <f ca="1"/>
        <v>0.92659516398539499</v>
      </c>
    </row>
    <row r="46" spans="2:22">
      <c r="B46" s="65"/>
      <c r="C46" s="71" t="s">
        <v>213</v>
      </c>
      <c r="D46" s="338">
        <f ca="1">VLOOKUP(C46,'Swap Curves'!$U:$V,2,FALSE)%</f>
        <v>9.2600000000000009E-3</v>
      </c>
      <c r="E46" s="71" t="s">
        <v>27</v>
      </c>
      <c r="F46" s="71">
        <v>2</v>
      </c>
      <c r="G46" s="71"/>
      <c r="H46" s="71"/>
      <c r="I46" s="71"/>
      <c r="J46" s="71"/>
      <c r="K46" s="68" t="str">
        <f t="shared" ca="1" si="0"/>
        <v>Eonia-Bootstrapindex#0001</v>
      </c>
      <c r="L46" s="72"/>
      <c r="M46" s="71"/>
      <c r="N46" s="68"/>
      <c r="O46" s="73" t="str">
        <f ca="1">_xll.qlOISRateHelper(C46,F46,E46,D46,K46)</f>
        <v>EUR SWAP (EONIA)   12 YR#0001</v>
      </c>
      <c r="P46" s="74" t="str">
        <f ca="1">_xll.ohRangeRetrieveError(O46)</f>
        <v/>
      </c>
      <c r="Q46" s="49"/>
      <c r="U46" s="60">
        <f ca="1"/>
        <v>46639</v>
      </c>
      <c r="V46" s="63">
        <f ca="1"/>
        <v>0.89111773064384581</v>
      </c>
    </row>
    <row r="47" spans="2:22">
      <c r="C47" s="71" t="s">
        <v>214</v>
      </c>
      <c r="D47" s="338">
        <f ca="1">VLOOKUP(C47,'Swap Curves'!$U:$V,2,FALSE)%</f>
        <v>1.1240000000000002E-2</v>
      </c>
      <c r="E47" s="71" t="s">
        <v>17</v>
      </c>
      <c r="F47" s="71">
        <v>2</v>
      </c>
      <c r="G47" s="71"/>
      <c r="H47" s="71"/>
      <c r="I47" s="71"/>
      <c r="J47" s="71"/>
      <c r="K47" s="68" t="str">
        <f t="shared" ca="1" si="0"/>
        <v>Eonia-Bootstrapindex#0001</v>
      </c>
      <c r="L47" s="72"/>
      <c r="M47" s="71"/>
      <c r="N47" s="68"/>
      <c r="O47" s="73" t="str">
        <f ca="1">_xll.qlOISRateHelper(C47,F47,E47,D47,K47)</f>
        <v>EUR SWAP (EONIA)   15 YR#0001</v>
      </c>
      <c r="P47" s="74" t="str">
        <f ca="1">_xll.ohRangeRetrieveError(O47)</f>
        <v/>
      </c>
      <c r="Q47" s="49"/>
      <c r="U47" s="60">
        <f ca="1"/>
        <v>47735</v>
      </c>
      <c r="V47" s="63">
        <f ca="1"/>
        <v>0.83854829674104536</v>
      </c>
    </row>
    <row r="48" spans="2:22">
      <c r="C48" s="71" t="s">
        <v>215</v>
      </c>
      <c r="D48" s="338">
        <f ca="1">VLOOKUP(C48,'Swap Curves'!$U:$V,2,FALSE)%</f>
        <v>1.294E-2</v>
      </c>
      <c r="E48" s="71" t="s">
        <v>104</v>
      </c>
      <c r="F48" s="71">
        <v>2</v>
      </c>
      <c r="G48" s="71"/>
      <c r="H48" s="71"/>
      <c r="I48" s="71"/>
      <c r="J48" s="71"/>
      <c r="K48" s="68" t="str">
        <f t="shared" ca="1" si="0"/>
        <v>Eonia-Bootstrapindex#0001</v>
      </c>
      <c r="L48" s="72"/>
      <c r="M48" s="71"/>
      <c r="N48" s="68"/>
      <c r="O48" s="73" t="str">
        <f ca="1">_xll.qlOISRateHelper(C48,F48,E48,D48,K48)</f>
        <v>EUR SWAP (EONIA)   20 YR#0001</v>
      </c>
      <c r="P48" s="74" t="str">
        <f ca="1">_xll.ohRangeRetrieveError(O48)</f>
        <v/>
      </c>
      <c r="Q48" s="49"/>
      <c r="U48" s="60">
        <f ca="1"/>
        <v>49562</v>
      </c>
      <c r="V48" s="63">
        <f ca="1"/>
        <v>0.76216103618749742</v>
      </c>
    </row>
    <row r="49" spans="3:22">
      <c r="C49" s="71" t="s">
        <v>216</v>
      </c>
      <c r="D49" s="338">
        <f ca="1">VLOOKUP(C49,'Swap Curves'!$U:$V,2,FALSE)%</f>
        <v>1.3480000000000001E-2</v>
      </c>
      <c r="E49" s="71" t="s">
        <v>105</v>
      </c>
      <c r="F49" s="71">
        <v>2</v>
      </c>
      <c r="G49" s="71"/>
      <c r="H49" s="71"/>
      <c r="I49" s="71"/>
      <c r="J49" s="71"/>
      <c r="K49" s="68" t="str">
        <f t="shared" ca="1" si="0"/>
        <v>Eonia-Bootstrapindex#0001</v>
      </c>
      <c r="L49" s="72"/>
      <c r="M49" s="71"/>
      <c r="N49" s="68"/>
      <c r="O49" s="73" t="str">
        <f ca="1">_xll.qlOISRateHelper(C49,F49,E49,D49,K49)</f>
        <v>EUR SWAP (EONIA)   25 YR#0001</v>
      </c>
      <c r="P49" s="74" t="str">
        <f ca="1">_xll.ohRangeRetrieveError(O49)</f>
        <v/>
      </c>
      <c r="Q49" s="49"/>
      <c r="U49" s="60">
        <f ca="1"/>
        <v>51389</v>
      </c>
      <c r="V49" s="63">
        <f ca="1"/>
        <v>0.70261154074300325</v>
      </c>
    </row>
    <row r="50" spans="3:22">
      <c r="C50" s="71" t="s">
        <v>217</v>
      </c>
      <c r="D50" s="338">
        <f ca="1">VLOOKUP(C50,'Swap Curves'!$U:$V,2,FALSE)%</f>
        <v>1.3720000000000001E-2</v>
      </c>
      <c r="E50" s="71" t="s">
        <v>106</v>
      </c>
      <c r="F50" s="71">
        <v>2</v>
      </c>
      <c r="G50" s="71"/>
      <c r="H50" s="71"/>
      <c r="I50" s="71"/>
      <c r="J50" s="71"/>
      <c r="K50" s="68" t="str">
        <f t="shared" ca="1" si="0"/>
        <v>Eonia-Bootstrapindex#0001</v>
      </c>
      <c r="L50" s="72"/>
      <c r="M50" s="71"/>
      <c r="N50" s="68"/>
      <c r="O50" s="73" t="str">
        <f ca="1">_xll.qlOISRateHelper(C50,F50,E50,D50,K50)</f>
        <v>EUR SWAP (EONIA)   30 YR#0001</v>
      </c>
      <c r="P50" s="74" t="str">
        <f ca="1">_xll.ohRangeRetrieveError(O50)</f>
        <v/>
      </c>
      <c r="Q50" s="49"/>
      <c r="U50" s="60">
        <f ca="1"/>
        <v>53216</v>
      </c>
      <c r="V50" s="63">
        <f ca="1"/>
        <v>0.65058234837800111</v>
      </c>
    </row>
    <row r="51" spans="3:22">
      <c r="C51" s="71" t="s">
        <v>218</v>
      </c>
      <c r="D51" s="338">
        <f ca="1">VLOOKUP(C51,'Swap Curves'!$U:$V,2,FALSE)%</f>
        <v>1.4110000000000001E-2</v>
      </c>
      <c r="E51" s="71" t="s">
        <v>159</v>
      </c>
      <c r="F51" s="71">
        <v>2</v>
      </c>
      <c r="G51" s="71"/>
      <c r="H51" s="71"/>
      <c r="I51" s="71"/>
      <c r="J51" s="71"/>
      <c r="K51" s="68" t="str">
        <f t="shared" ca="1" si="0"/>
        <v>Eonia-Bootstrapindex#0001</v>
      </c>
      <c r="L51" s="72"/>
      <c r="M51" s="71"/>
      <c r="N51" s="68"/>
      <c r="O51" s="73" t="str">
        <f ca="1">_xll.qlOISRateHelper(C51,F51,E51,D51,K51)</f>
        <v>EUR SWAP (EONIA)   40 YR#0001</v>
      </c>
      <c r="P51" s="74" t="str">
        <f ca="1">_xll.ohRangeRetrieveError(O51)</f>
        <v/>
      </c>
      <c r="U51" s="61">
        <f ca="1"/>
        <v>56866</v>
      </c>
      <c r="V51" s="64">
        <f ca="1"/>
        <v>0.55535829681329607</v>
      </c>
    </row>
    <row r="52" spans="3:22">
      <c r="C52" s="78" t="s">
        <v>219</v>
      </c>
      <c r="D52" s="339">
        <f ca="1">VLOOKUP(C52,'Swap Curves'!$U:$V,2,FALSE)%</f>
        <v>1.389E-2</v>
      </c>
      <c r="E52" s="78" t="s">
        <v>160</v>
      </c>
      <c r="F52" s="78">
        <v>2</v>
      </c>
      <c r="G52" s="78"/>
      <c r="H52" s="78"/>
      <c r="I52" s="78"/>
      <c r="J52" s="78"/>
      <c r="K52" s="79" t="str">
        <f t="shared" ca="1" si="0"/>
        <v>Eonia-Bootstrapindex#0001</v>
      </c>
      <c r="L52" s="80"/>
      <c r="M52" s="78"/>
      <c r="N52" s="79"/>
      <c r="O52" s="81" t="str">
        <f ca="1">_xll.qlOISRateHelper(C52,F52,E52,D52,K52)</f>
        <v>EUR SWAP (EONIA)   50 YR#0001</v>
      </c>
      <c r="P52" s="82" t="str">
        <f ca="1">_xll.ohRangeRetrieveError(O52)</f>
        <v/>
      </c>
    </row>
    <row r="53" spans="3:22">
      <c r="C53" s="78" t="s">
        <v>1736</v>
      </c>
      <c r="D53" s="340">
        <f ca="1">D52</f>
        <v>1.389E-2</v>
      </c>
      <c r="E53" s="78" t="s">
        <v>566</v>
      </c>
      <c r="F53" s="78">
        <v>2</v>
      </c>
      <c r="G53" s="78"/>
      <c r="H53" s="78"/>
      <c r="I53" s="78"/>
      <c r="J53" s="78"/>
      <c r="K53" s="79" t="str">
        <f t="shared" ca="1" si="0"/>
        <v>Eonia-Bootstrapindex#0001</v>
      </c>
      <c r="L53" s="80"/>
      <c r="M53" s="78"/>
      <c r="N53" s="79"/>
      <c r="O53" s="81" t="str">
        <f ca="1">_xll.qlOISRateHelper(C53,F53,E53,D53,K53)</f>
        <v>EUR SWAP (EONIA)   60 YR#0001</v>
      </c>
      <c r="P53" s="82" t="str">
        <f ca="1">_xll.ohRangeRetrieveError(O53)</f>
        <v/>
      </c>
      <c r="Q53" s="49"/>
    </row>
    <row r="54" spans="3:22" ht="15"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 s="49"/>
    </row>
    <row r="55" spans="3:22" ht="15"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 s="49"/>
    </row>
    <row r="56" spans="3:22"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83"/>
      <c r="P56" s="49"/>
    </row>
    <row r="57" spans="3:22"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83"/>
      <c r="P57" s="49"/>
    </row>
    <row r="58" spans="3:22"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</row>
    <row r="59" spans="3:22"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</row>
    <row r="60" spans="3:22"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</row>
    <row r="61" spans="3:22">
      <c r="C61" s="48" t="s">
        <v>1738</v>
      </c>
    </row>
    <row r="63" spans="3:22">
      <c r="C63" s="30" t="s">
        <v>113</v>
      </c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</row>
    <row r="64" spans="3:22">
      <c r="C64" s="30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U64" s="52" t="s">
        <v>116</v>
      </c>
      <c r="V64" s="49"/>
    </row>
    <row r="65" spans="3:22">
      <c r="C65" s="50" t="s">
        <v>114</v>
      </c>
      <c r="D65" s="51" t="str">
        <f ca="1">_xll.qlEuribor("3M-Euribor-BootstrapIndex","6M",$S$16)</f>
        <v>3M-Euribor-BootstrapIndex#0001</v>
      </c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R65" s="30" t="s">
        <v>115</v>
      </c>
      <c r="S65" s="49"/>
      <c r="U65" s="49"/>
      <c r="V65" s="49"/>
    </row>
    <row r="66" spans="3:22"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R66" s="49"/>
      <c r="S66" s="49"/>
      <c r="U66" s="57" t="s">
        <v>18</v>
      </c>
      <c r="V66" s="57" t="s">
        <v>124</v>
      </c>
    </row>
    <row r="67" spans="3:22">
      <c r="C67" s="53" t="s">
        <v>2</v>
      </c>
      <c r="D67" s="53" t="s">
        <v>117</v>
      </c>
      <c r="E67" s="53" t="s">
        <v>118</v>
      </c>
      <c r="F67" s="53" t="s">
        <v>119</v>
      </c>
      <c r="G67" s="53" t="s">
        <v>3</v>
      </c>
      <c r="H67" s="53" t="s">
        <v>125</v>
      </c>
      <c r="I67" s="53" t="s">
        <v>4</v>
      </c>
      <c r="J67" s="53" t="s">
        <v>120</v>
      </c>
      <c r="K67" s="53" t="s">
        <v>121</v>
      </c>
      <c r="L67" s="54"/>
      <c r="M67" s="55"/>
      <c r="N67" s="56"/>
      <c r="O67" s="53" t="s">
        <v>122</v>
      </c>
      <c r="P67" s="53" t="s">
        <v>5</v>
      </c>
      <c r="R67" s="5" t="s">
        <v>123</v>
      </c>
      <c r="S67" s="6" t="str">
        <f ca="1">_xll.qlPiecewiseYieldCurve(S69,S70,S71,_xll.ohPack(O69:O99),S73,S74,S75,S76,S77,S78,S79,S80,S81)</f>
        <v>3M-EUR-Swap-Curve#0001</v>
      </c>
      <c r="U67" s="59">
        <f t="array" aca="1" ref="U67:U96" ca="1">_xll.qlPiecewiseYieldCurveDates(S67,S67)</f>
        <v>42254</v>
      </c>
      <c r="V67" s="19">
        <f t="array" aca="1" ref="V67:V96" ca="1">_xll.qlPiecewiseYieldCurveData(S67,S67)</f>
        <v>1</v>
      </c>
    </row>
    <row r="68" spans="3:22">
      <c r="C68" s="58" t="s">
        <v>2</v>
      </c>
      <c r="D68" s="58" t="s">
        <v>117</v>
      </c>
      <c r="E68" s="58" t="s">
        <v>6</v>
      </c>
      <c r="F68" s="58"/>
      <c r="G68" s="58" t="s">
        <v>3</v>
      </c>
      <c r="H68" s="58" t="s">
        <v>125</v>
      </c>
      <c r="I68" s="58" t="s">
        <v>126</v>
      </c>
      <c r="J68" s="58" t="s">
        <v>127</v>
      </c>
      <c r="K68" s="58" t="s">
        <v>128</v>
      </c>
      <c r="L68" s="58" t="s">
        <v>129</v>
      </c>
      <c r="M68" s="58" t="s">
        <v>130</v>
      </c>
      <c r="N68" s="58" t="s">
        <v>131</v>
      </c>
      <c r="O68" s="58" t="s">
        <v>132</v>
      </c>
      <c r="P68" s="58" t="s">
        <v>5</v>
      </c>
      <c r="R68" s="7" t="s">
        <v>5</v>
      </c>
      <c r="S68" s="4" t="str">
        <f ca="1">_xll.ohRangeRetrieveError(S67)</f>
        <v/>
      </c>
      <c r="U68" s="60">
        <f ca="1"/>
        <v>42438</v>
      </c>
      <c r="V68" s="20">
        <f ca="1"/>
        <v>1.0001732145662239</v>
      </c>
    </row>
    <row r="69" spans="3:22">
      <c r="C69" s="66" t="s">
        <v>573</v>
      </c>
      <c r="D69" s="337">
        <f ca="1">VLOOKUP(C69,'Swap Curves'!$U:$V,2,FALSE)%</f>
        <v>-3.4000000000000002E-4</v>
      </c>
      <c r="E69" s="66"/>
      <c r="F69" s="66"/>
      <c r="G69" s="66"/>
      <c r="H69" s="66"/>
      <c r="I69" s="66"/>
      <c r="J69" s="66"/>
      <c r="K69" s="68" t="str">
        <f ca="1">$D$65</f>
        <v>3M-Euribor-BootstrapIndex#0001</v>
      </c>
      <c r="L69" s="67"/>
      <c r="M69" s="67"/>
      <c r="N69" s="68"/>
      <c r="O69" s="69" t="str">
        <f ca="1">_xll.qlDepositRateHelper(,D69,K69)</f>
        <v>obj_00076#0001</v>
      </c>
      <c r="P69" s="70" t="str">
        <f ca="1">_xll.ohRangeRetrieveError(O69)</f>
        <v/>
      </c>
      <c r="R69" s="8" t="s">
        <v>2</v>
      </c>
      <c r="S69" s="9" t="s">
        <v>1739</v>
      </c>
      <c r="U69" s="60">
        <f ca="1"/>
        <v>42471</v>
      </c>
      <c r="V69" s="20">
        <f ca="1"/>
        <v>1.0002214785634442</v>
      </c>
    </row>
    <row r="70" spans="3:22">
      <c r="C70" s="71" t="s">
        <v>579</v>
      </c>
      <c r="D70" s="338">
        <f ca="1">VLOOKUP(C70,'Swap Curves'!$U:$V,2,FALSE)%</f>
        <v>-3.8999999999999999E-4</v>
      </c>
      <c r="E70" s="71" t="s">
        <v>138</v>
      </c>
      <c r="F70" s="71"/>
      <c r="G70" s="71"/>
      <c r="H70" s="71"/>
      <c r="I70" s="71"/>
      <c r="J70" s="71"/>
      <c r="K70" s="68" t="str">
        <f t="shared" ref="K70:K99" ca="1" si="1">$D$65</f>
        <v>3M-Euribor-BootstrapIndex#0001</v>
      </c>
      <c r="L70" s="72"/>
      <c r="M70" s="71"/>
      <c r="N70" s="68"/>
      <c r="O70" s="73" t="str">
        <f ca="1">_xll.qlFraRateHelper(,D70,E70,K70)</f>
        <v>obj_00067#0001</v>
      </c>
      <c r="P70" s="74" t="str">
        <f ca="1">_xll.ohRangeRetrieveError(O70)</f>
        <v/>
      </c>
      <c r="Q70" s="49"/>
      <c r="R70" s="10" t="s">
        <v>135</v>
      </c>
      <c r="S70" s="11">
        <v>0</v>
      </c>
      <c r="U70" s="60">
        <f ca="1"/>
        <v>42499</v>
      </c>
      <c r="V70" s="20">
        <f ca="1"/>
        <v>1.0002452583136374</v>
      </c>
    </row>
    <row r="71" spans="3:22">
      <c r="C71" s="71" t="s">
        <v>583</v>
      </c>
      <c r="D71" s="338">
        <f ca="1">VLOOKUP(C71,'Swap Curves'!$U:$V,2,FALSE)%</f>
        <v>-4.0000000000000002E-4</v>
      </c>
      <c r="E71" s="71" t="s">
        <v>139</v>
      </c>
      <c r="F71" s="71"/>
      <c r="G71" s="71"/>
      <c r="H71" s="71"/>
      <c r="I71" s="71"/>
      <c r="J71" s="71"/>
      <c r="K71" s="68" t="str">
        <f t="shared" ca="1" si="1"/>
        <v>3M-Euribor-BootstrapIndex#0001</v>
      </c>
      <c r="L71" s="72"/>
      <c r="M71" s="71"/>
      <c r="N71" s="68"/>
      <c r="O71" s="73" t="str">
        <f ca="1">_xll.qlFraRateHelper(,D71,E71,K71)</f>
        <v>obj_0005b#0001</v>
      </c>
      <c r="P71" s="74" t="str">
        <f ca="1">_xll.ohRangeRetrieveError(O71)</f>
        <v/>
      </c>
      <c r="Q71" s="49"/>
      <c r="R71" s="10" t="s">
        <v>3</v>
      </c>
      <c r="S71" s="12" t="s">
        <v>20</v>
      </c>
      <c r="U71" s="60">
        <f ca="1"/>
        <v>42530</v>
      </c>
      <c r="V71" s="20">
        <f ca="1"/>
        <v>1.0002655314449147</v>
      </c>
    </row>
    <row r="72" spans="3:22">
      <c r="C72" s="71" t="s">
        <v>586</v>
      </c>
      <c r="D72" s="338">
        <f ca="1">VLOOKUP(C72,'Swap Curves'!$U:$V,2,FALSE)%</f>
        <v>-3.8999999999999999E-4</v>
      </c>
      <c r="E72" s="71" t="s">
        <v>141</v>
      </c>
      <c r="F72" s="71"/>
      <c r="G72" s="71"/>
      <c r="H72" s="71"/>
      <c r="I72" s="71"/>
      <c r="J72" s="71"/>
      <c r="K72" s="68" t="str">
        <f t="shared" ca="1" si="1"/>
        <v>3M-Euribor-BootstrapIndex#0001</v>
      </c>
      <c r="L72" s="72"/>
      <c r="M72" s="71"/>
      <c r="N72" s="68"/>
      <c r="O72" s="73" t="str">
        <f ca="1">_xll.qlFraRateHelper(,D72,E72,K72)</f>
        <v>obj_0007b#0001</v>
      </c>
      <c r="P72" s="75" t="str">
        <f ca="1">_xll.ohRangeRetrieveError(O72)</f>
        <v/>
      </c>
      <c r="Q72" s="49"/>
      <c r="R72" s="10" t="s">
        <v>113</v>
      </c>
      <c r="S72" s="76"/>
      <c r="U72" s="60">
        <f ca="1"/>
        <v>42562</v>
      </c>
      <c r="V72" s="20">
        <f ca="1"/>
        <v>1.0002962020795962</v>
      </c>
    </row>
    <row r="73" spans="3:22">
      <c r="C73" s="71" t="s">
        <v>590</v>
      </c>
      <c r="D73" s="338">
        <f ca="1">VLOOKUP(C73,'Swap Curves'!$U:$V,2,FALSE)%</f>
        <v>-3.8999999999999999E-4</v>
      </c>
      <c r="E73" s="71" t="s">
        <v>143</v>
      </c>
      <c r="F73" s="71"/>
      <c r="G73" s="71"/>
      <c r="H73" s="71"/>
      <c r="I73" s="71"/>
      <c r="J73" s="71"/>
      <c r="K73" s="68" t="str">
        <f t="shared" ca="1" si="1"/>
        <v>3M-Euribor-BootstrapIndex#0001</v>
      </c>
      <c r="L73" s="72"/>
      <c r="M73" s="71"/>
      <c r="N73" s="68"/>
      <c r="O73" s="73" t="str">
        <f ca="1">_xll.qlFraRateHelper(,D73,E73,K73)</f>
        <v>obj_0005a#0001</v>
      </c>
      <c r="P73" s="74" t="str">
        <f ca="1">_xll.ohRangeRetrieveError(O73)</f>
        <v/>
      </c>
      <c r="Q73" s="49"/>
      <c r="R73" s="10" t="s">
        <v>28</v>
      </c>
      <c r="S73" s="12" t="s">
        <v>29</v>
      </c>
      <c r="U73" s="60">
        <f ca="1"/>
        <v>42591</v>
      </c>
      <c r="V73" s="20">
        <f ca="1"/>
        <v>1.0003248793225237</v>
      </c>
    </row>
    <row r="74" spans="3:22">
      <c r="C74" s="71" t="s">
        <v>593</v>
      </c>
      <c r="D74" s="338">
        <f ca="1">VLOOKUP(C74,'Swap Curves'!$U:$V,2,FALSE)%</f>
        <v>-3.7999999999999997E-4</v>
      </c>
      <c r="E74" s="71" t="s">
        <v>145</v>
      </c>
      <c r="F74" s="71"/>
      <c r="G74" s="71"/>
      <c r="H74" s="71"/>
      <c r="I74" s="71"/>
      <c r="J74" s="71"/>
      <c r="K74" s="68" t="str">
        <f t="shared" ca="1" si="1"/>
        <v>3M-Euribor-BootstrapIndex#0001</v>
      </c>
      <c r="L74" s="72"/>
      <c r="M74" s="71"/>
      <c r="N74" s="68"/>
      <c r="O74" s="73" t="str">
        <f ca="1">_xll.qlFraRateHelper(,D74,E74,K74)</f>
        <v>obj_0006f#0001</v>
      </c>
      <c r="P74" s="74" t="str">
        <f ca="1">_xll.ohRangeRetrieveError(O74)</f>
        <v/>
      </c>
      <c r="Q74" s="49"/>
      <c r="R74" s="10" t="s">
        <v>140</v>
      </c>
      <c r="S74" s="11"/>
      <c r="U74" s="60">
        <f ca="1"/>
        <v>42622</v>
      </c>
      <c r="V74" s="20">
        <f ca="1"/>
        <v>1.000362394210327</v>
      </c>
    </row>
    <row r="75" spans="3:22">
      <c r="C75" s="71" t="s">
        <v>596</v>
      </c>
      <c r="D75" s="338">
        <f ca="1">VLOOKUP(C75,'Swap Curves'!$U:$V,2,FALSE)%</f>
        <v>-3.6999999999999999E-4</v>
      </c>
      <c r="E75" s="71" t="s">
        <v>146</v>
      </c>
      <c r="F75" s="71"/>
      <c r="G75" s="71"/>
      <c r="H75" s="71"/>
      <c r="I75" s="71"/>
      <c r="J75" s="71"/>
      <c r="K75" s="68" t="str">
        <f t="shared" ca="1" si="1"/>
        <v>3M-Euribor-BootstrapIndex#0001</v>
      </c>
      <c r="L75" s="72"/>
      <c r="M75" s="71"/>
      <c r="N75" s="68"/>
      <c r="O75" s="73" t="str">
        <f ca="1">_xll.qlFraRateHelper(,D75,E75,K75)</f>
        <v>obj_00042#0001</v>
      </c>
      <c r="P75" s="75" t="str">
        <f ca="1">_xll.ohRangeRetrieveError(O75)</f>
        <v/>
      </c>
      <c r="Q75" s="49"/>
      <c r="R75" s="10" t="s">
        <v>142</v>
      </c>
      <c r="S75" s="11"/>
      <c r="U75" s="60">
        <f ca="1"/>
        <v>42654</v>
      </c>
      <c r="V75" s="20">
        <f ca="1"/>
        <v>1.0004045525967311</v>
      </c>
    </row>
    <row r="76" spans="3:22">
      <c r="C76" s="71" t="s">
        <v>600</v>
      </c>
      <c r="D76" s="338">
        <f ca="1">VLOOKUP(C76,'Swap Curves'!$U:$V,2,FALSE)%</f>
        <v>-3.5999999999999997E-4</v>
      </c>
      <c r="E76" s="71" t="s">
        <v>147</v>
      </c>
      <c r="F76" s="71"/>
      <c r="G76" s="71"/>
      <c r="H76" s="71"/>
      <c r="I76" s="71"/>
      <c r="J76" s="71"/>
      <c r="K76" s="68" t="str">
        <f t="shared" ca="1" si="1"/>
        <v>3M-Euribor-BootstrapIndex#0001</v>
      </c>
      <c r="L76" s="72"/>
      <c r="M76" s="71"/>
      <c r="N76" s="68"/>
      <c r="O76" s="73" t="str">
        <f ca="1">_xll.qlFraRateHelper(,D76,E76,K76)</f>
        <v>obj_0006e#0001</v>
      </c>
      <c r="P76" s="74" t="str">
        <f ca="1">_xll.ohRangeRetrieveError(O76)</f>
        <v/>
      </c>
      <c r="Q76" s="49"/>
      <c r="R76" s="10" t="s">
        <v>144</v>
      </c>
      <c r="S76" s="11"/>
      <c r="U76" s="60">
        <f ca="1"/>
        <v>42683</v>
      </c>
      <c r="V76" s="20">
        <f ca="1"/>
        <v>1.0004191089227841</v>
      </c>
    </row>
    <row r="77" spans="3:22">
      <c r="C77" s="71" t="s">
        <v>604</v>
      </c>
      <c r="D77" s="338">
        <f ca="1">VLOOKUP(C77,'Swap Curves'!$U:$V,2,FALSE)%</f>
        <v>-3.4000000000000002E-4</v>
      </c>
      <c r="E77" s="71" t="s">
        <v>148</v>
      </c>
      <c r="F77" s="71"/>
      <c r="G77" s="71"/>
      <c r="H77" s="71"/>
      <c r="I77" s="71"/>
      <c r="J77" s="71"/>
      <c r="K77" s="68" t="str">
        <f t="shared" ca="1" si="1"/>
        <v>3M-Euribor-BootstrapIndex#0001</v>
      </c>
      <c r="L77" s="72"/>
      <c r="M77" s="71"/>
      <c r="N77" s="68"/>
      <c r="O77" s="73" t="str">
        <f ca="1">_xll.qlFraRateHelper(,D77,E77,K77)</f>
        <v>obj_00041#0001</v>
      </c>
      <c r="P77" s="74" t="str">
        <f ca="1">_xll.ohRangeRetrieveError(O77)</f>
        <v/>
      </c>
      <c r="Q77" s="49"/>
      <c r="R77" s="13" t="s">
        <v>31</v>
      </c>
      <c r="S77" s="12" t="s">
        <v>292</v>
      </c>
      <c r="U77" s="60">
        <f ca="1"/>
        <v>42713</v>
      </c>
      <c r="V77" s="20">
        <f ca="1"/>
        <v>1.0004333541395853</v>
      </c>
    </row>
    <row r="78" spans="3:22">
      <c r="C78" s="71" t="s">
        <v>607</v>
      </c>
      <c r="D78" s="338">
        <f ca="1">VLOOKUP(C78,'Swap Curves'!$U:$V,2,FALSE)%</f>
        <v>-3.3E-4</v>
      </c>
      <c r="E78" s="71" t="s">
        <v>149</v>
      </c>
      <c r="F78" s="71"/>
      <c r="G78" s="71"/>
      <c r="H78" s="71"/>
      <c r="I78" s="71"/>
      <c r="J78" s="71"/>
      <c r="K78" s="68" t="str">
        <f t="shared" ca="1" si="1"/>
        <v>3M-Euribor-BootstrapIndex#0001</v>
      </c>
      <c r="L78" s="72"/>
      <c r="M78" s="71"/>
      <c r="N78" s="68"/>
      <c r="O78" s="73" t="str">
        <f ca="1">_xll.qlFraRateHelper(,D78,E78,K78)</f>
        <v>obj_0006b#0001</v>
      </c>
      <c r="P78" s="74" t="str">
        <f ca="1">_xll.ohRangeRetrieveError(O78)</f>
        <v/>
      </c>
      <c r="Q78" s="49"/>
      <c r="R78" s="13" t="s">
        <v>33</v>
      </c>
      <c r="S78" s="12" t="s">
        <v>293</v>
      </c>
      <c r="U78" s="60">
        <f ca="1"/>
        <v>42746</v>
      </c>
      <c r="V78" s="20">
        <f ca="1"/>
        <v>1.0004444901845835</v>
      </c>
    </row>
    <row r="79" spans="3:22">
      <c r="C79" s="71" t="s">
        <v>610</v>
      </c>
      <c r="D79" s="338">
        <f ca="1">VLOOKUP(C79,'Swap Curves'!$U:$V,2,FALSE)%</f>
        <v>-2.9E-4</v>
      </c>
      <c r="E79" s="71" t="s">
        <v>161</v>
      </c>
      <c r="F79" s="71"/>
      <c r="G79" s="71"/>
      <c r="H79" s="71"/>
      <c r="I79" s="71"/>
      <c r="J79" s="71"/>
      <c r="K79" s="68" t="str">
        <f t="shared" ca="1" si="1"/>
        <v>3M-Euribor-BootstrapIndex#0001</v>
      </c>
      <c r="L79" s="72"/>
      <c r="M79" s="71"/>
      <c r="N79" s="68"/>
      <c r="O79" s="73" t="str">
        <f ca="1">_xll.qlFraRateHelper(,D79,E79,K79)</f>
        <v>obj_0003e#0001</v>
      </c>
      <c r="P79" s="75" t="str">
        <f ca="1">_xll.ohRangeRetrieveError(O79)</f>
        <v/>
      </c>
      <c r="Q79" s="49"/>
      <c r="R79" s="10" t="s">
        <v>30</v>
      </c>
      <c r="S79" s="11"/>
      <c r="U79" s="60">
        <f ca="1"/>
        <v>42775</v>
      </c>
      <c r="V79" s="20">
        <f ca="1"/>
        <v>1.0004476008945713</v>
      </c>
    </row>
    <row r="80" spans="3:22">
      <c r="C80" s="71" t="s">
        <v>613</v>
      </c>
      <c r="D80" s="338">
        <f ca="1">VLOOKUP(C80,'Swap Curves'!$U:$V,2,FALSE)%</f>
        <v>-2.4000000000000001E-4</v>
      </c>
      <c r="E80" s="71" t="s">
        <v>162</v>
      </c>
      <c r="F80" s="71"/>
      <c r="G80" s="71"/>
      <c r="H80" s="71"/>
      <c r="I80" s="71"/>
      <c r="J80" s="71"/>
      <c r="K80" s="68" t="str">
        <f t="shared" ca="1" si="1"/>
        <v>3M-Euribor-BootstrapIndex#0001</v>
      </c>
      <c r="L80" s="72"/>
      <c r="M80" s="71"/>
      <c r="N80" s="68"/>
      <c r="O80" s="73" t="str">
        <f ca="1">_xll.qlFraRateHelper(,D80,E80,K80)</f>
        <v>obj_0006a#0001</v>
      </c>
      <c r="P80" s="74" t="str">
        <f ca="1">_xll.ohRangeRetrieveError(O80)</f>
        <v/>
      </c>
      <c r="Q80" s="49"/>
      <c r="R80" s="10" t="s">
        <v>32</v>
      </c>
      <c r="S80" s="11"/>
      <c r="U80" s="60">
        <f ca="1"/>
        <v>42803</v>
      </c>
      <c r="V80" s="20">
        <f ca="1"/>
        <v>1.0004579657368193</v>
      </c>
    </row>
    <row r="81" spans="3:22">
      <c r="C81" s="71" t="s">
        <v>616</v>
      </c>
      <c r="D81" s="338">
        <f ca="1">VLOOKUP(C81,'Swap Curves'!$U:$V,2,FALSE)%</f>
        <v>-1.8999999999999998E-4</v>
      </c>
      <c r="E81" s="71" t="s">
        <v>184</v>
      </c>
      <c r="F81" s="71"/>
      <c r="G81" s="71"/>
      <c r="H81" s="71"/>
      <c r="I81" s="71"/>
      <c r="J81" s="71"/>
      <c r="K81" s="68" t="str">
        <f t="shared" ca="1" si="1"/>
        <v>3M-Euribor-BootstrapIndex#0001</v>
      </c>
      <c r="L81" s="72"/>
      <c r="M81" s="71"/>
      <c r="N81" s="68"/>
      <c r="O81" s="73" t="str">
        <f ca="1">_xll.qlFraRateHelper(,D81,E81,K81)</f>
        <v>obj_0003d#0001</v>
      </c>
      <c r="P81" s="74" t="str">
        <f ca="1">_xll.ohRangeRetrieveError(O81)</f>
        <v/>
      </c>
      <c r="R81" s="14" t="s">
        <v>34</v>
      </c>
      <c r="S81" s="15"/>
      <c r="U81" s="60">
        <f ca="1"/>
        <v>42989</v>
      </c>
      <c r="V81" s="20">
        <f ca="1"/>
        <v>1.0001623778785393</v>
      </c>
    </row>
    <row r="82" spans="3:22">
      <c r="C82" s="71" t="s">
        <v>624</v>
      </c>
      <c r="D82" s="338">
        <f ca="1">VLOOKUP(C82,'Swap Curves'!$U:$V,2,FALSE)%</f>
        <v>-8.0000000000000007E-5</v>
      </c>
      <c r="E82" s="71" t="s">
        <v>165</v>
      </c>
      <c r="F82" s="71">
        <v>2</v>
      </c>
      <c r="G82" s="71" t="s">
        <v>24</v>
      </c>
      <c r="H82" s="71" t="s">
        <v>163</v>
      </c>
      <c r="I82" s="71" t="s">
        <v>21</v>
      </c>
      <c r="J82" s="71" t="s">
        <v>25</v>
      </c>
      <c r="K82" s="68" t="str">
        <f t="shared" ca="1" si="1"/>
        <v>3M-Euribor-BootstrapIndex#0001</v>
      </c>
      <c r="L82" s="72">
        <v>0</v>
      </c>
      <c r="M82" s="71" t="s">
        <v>164</v>
      </c>
      <c r="N82" s="68" t="str">
        <f t="shared" ref="N82:N99" ca="1" si="2">$S$16</f>
        <v>EONIA-Curve#0001</v>
      </c>
      <c r="O82" s="73" t="str">
        <f ca="1">_xll.qlSwapRateHelper2(C82,D82,F82,E82,G82,H82,I82,J82,K82,L82,M82,N82)</f>
        <v>EUR SWAP (vs 3M)    2 YR#0001</v>
      </c>
      <c r="P82" s="74" t="str">
        <f ca="1">_xll.ohRangeRetrieveError(O82)</f>
        <v/>
      </c>
      <c r="R82" s="342" t="s">
        <v>1741</v>
      </c>
      <c r="S82" s="343" t="b">
        <f ca="1">_xll.qlExtrapolatorEnableExtrapolation(S67,,S67)</f>
        <v>1</v>
      </c>
      <c r="U82" s="60">
        <f ca="1"/>
        <v>43353</v>
      </c>
      <c r="V82" s="20">
        <f ca="1"/>
        <v>0.99838334053806654</v>
      </c>
    </row>
    <row r="83" spans="3:22">
      <c r="C83" s="71" t="s">
        <v>626</v>
      </c>
      <c r="D83" s="338">
        <f ca="1">VLOOKUP(C83,'Swap Curves'!$U:$V,2,FALSE)%</f>
        <v>5.4000000000000001E-4</v>
      </c>
      <c r="E83" s="71" t="s">
        <v>166</v>
      </c>
      <c r="F83" s="71">
        <v>2</v>
      </c>
      <c r="G83" s="71" t="s">
        <v>24</v>
      </c>
      <c r="H83" s="71" t="s">
        <v>163</v>
      </c>
      <c r="I83" s="71" t="s">
        <v>21</v>
      </c>
      <c r="J83" s="71" t="s">
        <v>25</v>
      </c>
      <c r="K83" s="68" t="str">
        <f t="shared" ca="1" si="1"/>
        <v>3M-Euribor-BootstrapIndex#0001</v>
      </c>
      <c r="L83" s="72">
        <v>0</v>
      </c>
      <c r="M83" s="71" t="s">
        <v>164</v>
      </c>
      <c r="N83" s="68" t="str">
        <f t="shared" ca="1" si="2"/>
        <v>EONIA-Curve#0001</v>
      </c>
      <c r="O83" s="73" t="str">
        <f ca="1">_xll.qlSwapRateHelper2(C83,D83,F83,E83,G83,H83,I83,J83,K83,L83,M83,N83)</f>
        <v>EUR SWAP (vs 3M)    3 YR#0001</v>
      </c>
      <c r="P83" s="75" t="str">
        <f ca="1">_xll.ohRangeRetrieveError(O83)</f>
        <v/>
      </c>
      <c r="U83" s="60">
        <f ca="1"/>
        <v>43717</v>
      </c>
      <c r="V83" s="20">
        <f ca="1"/>
        <v>0.99402260827734312</v>
      </c>
    </row>
    <row r="84" spans="3:22">
      <c r="C84" s="71" t="s">
        <v>628</v>
      </c>
      <c r="D84" s="338">
        <f>VLOOKUP(C84,'Swap Curves'!$U:$V,2,FALSE)%</f>
        <v>1.5E-3</v>
      </c>
      <c r="E84" s="71" t="s">
        <v>167</v>
      </c>
      <c r="F84" s="71">
        <v>2</v>
      </c>
      <c r="G84" s="71" t="s">
        <v>24</v>
      </c>
      <c r="H84" s="71" t="s">
        <v>163</v>
      </c>
      <c r="I84" s="71" t="s">
        <v>21</v>
      </c>
      <c r="J84" s="71" t="s">
        <v>25</v>
      </c>
      <c r="K84" s="68" t="str">
        <f t="shared" ca="1" si="1"/>
        <v>3M-Euribor-BootstrapIndex#0001</v>
      </c>
      <c r="L84" s="72">
        <v>0</v>
      </c>
      <c r="M84" s="71" t="s">
        <v>164</v>
      </c>
      <c r="N84" s="68" t="str">
        <f t="shared" ca="1" si="2"/>
        <v>EONIA-Curve#0001</v>
      </c>
      <c r="O84" s="73" t="str">
        <f ca="1">_xll.qlSwapRateHelper2(C84,D84,F84,E84,G84,H84,I84,J84,K84,L84,M84,N84)</f>
        <v>EUR SWAP (vs 3M)    4 YR#0001</v>
      </c>
      <c r="P84" s="74" t="str">
        <f ca="1">_xll.ohRangeRetrieveError(O84)</f>
        <v/>
      </c>
      <c r="U84" s="60">
        <f ca="1"/>
        <v>44083</v>
      </c>
      <c r="V84" s="20">
        <f ca="1"/>
        <v>0.98693100943429923</v>
      </c>
    </row>
    <row r="85" spans="3:22">
      <c r="C85" s="71" t="s">
        <v>630</v>
      </c>
      <c r="D85" s="338">
        <f>VLOOKUP(C85,'Swap Curves'!$U:$V,2,FALSE)%</f>
        <v>2.63E-3</v>
      </c>
      <c r="E85" s="71" t="s">
        <v>168</v>
      </c>
      <c r="F85" s="71">
        <v>2</v>
      </c>
      <c r="G85" s="71" t="s">
        <v>24</v>
      </c>
      <c r="H85" s="71" t="s">
        <v>163</v>
      </c>
      <c r="I85" s="71" t="s">
        <v>21</v>
      </c>
      <c r="J85" s="71" t="s">
        <v>25</v>
      </c>
      <c r="K85" s="68" t="str">
        <f t="shared" ca="1" si="1"/>
        <v>3M-Euribor-BootstrapIndex#0001</v>
      </c>
      <c r="L85" s="72">
        <v>0</v>
      </c>
      <c r="M85" s="71" t="s">
        <v>164</v>
      </c>
      <c r="N85" s="68" t="str">
        <f t="shared" ca="1" si="2"/>
        <v>EONIA-Curve#0001</v>
      </c>
      <c r="O85" s="73" t="str">
        <f ca="1">_xll.qlSwapRateHelper2(C85,D85,F85,E85,G85,H85,I85,J85,K85,L85,M85,N85)</f>
        <v>EUR SWAP (vs 3M)    5 YR#0001</v>
      </c>
      <c r="P85" s="74" t="str">
        <f ca="1">_xll.ohRangeRetrieveError(O85)</f>
        <v/>
      </c>
      <c r="R85" s="5" t="s">
        <v>35</v>
      </c>
      <c r="S85" s="6" t="str">
        <f ca="1">_xll.qlEuribor(S87,S88,S89)</f>
        <v>3M-Euribor#0001</v>
      </c>
      <c r="U85" s="60">
        <f ca="1"/>
        <v>44448</v>
      </c>
      <c r="V85" s="20">
        <f ca="1"/>
        <v>0.97652872220736375</v>
      </c>
    </row>
    <row r="86" spans="3:22">
      <c r="C86" s="71" t="s">
        <v>632</v>
      </c>
      <c r="D86" s="338">
        <f>VLOOKUP(C86,'Swap Curves'!$U:$V,2,FALSE)%</f>
        <v>3.9500000000000004E-3</v>
      </c>
      <c r="E86" s="71" t="s">
        <v>169</v>
      </c>
      <c r="F86" s="71">
        <v>2</v>
      </c>
      <c r="G86" s="71" t="s">
        <v>24</v>
      </c>
      <c r="H86" s="71" t="s">
        <v>163</v>
      </c>
      <c r="I86" s="71" t="s">
        <v>21</v>
      </c>
      <c r="J86" s="71" t="s">
        <v>25</v>
      </c>
      <c r="K86" s="68" t="str">
        <f t="shared" ca="1" si="1"/>
        <v>3M-Euribor-BootstrapIndex#0001</v>
      </c>
      <c r="L86" s="72">
        <v>0</v>
      </c>
      <c r="M86" s="71" t="s">
        <v>164</v>
      </c>
      <c r="N86" s="68" t="str">
        <f t="shared" ca="1" si="2"/>
        <v>EONIA-Curve#0001</v>
      </c>
      <c r="O86" s="73" t="str">
        <f ca="1">_xll.qlSwapRateHelper2(C86,D86,F86,E86,G86,H86,I86,J86,K86,L86,M86,N86)</f>
        <v>EUR SWAP (vs 3M)    6 YR#0001</v>
      </c>
      <c r="P86" s="74" t="str">
        <f ca="1">_xll.ohRangeRetrieveError(O86)</f>
        <v/>
      </c>
      <c r="R86" s="7" t="s">
        <v>5</v>
      </c>
      <c r="S86" s="4" t="str">
        <f ca="1">_xll.ohRangeRetrieveError(S85)</f>
        <v/>
      </c>
      <c r="U86" s="60">
        <f ca="1"/>
        <v>44813</v>
      </c>
      <c r="V86" s="20">
        <f ca="1"/>
        <v>0.96321619983585594</v>
      </c>
    </row>
    <row r="87" spans="3:22">
      <c r="C87" s="71" t="s">
        <v>634</v>
      </c>
      <c r="D87" s="338">
        <f>VLOOKUP(C87,'Swap Curves'!$U:$V,2,FALSE)%</f>
        <v>5.3300000000000005E-3</v>
      </c>
      <c r="E87" s="71" t="s">
        <v>170</v>
      </c>
      <c r="F87" s="71">
        <v>2</v>
      </c>
      <c r="G87" s="71" t="s">
        <v>24</v>
      </c>
      <c r="H87" s="71" t="s">
        <v>163</v>
      </c>
      <c r="I87" s="71" t="s">
        <v>21</v>
      </c>
      <c r="J87" s="71" t="s">
        <v>25</v>
      </c>
      <c r="K87" s="68" t="str">
        <f t="shared" ca="1" si="1"/>
        <v>3M-Euribor-BootstrapIndex#0001</v>
      </c>
      <c r="L87" s="72">
        <v>0</v>
      </c>
      <c r="M87" s="71" t="s">
        <v>164</v>
      </c>
      <c r="N87" s="68" t="str">
        <f t="shared" ca="1" si="2"/>
        <v>EONIA-Curve#0001</v>
      </c>
      <c r="O87" s="73" t="str">
        <f ca="1">_xll.qlSwapRateHelper2(C87,D87,F87,E87,G87,H87,I87,J87,K87,L87,M87,N87)</f>
        <v>EUR SWAP (vs 3M)    7 YR#0001</v>
      </c>
      <c r="P87" s="74" t="str">
        <f ca="1">_xll.ohRangeRetrieveError(O87)</f>
        <v/>
      </c>
      <c r="R87" s="16" t="s">
        <v>2</v>
      </c>
      <c r="S87" s="9" t="s">
        <v>1740</v>
      </c>
      <c r="U87" s="60">
        <f ca="1"/>
        <v>45180</v>
      </c>
      <c r="V87" s="20">
        <f ca="1"/>
        <v>0.9476411717229547</v>
      </c>
    </row>
    <row r="88" spans="3:22">
      <c r="C88" s="71" t="s">
        <v>636</v>
      </c>
      <c r="D88" s="338">
        <f>VLOOKUP(C88,'Swap Curves'!$U:$V,2,FALSE)%</f>
        <v>6.6700000000000006E-3</v>
      </c>
      <c r="E88" s="71" t="s">
        <v>171</v>
      </c>
      <c r="F88" s="71">
        <v>2</v>
      </c>
      <c r="G88" s="71" t="s">
        <v>24</v>
      </c>
      <c r="H88" s="71" t="s">
        <v>163</v>
      </c>
      <c r="I88" s="71" t="s">
        <v>21</v>
      </c>
      <c r="J88" s="71" t="s">
        <v>25</v>
      </c>
      <c r="K88" s="68" t="str">
        <f t="shared" ca="1" si="1"/>
        <v>3M-Euribor-BootstrapIndex#0001</v>
      </c>
      <c r="L88" s="72">
        <v>0</v>
      </c>
      <c r="M88" s="71" t="s">
        <v>164</v>
      </c>
      <c r="N88" s="68" t="str">
        <f t="shared" ca="1" si="2"/>
        <v>EONIA-Curve#0001</v>
      </c>
      <c r="O88" s="73" t="str">
        <f ca="1">_xll.qlSwapRateHelper2(C88,D88,F88,E88,G88,H88,I88,J88,K88,L88,M88,N88)</f>
        <v>EUR SWAP (vs 3M)    8 YR#0001</v>
      </c>
      <c r="P88" s="74" t="str">
        <f ca="1">_xll.ohRangeRetrieveError(O88)</f>
        <v/>
      </c>
      <c r="R88" s="17" t="s">
        <v>6</v>
      </c>
      <c r="S88" s="11" t="s">
        <v>26</v>
      </c>
      <c r="U88" s="60">
        <f ca="1"/>
        <v>45544</v>
      </c>
      <c r="V88" s="20">
        <f ca="1"/>
        <v>0.93062138608762091</v>
      </c>
    </row>
    <row r="89" spans="3:22">
      <c r="C89" s="71" t="s">
        <v>638</v>
      </c>
      <c r="D89" s="338">
        <f>VLOOKUP(C89,'Swap Curves'!$U:$V,2,FALSE)%</f>
        <v>7.9100000000000004E-3</v>
      </c>
      <c r="E89" s="71" t="s">
        <v>172</v>
      </c>
      <c r="F89" s="71">
        <v>2</v>
      </c>
      <c r="G89" s="71" t="s">
        <v>24</v>
      </c>
      <c r="H89" s="71" t="s">
        <v>163</v>
      </c>
      <c r="I89" s="71" t="s">
        <v>21</v>
      </c>
      <c r="J89" s="71" t="s">
        <v>25</v>
      </c>
      <c r="K89" s="68" t="str">
        <f t="shared" ca="1" si="1"/>
        <v>3M-Euribor-BootstrapIndex#0001</v>
      </c>
      <c r="L89" s="72">
        <v>0</v>
      </c>
      <c r="M89" s="71" t="s">
        <v>164</v>
      </c>
      <c r="N89" s="68" t="str">
        <f t="shared" ca="1" si="2"/>
        <v>EONIA-Curve#0001</v>
      </c>
      <c r="O89" s="73" t="str">
        <f ca="1">_xll.qlSwapRateHelper2(C89,D89,F89,E89,G89,H89,I89,J89,K89,L89,M89,N89)</f>
        <v>EUR SWAP (vs 3M)    9 YR#0001</v>
      </c>
      <c r="P89" s="74" t="str">
        <f ca="1">_xll.ohRangeRetrieveError(O89)</f>
        <v/>
      </c>
      <c r="R89" s="17" t="s">
        <v>37</v>
      </c>
      <c r="S89" s="77" t="str">
        <f ca="1">S67</f>
        <v>3M-EUR-Swap-Curve#0001</v>
      </c>
      <c r="U89" s="60">
        <f ca="1"/>
        <v>45909</v>
      </c>
      <c r="V89" s="20">
        <f ca="1"/>
        <v>0.91278696541094828</v>
      </c>
    </row>
    <row r="90" spans="3:22">
      <c r="C90" s="71" t="s">
        <v>640</v>
      </c>
      <c r="D90" s="338">
        <f>VLOOKUP(C90,'Swap Curves'!$U:$V,2,FALSE)%</f>
        <v>9.0100000000000006E-3</v>
      </c>
      <c r="E90" s="71" t="s">
        <v>173</v>
      </c>
      <c r="F90" s="71">
        <v>2</v>
      </c>
      <c r="G90" s="71" t="s">
        <v>24</v>
      </c>
      <c r="H90" s="71" t="s">
        <v>163</v>
      </c>
      <c r="I90" s="71" t="s">
        <v>21</v>
      </c>
      <c r="J90" s="71" t="s">
        <v>25</v>
      </c>
      <c r="K90" s="68" t="str">
        <f t="shared" ca="1" si="1"/>
        <v>3M-Euribor-BootstrapIndex#0001</v>
      </c>
      <c r="L90" s="72">
        <v>0</v>
      </c>
      <c r="M90" s="71" t="s">
        <v>164</v>
      </c>
      <c r="N90" s="68" t="str">
        <f t="shared" ca="1" si="2"/>
        <v>EONIA-Curve#0001</v>
      </c>
      <c r="O90" s="73" t="str">
        <f ca="1">_xll.qlSwapRateHelper2(C90,D90,F90,E90,G90,H90,I90,J90,K90,L90,M90,N90)</f>
        <v>EUR SWAP (vs 3M)   10 YR#0001</v>
      </c>
      <c r="P90" s="74" t="str">
        <f ca="1">_xll.ohRangeRetrieveError(O90)</f>
        <v/>
      </c>
      <c r="R90" s="17" t="s">
        <v>30</v>
      </c>
      <c r="S90" s="11"/>
      <c r="U90" s="60">
        <f ca="1"/>
        <v>46274</v>
      </c>
      <c r="V90" s="20">
        <f ca="1"/>
        <v>0.89430309052700507</v>
      </c>
    </row>
    <row r="91" spans="3:22">
      <c r="C91" s="71" t="s">
        <v>642</v>
      </c>
      <c r="D91" s="338">
        <f>VLOOKUP(C91,'Swap Curves'!$U:$V,2,FALSE)%</f>
        <v>0.01</v>
      </c>
      <c r="E91" s="71" t="s">
        <v>174</v>
      </c>
      <c r="F91" s="71">
        <v>2</v>
      </c>
      <c r="G91" s="71" t="s">
        <v>24</v>
      </c>
      <c r="H91" s="71" t="s">
        <v>163</v>
      </c>
      <c r="I91" s="71" t="s">
        <v>21</v>
      </c>
      <c r="J91" s="71" t="s">
        <v>25</v>
      </c>
      <c r="K91" s="68" t="str">
        <f t="shared" ca="1" si="1"/>
        <v>3M-Euribor-BootstrapIndex#0001</v>
      </c>
      <c r="L91" s="72">
        <v>0</v>
      </c>
      <c r="M91" s="71" t="s">
        <v>164</v>
      </c>
      <c r="N91" s="68" t="str">
        <f t="shared" ca="1" si="2"/>
        <v>EONIA-Curve#0001</v>
      </c>
      <c r="O91" s="73" t="str">
        <f ca="1">_xll.qlSwapRateHelper2(C91,D91,F91,E91,G91,H91,I91,J91,K91,L91,M91,N91)</f>
        <v>EUR SWAP (vs 3M)   11 YR#0001</v>
      </c>
      <c r="P91" s="74" t="str">
        <f ca="1">_xll.ohRangeRetrieveError(O91)</f>
        <v/>
      </c>
      <c r="R91" s="17" t="s">
        <v>32</v>
      </c>
      <c r="S91" s="11"/>
      <c r="U91" s="60">
        <f ca="1"/>
        <v>46639</v>
      </c>
      <c r="V91" s="20">
        <f ca="1"/>
        <v>0.87574546401488007</v>
      </c>
    </row>
    <row r="92" spans="3:22">
      <c r="C92" s="71" t="s">
        <v>644</v>
      </c>
      <c r="D92" s="338">
        <f>VLOOKUP(C92,'Swap Curves'!$U:$V,2,FALSE)%</f>
        <v>1.0860000000000002E-2</v>
      </c>
      <c r="E92" s="71" t="s">
        <v>175</v>
      </c>
      <c r="F92" s="71">
        <v>2</v>
      </c>
      <c r="G92" s="71" t="s">
        <v>24</v>
      </c>
      <c r="H92" s="71" t="s">
        <v>163</v>
      </c>
      <c r="I92" s="71" t="s">
        <v>21</v>
      </c>
      <c r="J92" s="71" t="s">
        <v>25</v>
      </c>
      <c r="K92" s="68" t="str">
        <f t="shared" ca="1" si="1"/>
        <v>3M-Euribor-BootstrapIndex#0001</v>
      </c>
      <c r="L92" s="72">
        <v>0</v>
      </c>
      <c r="M92" s="71" t="s">
        <v>164</v>
      </c>
      <c r="N92" s="68" t="str">
        <f t="shared" ca="1" si="2"/>
        <v>EONIA-Curve#0001</v>
      </c>
      <c r="O92" s="73" t="str">
        <f ca="1">_xll.qlSwapRateHelper2(C92,D92,F92,E92,G92,H92,I92,J92,K92,L92,M92,N92)</f>
        <v>EUR SWAP (vs 3M)   12 YR#0001</v>
      </c>
      <c r="P92" s="74" t="str">
        <f ca="1">_xll.ohRangeRetrieveError(O92)</f>
        <v/>
      </c>
      <c r="R92" s="18" t="s">
        <v>34</v>
      </c>
      <c r="S92" s="15"/>
      <c r="U92" s="60">
        <f ca="1"/>
        <v>47735</v>
      </c>
      <c r="V92" s="20">
        <f ca="1"/>
        <v>0.82185577327338832</v>
      </c>
    </row>
    <row r="93" spans="3:22">
      <c r="C93" s="71" t="s">
        <v>650</v>
      </c>
      <c r="D93" s="338">
        <f ca="1">VLOOKUP(C93,'Swap Curves'!$U:$V,2,FALSE)%</f>
        <v>1.2769999999999998E-2</v>
      </c>
      <c r="E93" s="71" t="s">
        <v>176</v>
      </c>
      <c r="F93" s="71">
        <v>2</v>
      </c>
      <c r="G93" s="71" t="s">
        <v>24</v>
      </c>
      <c r="H93" s="71" t="s">
        <v>163</v>
      </c>
      <c r="I93" s="71" t="s">
        <v>21</v>
      </c>
      <c r="J93" s="71" t="s">
        <v>25</v>
      </c>
      <c r="K93" s="68" t="str">
        <f t="shared" ca="1" si="1"/>
        <v>3M-Euribor-BootstrapIndex#0001</v>
      </c>
      <c r="L93" s="72">
        <v>0</v>
      </c>
      <c r="M93" s="71" t="s">
        <v>164</v>
      </c>
      <c r="N93" s="68" t="str">
        <f t="shared" ca="1" si="2"/>
        <v>EONIA-Curve#0001</v>
      </c>
      <c r="O93" s="73" t="str">
        <f ca="1">_xll.qlSwapRateHelper2(C93,D93,F93,E93,G93,H93,I93,J93,K93,L93,M93,N93)</f>
        <v>EUR SWAP (vs 3M)   15 YR#0001</v>
      </c>
      <c r="P93" s="74" t="str">
        <f ca="1">_xll.ohRangeRetrieveError(O93)</f>
        <v/>
      </c>
      <c r="U93" s="60">
        <f ca="1"/>
        <v>49562</v>
      </c>
      <c r="V93" s="20">
        <f ca="1"/>
        <v>0.74440800974714283</v>
      </c>
    </row>
    <row r="94" spans="3:22">
      <c r="C94" s="71" t="s">
        <v>652</v>
      </c>
      <c r="D94" s="338">
        <f ca="1">VLOOKUP(C94,'Swap Curves'!$U:$V,2,FALSE)%</f>
        <v>1.435E-2</v>
      </c>
      <c r="E94" s="71" t="s">
        <v>177</v>
      </c>
      <c r="F94" s="71">
        <v>2</v>
      </c>
      <c r="G94" s="71" t="s">
        <v>24</v>
      </c>
      <c r="H94" s="71" t="s">
        <v>163</v>
      </c>
      <c r="I94" s="71" t="s">
        <v>21</v>
      </c>
      <c r="J94" s="71" t="s">
        <v>25</v>
      </c>
      <c r="K94" s="68" t="str">
        <f t="shared" ca="1" si="1"/>
        <v>3M-Euribor-BootstrapIndex#0001</v>
      </c>
      <c r="L94" s="72">
        <v>0</v>
      </c>
      <c r="M94" s="71" t="s">
        <v>164</v>
      </c>
      <c r="N94" s="68" t="str">
        <f t="shared" ca="1" si="2"/>
        <v>EONIA-Curve#0001</v>
      </c>
      <c r="O94" s="73" t="str">
        <f ca="1">_xll.qlSwapRateHelper2(C94,D94,F94,E94,G94,H94,I94,J94,K94,L94,M94,N94)</f>
        <v>EUR SWAP (vs 3M)   20 YR#0001</v>
      </c>
      <c r="P94" s="74" t="str">
        <f ca="1">_xll.ohRangeRetrieveError(O94)</f>
        <v/>
      </c>
      <c r="U94" s="60">
        <f ca="1"/>
        <v>51389</v>
      </c>
      <c r="V94" s="20">
        <f ca="1"/>
        <v>0.68513457548984646</v>
      </c>
    </row>
    <row r="95" spans="3:22">
      <c r="C95" s="71" t="s">
        <v>654</v>
      </c>
      <c r="D95" s="338">
        <f ca="1">VLOOKUP(C95,'Swap Curves'!$U:$V,2,FALSE)%</f>
        <v>1.4750000000000001E-2</v>
      </c>
      <c r="E95" s="71" t="s">
        <v>178</v>
      </c>
      <c r="F95" s="71">
        <v>2</v>
      </c>
      <c r="G95" s="71" t="s">
        <v>24</v>
      </c>
      <c r="H95" s="71" t="s">
        <v>163</v>
      </c>
      <c r="I95" s="71" t="s">
        <v>21</v>
      </c>
      <c r="J95" s="71" t="s">
        <v>25</v>
      </c>
      <c r="K95" s="68" t="str">
        <f t="shared" ca="1" si="1"/>
        <v>3M-Euribor-BootstrapIndex#0001</v>
      </c>
      <c r="L95" s="72">
        <v>0</v>
      </c>
      <c r="M95" s="71" t="s">
        <v>164</v>
      </c>
      <c r="N95" s="68" t="str">
        <f t="shared" ca="1" si="2"/>
        <v>EONIA-Curve#0001</v>
      </c>
      <c r="O95" s="73" t="str">
        <f ca="1">_xll.qlSwapRateHelper2(C95,D95,F95,E95,G95,H95,I95,J95,K95,L95,M95,N95)</f>
        <v>EUR SWAP (vs 3M)   25 YR#0001</v>
      </c>
      <c r="P95" s="74" t="str">
        <f ca="1">_xll.ohRangeRetrieveError(O95)</f>
        <v/>
      </c>
      <c r="U95" s="60">
        <f ca="1"/>
        <v>53216</v>
      </c>
      <c r="V95" s="20">
        <f ca="1"/>
        <v>0.63321942557136301</v>
      </c>
    </row>
    <row r="96" spans="3:22">
      <c r="C96" s="71" t="s">
        <v>656</v>
      </c>
      <c r="D96" s="338">
        <f ca="1">VLOOKUP(C96,'Swap Curves'!$U:$V,2,FALSE)%</f>
        <v>1.49E-2</v>
      </c>
      <c r="E96" s="71" t="s">
        <v>179</v>
      </c>
      <c r="F96" s="71">
        <v>2</v>
      </c>
      <c r="G96" s="71" t="s">
        <v>24</v>
      </c>
      <c r="H96" s="71" t="s">
        <v>163</v>
      </c>
      <c r="I96" s="71" t="s">
        <v>21</v>
      </c>
      <c r="J96" s="71" t="s">
        <v>25</v>
      </c>
      <c r="K96" s="68" t="str">
        <f t="shared" ca="1" si="1"/>
        <v>3M-Euribor-BootstrapIndex#0001</v>
      </c>
      <c r="L96" s="72">
        <v>0</v>
      </c>
      <c r="M96" s="71" t="s">
        <v>164</v>
      </c>
      <c r="N96" s="68" t="str">
        <f t="shared" ca="1" si="2"/>
        <v>EONIA-Curve#0001</v>
      </c>
      <c r="O96" s="73" t="str">
        <f ca="1">_xll.qlSwapRateHelper2(C96,D96,F96,E96,G96,H96,I96,J96,K96,L96,M96,N96)</f>
        <v>EUR SWAP (vs 3M)   30 YR#0001</v>
      </c>
      <c r="P96" s="74" t="str">
        <f ca="1">_xll.ohRangeRetrieveError(O96)</f>
        <v/>
      </c>
      <c r="U96" s="61">
        <f ca="1"/>
        <v>56866</v>
      </c>
      <c r="V96" s="21">
        <f ca="1"/>
        <v>0.53935783928065129</v>
      </c>
    </row>
    <row r="97" spans="3:22">
      <c r="C97" s="71" t="s">
        <v>658</v>
      </c>
      <c r="D97" s="338">
        <f ca="1">VLOOKUP(C97,'Swap Curves'!$U:$V,2,FALSE)%</f>
        <v>1.5149999999999999E-2</v>
      </c>
      <c r="E97" s="71" t="s">
        <v>180</v>
      </c>
      <c r="F97" s="71">
        <v>2</v>
      </c>
      <c r="G97" s="71" t="s">
        <v>24</v>
      </c>
      <c r="H97" s="71" t="s">
        <v>163</v>
      </c>
      <c r="I97" s="71" t="s">
        <v>21</v>
      </c>
      <c r="J97" s="71" t="s">
        <v>25</v>
      </c>
      <c r="K97" s="68" t="str">
        <f t="shared" ca="1" si="1"/>
        <v>3M-Euribor-BootstrapIndex#0001</v>
      </c>
      <c r="L97" s="72">
        <v>0</v>
      </c>
      <c r="M97" s="71" t="s">
        <v>164</v>
      </c>
      <c r="N97" s="68" t="str">
        <f t="shared" ca="1" si="2"/>
        <v>EONIA-Curve#0001</v>
      </c>
      <c r="O97" s="73" t="str">
        <f ca="1">_xll.qlSwapRateHelper2(C97,D97,F97,E97,G97,H97,I97,J97,K97,L97,M97,N97)</f>
        <v>EUR SWAP (vs 3M)   40 YR#0001</v>
      </c>
      <c r="P97" s="74" t="str">
        <f ca="1">_xll.ohRangeRetrieveError(O97)</f>
        <v/>
      </c>
    </row>
    <row r="98" spans="3:22">
      <c r="C98" s="78" t="s">
        <v>660</v>
      </c>
      <c r="D98" s="341">
        <f ca="1">VLOOKUP(C98,'Swap Curves'!$U:$V,2,FALSE)%</f>
        <v>1.4839999999999999E-2</v>
      </c>
      <c r="E98" s="78" t="s">
        <v>181</v>
      </c>
      <c r="F98" s="78">
        <v>2</v>
      </c>
      <c r="G98" s="78" t="s">
        <v>24</v>
      </c>
      <c r="H98" s="78" t="s">
        <v>163</v>
      </c>
      <c r="I98" s="78" t="s">
        <v>21</v>
      </c>
      <c r="J98" s="78" t="s">
        <v>25</v>
      </c>
      <c r="K98" s="79" t="str">
        <f t="shared" ca="1" si="1"/>
        <v>3M-Euribor-BootstrapIndex#0001</v>
      </c>
      <c r="L98" s="80">
        <v>0</v>
      </c>
      <c r="M98" s="78" t="s">
        <v>164</v>
      </c>
      <c r="N98" s="79" t="str">
        <f t="shared" ca="1" si="2"/>
        <v>EONIA-Curve#0001</v>
      </c>
      <c r="O98" s="81" t="str">
        <f ca="1">_xll.qlSwapRateHelper2(C98,D98,F98,E98,G98,H98,I98,J98,K98,L98,M98,N98)</f>
        <v>EUR SWAP (vs 3M)   50 YR#0001</v>
      </c>
      <c r="P98" s="82" t="str">
        <f ca="1">_xll.ohRangeRetrieveError(O98)</f>
        <v/>
      </c>
    </row>
    <row r="99" spans="3:22">
      <c r="C99" s="78" t="s">
        <v>662</v>
      </c>
      <c r="D99" s="341">
        <f ca="1">VLOOKUP(C99,'Swap Curves'!$U:$V,2,FALSE)%</f>
        <v>1.472E-2</v>
      </c>
      <c r="E99" s="78" t="s">
        <v>1737</v>
      </c>
      <c r="F99" s="78">
        <v>2</v>
      </c>
      <c r="G99" s="78" t="s">
        <v>24</v>
      </c>
      <c r="H99" s="78" t="s">
        <v>163</v>
      </c>
      <c r="I99" s="78" t="s">
        <v>21</v>
      </c>
      <c r="J99" s="78" t="s">
        <v>25</v>
      </c>
      <c r="K99" s="79" t="str">
        <f t="shared" ca="1" si="1"/>
        <v>3M-Euribor-BootstrapIndex#0001</v>
      </c>
      <c r="L99" s="80">
        <v>0</v>
      </c>
      <c r="M99" s="78" t="s">
        <v>164</v>
      </c>
      <c r="N99" s="79" t="str">
        <f t="shared" ca="1" si="2"/>
        <v>EONIA-Curve#0001</v>
      </c>
      <c r="O99" s="81" t="str">
        <f ca="1">_xll.qlSwapRateHelper2(C99,D99,F99,E99,G99,H99,I99,J99,K99,L99,M99,N99)</f>
        <v>EUR SWAP (VS 3M)   60 YR#0001</v>
      </c>
      <c r="P99" s="82" t="str">
        <f ca="1">_xll.ohRangeRetrieveError(O99)</f>
        <v/>
      </c>
    </row>
    <row r="100" spans="3:22">
      <c r="C100" s="85"/>
      <c r="D100" s="36"/>
      <c r="E100" s="85"/>
      <c r="F100" s="85"/>
      <c r="G100" s="85"/>
      <c r="H100" s="85"/>
      <c r="I100" s="85"/>
      <c r="J100" s="85"/>
      <c r="K100" s="86"/>
      <c r="L100" s="87"/>
      <c r="M100" s="85"/>
      <c r="N100" s="86"/>
      <c r="O100" s="88"/>
      <c r="P100" s="89"/>
    </row>
    <row r="101" spans="3:22"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</row>
    <row r="102" spans="3:22"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</row>
    <row r="103" spans="3:22">
      <c r="C103" s="48" t="s">
        <v>182</v>
      </c>
    </row>
    <row r="105" spans="3:22">
      <c r="C105" s="30" t="s">
        <v>113</v>
      </c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</row>
    <row r="106" spans="3:22">
      <c r="C106" s="30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</row>
    <row r="107" spans="3:22">
      <c r="C107" s="50" t="s">
        <v>114</v>
      </c>
      <c r="D107" s="51" t="str">
        <f ca="1">_xll.qlEuribor("6M-Euribor-BootstrapIndex","6M",$S$16)</f>
        <v>6M-Euribor-BootstrapIndex#0001</v>
      </c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R107" s="30" t="s">
        <v>115</v>
      </c>
      <c r="S107" s="49"/>
    </row>
    <row r="108" spans="3:22"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R108" s="49"/>
      <c r="S108" s="49"/>
      <c r="U108" s="52" t="s">
        <v>116</v>
      </c>
      <c r="V108" s="49"/>
    </row>
    <row r="109" spans="3:22">
      <c r="C109" s="53" t="s">
        <v>2</v>
      </c>
      <c r="D109" s="53" t="s">
        <v>117</v>
      </c>
      <c r="E109" s="53" t="s">
        <v>118</v>
      </c>
      <c r="F109" s="53" t="s">
        <v>119</v>
      </c>
      <c r="G109" s="53" t="s">
        <v>3</v>
      </c>
      <c r="H109" s="53" t="s">
        <v>125</v>
      </c>
      <c r="I109" s="53" t="s">
        <v>4</v>
      </c>
      <c r="J109" s="53" t="s">
        <v>120</v>
      </c>
      <c r="K109" s="53" t="s">
        <v>121</v>
      </c>
      <c r="L109" s="54"/>
      <c r="M109" s="55"/>
      <c r="N109" s="56"/>
      <c r="O109" s="53" t="s">
        <v>122</v>
      </c>
      <c r="P109" s="53" t="s">
        <v>5</v>
      </c>
      <c r="R109" s="5" t="s">
        <v>123</v>
      </c>
      <c r="S109" s="6" t="str">
        <f ca="1">_xll.qlPiecewiseYieldCurve(S111,S112,S113,_xll.ohPack(O111:O143),S115,S116,S117,S118,S119,S120,S121,S122,S123)</f>
        <v>6M-EUR-Swap-Curve#0001</v>
      </c>
      <c r="U109" s="49"/>
      <c r="V109" s="49"/>
    </row>
    <row r="110" spans="3:22">
      <c r="C110" s="58" t="s">
        <v>2</v>
      </c>
      <c r="D110" s="58" t="s">
        <v>117</v>
      </c>
      <c r="E110" s="58" t="s">
        <v>6</v>
      </c>
      <c r="F110" s="58"/>
      <c r="G110" s="58" t="s">
        <v>3</v>
      </c>
      <c r="H110" s="58" t="s">
        <v>125</v>
      </c>
      <c r="I110" s="58" t="s">
        <v>126</v>
      </c>
      <c r="J110" s="58" t="s">
        <v>127</v>
      </c>
      <c r="K110" s="58" t="s">
        <v>128</v>
      </c>
      <c r="L110" s="58" t="s">
        <v>129</v>
      </c>
      <c r="M110" s="58" t="s">
        <v>130</v>
      </c>
      <c r="N110" s="58" t="s">
        <v>131</v>
      </c>
      <c r="O110" s="58" t="s">
        <v>132</v>
      </c>
      <c r="P110" s="58" t="s">
        <v>5</v>
      </c>
      <c r="R110" s="7" t="s">
        <v>5</v>
      </c>
      <c r="S110" s="4" t="str">
        <f ca="1">_xll.ohRangeRetrieveError(S109)</f>
        <v/>
      </c>
      <c r="U110" s="57" t="s">
        <v>18</v>
      </c>
      <c r="V110" s="57" t="s">
        <v>124</v>
      </c>
    </row>
    <row r="111" spans="3:22">
      <c r="C111" s="66" t="s">
        <v>220</v>
      </c>
      <c r="D111" s="337">
        <f ca="1">VLOOKUP(C111,'Swap Curves'!$U:$V,2,FALSE)%</f>
        <v>3.7999999999999997E-4</v>
      </c>
      <c r="E111" s="66"/>
      <c r="F111" s="66"/>
      <c r="G111" s="66"/>
      <c r="H111" s="66"/>
      <c r="I111" s="66"/>
      <c r="J111" s="66"/>
      <c r="K111" s="68" t="str">
        <f t="shared" ref="K111:K143" ca="1" si="3">$D$107</f>
        <v>6M-Euribor-BootstrapIndex#0001</v>
      </c>
      <c r="L111" s="67"/>
      <c r="M111" s="67"/>
      <c r="N111" s="68"/>
      <c r="O111" s="69" t="str">
        <f ca="1">_xll.qlDepositRateHelper(,D111,K111)</f>
        <v>obj_00061#0001</v>
      </c>
      <c r="P111" s="70" t="str">
        <f ca="1">_xll.ohRangeRetrieveError(O111)</f>
        <v/>
      </c>
      <c r="R111" s="8" t="s">
        <v>2</v>
      </c>
      <c r="S111" s="9" t="s">
        <v>183</v>
      </c>
      <c r="U111" s="59">
        <f t="array" aca="1" ref="U111:U140" ca="1">_xll.qlPiecewiseYieldCurveDates(S109,S109)</f>
        <v>42254</v>
      </c>
      <c r="V111" s="19">
        <f t="array" aca="1" ref="V111:V140" ca="1">_xll.qlPiecewiseYieldCurveData(S109,S109)</f>
        <v>1</v>
      </c>
    </row>
    <row r="112" spans="3:22">
      <c r="C112" s="71" t="s">
        <v>221</v>
      </c>
      <c r="D112" s="338">
        <f ca="1">VLOOKUP(C112,'Swap Curves'!$U:$V,2,FALSE)%</f>
        <v>3.4000000000000002E-4</v>
      </c>
      <c r="E112" s="71" t="s">
        <v>138</v>
      </c>
      <c r="F112" s="71"/>
      <c r="G112" s="71"/>
      <c r="H112" s="71"/>
      <c r="I112" s="71"/>
      <c r="J112" s="71"/>
      <c r="K112" s="68" t="str">
        <f t="shared" ca="1" si="3"/>
        <v>6M-Euribor-BootstrapIndex#0001</v>
      </c>
      <c r="L112" s="72"/>
      <c r="M112" s="71"/>
      <c r="N112" s="68"/>
      <c r="O112" s="73" t="str">
        <f ca="1">_xll.qlFraRateHelper(,D112,E112,K112)</f>
        <v>obj_00070#0001</v>
      </c>
      <c r="P112" s="74" t="str">
        <f ca="1">_xll.ohRangeRetrieveError(O112)</f>
        <v/>
      </c>
      <c r="R112" s="10" t="s">
        <v>135</v>
      </c>
      <c r="S112" s="11">
        <v>0</v>
      </c>
      <c r="U112" s="60">
        <f ca="1"/>
        <v>42438</v>
      </c>
      <c r="V112" s="20">
        <f ca="1"/>
        <v>0.99980527442692535</v>
      </c>
    </row>
    <row r="113" spans="3:22">
      <c r="C113" s="71" t="s">
        <v>222</v>
      </c>
      <c r="D113" s="338">
        <f ca="1">VLOOKUP(C113,'Swap Curves'!$U:$V,2,FALSE)%</f>
        <v>3.5000000000000005E-4</v>
      </c>
      <c r="E113" s="71" t="s">
        <v>139</v>
      </c>
      <c r="F113" s="71"/>
      <c r="G113" s="71"/>
      <c r="H113" s="71"/>
      <c r="I113" s="71"/>
      <c r="J113" s="71"/>
      <c r="K113" s="68" t="str">
        <f t="shared" ca="1" si="3"/>
        <v>6M-Euribor-BootstrapIndex#0001</v>
      </c>
      <c r="L113" s="72"/>
      <c r="M113" s="71"/>
      <c r="N113" s="68"/>
      <c r="O113" s="73" t="str">
        <f ca="1">_xll.qlFraRateHelper(,D113,E113,K113)</f>
        <v>obj_00051#0001</v>
      </c>
      <c r="P113" s="74" t="str">
        <f ca="1">_xll.ohRangeRetrieveError(O113)</f>
        <v/>
      </c>
      <c r="R113" s="10" t="s">
        <v>3</v>
      </c>
      <c r="S113" s="12" t="s">
        <v>20</v>
      </c>
      <c r="U113" s="60">
        <f ca="1"/>
        <v>42471</v>
      </c>
      <c r="V113" s="20">
        <f ca="1"/>
        <v>0.99978314452199946</v>
      </c>
    </row>
    <row r="114" spans="3:22">
      <c r="C114" s="71" t="s">
        <v>223</v>
      </c>
      <c r="D114" s="338">
        <f ca="1">VLOOKUP(C114,'Swap Curves'!$U:$V,2,FALSE)%</f>
        <v>3.6999999999999999E-4</v>
      </c>
      <c r="E114" s="71" t="s">
        <v>141</v>
      </c>
      <c r="F114" s="71"/>
      <c r="G114" s="71"/>
      <c r="H114" s="71"/>
      <c r="I114" s="71"/>
      <c r="J114" s="71"/>
      <c r="K114" s="68" t="str">
        <f t="shared" ca="1" si="3"/>
        <v>6M-Euribor-BootstrapIndex#0001</v>
      </c>
      <c r="L114" s="72"/>
      <c r="M114" s="71"/>
      <c r="N114" s="68"/>
      <c r="O114" s="73" t="str">
        <f ca="1">_xll.qlFraRateHelper(,D114,E114,K114)</f>
        <v>obj_0006d#0001</v>
      </c>
      <c r="P114" s="75" t="str">
        <f ca="1">_xll.ohRangeRetrieveError(O114)</f>
        <v/>
      </c>
      <c r="Q114" s="49"/>
      <c r="R114" s="10" t="s">
        <v>113</v>
      </c>
      <c r="S114" s="76"/>
      <c r="U114" s="60">
        <f ca="1"/>
        <v>42499</v>
      </c>
      <c r="V114" s="20">
        <f ca="1"/>
        <v>0.99974154476588206</v>
      </c>
    </row>
    <row r="115" spans="3:22">
      <c r="C115" s="71" t="s">
        <v>224</v>
      </c>
      <c r="D115" s="338">
        <f ca="1">VLOOKUP(C115,'Swap Curves'!$U:$V,2,FALSE)%</f>
        <v>3.8999999999999999E-4</v>
      </c>
      <c r="E115" s="71" t="s">
        <v>143</v>
      </c>
      <c r="F115" s="71"/>
      <c r="G115" s="71"/>
      <c r="H115" s="71"/>
      <c r="I115" s="71"/>
      <c r="J115" s="71"/>
      <c r="K115" s="68" t="str">
        <f t="shared" ca="1" si="3"/>
        <v>6M-Euribor-BootstrapIndex#0001</v>
      </c>
      <c r="L115" s="72"/>
      <c r="M115" s="71"/>
      <c r="N115" s="68"/>
      <c r="O115" s="73" t="str">
        <f ca="1">_xll.qlFraRateHelper(,D115,E115,K115)</f>
        <v>obj_00043#0001</v>
      </c>
      <c r="P115" s="74" t="str">
        <f ca="1">_xll.ohRangeRetrieveError(O115)</f>
        <v/>
      </c>
      <c r="Q115" s="49"/>
      <c r="R115" s="10" t="s">
        <v>28</v>
      </c>
      <c r="S115" s="12" t="s">
        <v>29</v>
      </c>
      <c r="U115" s="60">
        <f ca="1"/>
        <v>42530</v>
      </c>
      <c r="V115" s="20">
        <f ca="1"/>
        <v>0.99969502283886402</v>
      </c>
    </row>
    <row r="116" spans="3:22">
      <c r="C116" s="71" t="s">
        <v>225</v>
      </c>
      <c r="D116" s="338">
        <f ca="1">VLOOKUP(C116,'Swap Curves'!$U:$V,2,FALSE)%</f>
        <v>4.2000000000000002E-4</v>
      </c>
      <c r="E116" s="71" t="s">
        <v>145</v>
      </c>
      <c r="F116" s="71"/>
      <c r="G116" s="71"/>
      <c r="H116" s="71"/>
      <c r="I116" s="71"/>
      <c r="J116" s="71"/>
      <c r="K116" s="68" t="str">
        <f t="shared" ca="1" si="3"/>
        <v>6M-Euribor-BootstrapIndex#0001</v>
      </c>
      <c r="L116" s="72"/>
      <c r="M116" s="71"/>
      <c r="N116" s="68"/>
      <c r="O116" s="73" t="str">
        <f ca="1">_xll.qlFraRateHelper(,D116,E116,K116)</f>
        <v>obj_00064#0001</v>
      </c>
      <c r="P116" s="74" t="str">
        <f ca="1">_xll.ohRangeRetrieveError(O116)</f>
        <v/>
      </c>
      <c r="Q116" s="49"/>
      <c r="R116" s="10" t="s">
        <v>140</v>
      </c>
      <c r="S116" s="11"/>
      <c r="U116" s="60">
        <f ca="1"/>
        <v>42562</v>
      </c>
      <c r="V116" s="20">
        <f ca="1"/>
        <v>0.99965165097001596</v>
      </c>
    </row>
    <row r="117" spans="3:22">
      <c r="C117" s="71" t="s">
        <v>226</v>
      </c>
      <c r="D117" s="338">
        <f ca="1">VLOOKUP(C117,'Swap Curves'!$U:$V,2,FALSE)%</f>
        <v>4.3999999999999996E-4</v>
      </c>
      <c r="E117" s="71" t="s">
        <v>146</v>
      </c>
      <c r="F117" s="71"/>
      <c r="G117" s="71"/>
      <c r="H117" s="71"/>
      <c r="I117" s="71"/>
      <c r="J117" s="71"/>
      <c r="K117" s="68" t="str">
        <f t="shared" ca="1" si="3"/>
        <v>6M-Euribor-BootstrapIndex#0001</v>
      </c>
      <c r="L117" s="72"/>
      <c r="M117" s="71"/>
      <c r="N117" s="68"/>
      <c r="O117" s="73" t="str">
        <f ca="1">_xll.qlFraRateHelper(,D117,E117,K117)</f>
        <v>obj_0005c#0001</v>
      </c>
      <c r="P117" s="75" t="str">
        <f ca="1">_xll.ohRangeRetrieveError(O117)</f>
        <v/>
      </c>
      <c r="Q117" s="49"/>
      <c r="R117" s="10" t="s">
        <v>142</v>
      </c>
      <c r="S117" s="11"/>
      <c r="U117" s="60">
        <f ca="1"/>
        <v>42591</v>
      </c>
      <c r="V117" s="20">
        <f ca="1"/>
        <v>0.99961167040414101</v>
      </c>
    </row>
    <row r="118" spans="3:22">
      <c r="C118" s="71" t="s">
        <v>227</v>
      </c>
      <c r="D118" s="338">
        <f ca="1">VLOOKUP(C118,'Swap Curves'!$U:$V,2,FALSE)%</f>
        <v>4.8000000000000001E-4</v>
      </c>
      <c r="E118" s="71" t="s">
        <v>147</v>
      </c>
      <c r="F118" s="71"/>
      <c r="G118" s="71"/>
      <c r="H118" s="71"/>
      <c r="I118" s="71"/>
      <c r="J118" s="71"/>
      <c r="K118" s="68" t="str">
        <f t="shared" ca="1" si="3"/>
        <v>6M-Euribor-BootstrapIndex#0001</v>
      </c>
      <c r="L118" s="72"/>
      <c r="M118" s="71"/>
      <c r="N118" s="68"/>
      <c r="O118" s="73" t="str">
        <f ca="1">_xll.qlFraRateHelper(,D118,E118,K118)</f>
        <v>obj_0004c#0001</v>
      </c>
      <c r="P118" s="74" t="str">
        <f ca="1">_xll.ohRangeRetrieveError(O118)</f>
        <v/>
      </c>
      <c r="Q118" s="49"/>
      <c r="R118" s="10" t="s">
        <v>144</v>
      </c>
      <c r="S118" s="11"/>
      <c r="U118" s="60">
        <f ca="1"/>
        <v>42622</v>
      </c>
      <c r="V118" s="20">
        <f ca="1"/>
        <v>0.99958047988372689</v>
      </c>
    </row>
    <row r="119" spans="3:22">
      <c r="C119" s="71" t="s">
        <v>228</v>
      </c>
      <c r="D119" s="338">
        <f ca="1">VLOOKUP(C119,'Swap Curves'!$U:$V,2,FALSE)%</f>
        <v>5.2999999999999998E-4</v>
      </c>
      <c r="E119" s="71" t="s">
        <v>148</v>
      </c>
      <c r="F119" s="71"/>
      <c r="G119" s="71"/>
      <c r="H119" s="71"/>
      <c r="I119" s="71"/>
      <c r="J119" s="71"/>
      <c r="K119" s="68" t="str">
        <f t="shared" ca="1" si="3"/>
        <v>6M-Euribor-BootstrapIndex#0001</v>
      </c>
      <c r="L119" s="72"/>
      <c r="M119" s="71"/>
      <c r="N119" s="68"/>
      <c r="O119" s="73" t="str">
        <f ca="1">_xll.qlFraRateHelper(,D119,E119,K119)</f>
        <v>obj_00059#0001</v>
      </c>
      <c r="P119" s="74" t="str">
        <f ca="1">_xll.ohRangeRetrieveError(O119)</f>
        <v/>
      </c>
      <c r="Q119" s="49"/>
      <c r="R119" s="13" t="s">
        <v>31</v>
      </c>
      <c r="S119" s="12" t="s">
        <v>292</v>
      </c>
      <c r="U119" s="60">
        <f ca="1"/>
        <v>42654</v>
      </c>
      <c r="V119" s="20">
        <f ca="1"/>
        <v>0.99953925694304402</v>
      </c>
    </row>
    <row r="120" spans="3:22">
      <c r="C120" s="71" t="s">
        <v>229</v>
      </c>
      <c r="D120" s="338">
        <f ca="1">VLOOKUP(C120,'Swap Curves'!$U:$V,2,FALSE)%</f>
        <v>5.6999999999999998E-4</v>
      </c>
      <c r="E120" s="71" t="s">
        <v>149</v>
      </c>
      <c r="F120" s="71"/>
      <c r="G120" s="71"/>
      <c r="H120" s="71"/>
      <c r="I120" s="71"/>
      <c r="J120" s="71"/>
      <c r="K120" s="68" t="str">
        <f t="shared" ca="1" si="3"/>
        <v>6M-Euribor-BootstrapIndex#0001</v>
      </c>
      <c r="L120" s="72"/>
      <c r="M120" s="71"/>
      <c r="N120" s="68"/>
      <c r="O120" s="73" t="str">
        <f ca="1">_xll.qlFraRateHelper(,D120,E120,K120)</f>
        <v>obj_0004f#0001</v>
      </c>
      <c r="P120" s="74" t="str">
        <f ca="1">_xll.ohRangeRetrieveError(O120)</f>
        <v/>
      </c>
      <c r="Q120" s="49"/>
      <c r="R120" s="13" t="s">
        <v>33</v>
      </c>
      <c r="S120" s="12" t="s">
        <v>293</v>
      </c>
      <c r="U120" s="60">
        <f ca="1"/>
        <v>42683</v>
      </c>
      <c r="V120" s="20">
        <f ca="1"/>
        <v>0.99947079923146909</v>
      </c>
    </row>
    <row r="121" spans="3:22">
      <c r="C121" s="71" t="s">
        <v>230</v>
      </c>
      <c r="D121" s="338">
        <f ca="1">VLOOKUP(C121,'Swap Curves'!$U:$V,2,FALSE)%</f>
        <v>6.4999999999999997E-4</v>
      </c>
      <c r="E121" s="71" t="s">
        <v>161</v>
      </c>
      <c r="F121" s="71"/>
      <c r="G121" s="71"/>
      <c r="H121" s="71"/>
      <c r="I121" s="71"/>
      <c r="J121" s="71"/>
      <c r="K121" s="68" t="str">
        <f t="shared" ca="1" si="3"/>
        <v>6M-Euribor-BootstrapIndex#0001</v>
      </c>
      <c r="L121" s="72"/>
      <c r="M121" s="71"/>
      <c r="N121" s="68"/>
      <c r="O121" s="73" t="str">
        <f ca="1">_xll.qlFraRateHelper(,D121,E121,K121)</f>
        <v>obj_00047#0001</v>
      </c>
      <c r="P121" s="75" t="str">
        <f ca="1">_xll.ohRangeRetrieveError(O121)</f>
        <v/>
      </c>
      <c r="Q121" s="49"/>
      <c r="R121" s="10" t="s">
        <v>30</v>
      </c>
      <c r="S121" s="11"/>
      <c r="U121" s="60">
        <f ca="1"/>
        <v>42713</v>
      </c>
      <c r="V121" s="20">
        <f ca="1"/>
        <v>0.99940544511163398</v>
      </c>
    </row>
    <row r="122" spans="3:22">
      <c r="C122" s="71" t="s">
        <v>231</v>
      </c>
      <c r="D122" s="338">
        <f ca="1">VLOOKUP(C122,'Swap Curves'!$U:$V,2,FALSE)%</f>
        <v>7.1999999999999994E-4</v>
      </c>
      <c r="E122" s="71" t="s">
        <v>162</v>
      </c>
      <c r="F122" s="71"/>
      <c r="G122" s="71"/>
      <c r="H122" s="71"/>
      <c r="I122" s="71"/>
      <c r="J122" s="71"/>
      <c r="K122" s="68" t="str">
        <f t="shared" ca="1" si="3"/>
        <v>6M-Euribor-BootstrapIndex#0001</v>
      </c>
      <c r="L122" s="72"/>
      <c r="M122" s="71"/>
      <c r="N122" s="68"/>
      <c r="O122" s="73" t="str">
        <f ca="1">_xll.qlFraRateHelper(,D122,E122,K122)</f>
        <v>obj_00062#0001</v>
      </c>
      <c r="P122" s="74" t="str">
        <f ca="1">_xll.ohRangeRetrieveError(O122)</f>
        <v/>
      </c>
      <c r="Q122" s="49"/>
      <c r="R122" s="10" t="s">
        <v>32</v>
      </c>
      <c r="S122" s="11"/>
      <c r="U122" s="60">
        <f ca="1"/>
        <v>42746</v>
      </c>
      <c r="V122" s="20">
        <f ca="1"/>
        <v>0.99931965477343232</v>
      </c>
    </row>
    <row r="123" spans="3:22">
      <c r="C123" s="71" t="s">
        <v>232</v>
      </c>
      <c r="D123" s="338">
        <f ca="1">VLOOKUP(C123,'Swap Curves'!$U:$V,2,FALSE)%</f>
        <v>7.9000000000000001E-4</v>
      </c>
      <c r="E123" s="71" t="s">
        <v>184</v>
      </c>
      <c r="F123" s="71"/>
      <c r="G123" s="71"/>
      <c r="H123" s="71"/>
      <c r="I123" s="71"/>
      <c r="J123" s="71"/>
      <c r="K123" s="68" t="str">
        <f t="shared" ca="1" si="3"/>
        <v>6M-Euribor-BootstrapIndex#0001</v>
      </c>
      <c r="L123" s="72"/>
      <c r="M123" s="71"/>
      <c r="N123" s="68"/>
      <c r="O123" s="73" t="str">
        <f ca="1">_xll.qlFraRateHelper(,D123,E123,K123)</f>
        <v>obj_0006c#0001</v>
      </c>
      <c r="P123" s="74" t="str">
        <f ca="1">_xll.ohRangeRetrieveError(O123)</f>
        <v/>
      </c>
      <c r="Q123" s="49"/>
      <c r="R123" s="14" t="s">
        <v>34</v>
      </c>
      <c r="S123" s="15"/>
      <c r="U123" s="60">
        <f ca="1"/>
        <v>42775</v>
      </c>
      <c r="V123" s="20">
        <f ca="1"/>
        <v>0.99924394863150945</v>
      </c>
    </row>
    <row r="124" spans="3:22">
      <c r="C124" s="71" t="s">
        <v>233</v>
      </c>
      <c r="D124" s="338">
        <f ca="1">VLOOKUP(C124,'Swap Curves'!$U:$V,2,FALSE)%</f>
        <v>7.7999999999999999E-4</v>
      </c>
      <c r="E124" s="71" t="s">
        <v>165</v>
      </c>
      <c r="F124" s="71">
        <v>2</v>
      </c>
      <c r="G124" s="71" t="s">
        <v>24</v>
      </c>
      <c r="H124" s="71" t="s">
        <v>163</v>
      </c>
      <c r="I124" s="71" t="s">
        <v>21</v>
      </c>
      <c r="J124" s="71" t="s">
        <v>25</v>
      </c>
      <c r="K124" s="68" t="str">
        <f t="shared" ca="1" si="3"/>
        <v>6M-Euribor-BootstrapIndex#0001</v>
      </c>
      <c r="L124" s="72">
        <v>0</v>
      </c>
      <c r="M124" s="71" t="s">
        <v>164</v>
      </c>
      <c r="N124" s="68" t="str">
        <f t="shared" ref="N124:N143" ca="1" si="4">$S$16</f>
        <v>EONIA-Curve#0001</v>
      </c>
      <c r="O124" s="73" t="str">
        <f ca="1">_xll.qlSwapRateHelper2(C124,D124,F124,E124,G124,H124,I124,J124,K124,L124,M124,N124)</f>
        <v>EUR SWAP ANNUAL     2 YR#0001</v>
      </c>
      <c r="P124" s="74" t="str">
        <f ca="1">_xll.ohRangeRetrieveError(O124)</f>
        <v/>
      </c>
      <c r="Q124" s="49"/>
      <c r="R124" s="342" t="s">
        <v>1741</v>
      </c>
      <c r="S124" s="343" t="b">
        <f ca="1">_xll.qlExtrapolatorEnableExtrapolation(S109,,S109)</f>
        <v>1</v>
      </c>
      <c r="U124" s="60">
        <f ca="1"/>
        <v>42803</v>
      </c>
      <c r="V124" s="20">
        <f ca="1"/>
        <v>0.99918360970530629</v>
      </c>
    </row>
    <row r="125" spans="3:22">
      <c r="C125" s="71" t="s">
        <v>234</v>
      </c>
      <c r="D125" s="338">
        <f ca="1">VLOOKUP(C125,'Swap Curves'!$U:$V,2,FALSE)%</f>
        <v>1.48E-3</v>
      </c>
      <c r="E125" s="71" t="s">
        <v>166</v>
      </c>
      <c r="F125" s="71">
        <v>2</v>
      </c>
      <c r="G125" s="71" t="s">
        <v>24</v>
      </c>
      <c r="H125" s="71" t="s">
        <v>163</v>
      </c>
      <c r="I125" s="71" t="s">
        <v>21</v>
      </c>
      <c r="J125" s="71" t="s">
        <v>25</v>
      </c>
      <c r="K125" s="68" t="str">
        <f t="shared" ca="1" si="3"/>
        <v>6M-Euribor-BootstrapIndex#0001</v>
      </c>
      <c r="L125" s="72">
        <v>0</v>
      </c>
      <c r="M125" s="71" t="s">
        <v>164</v>
      </c>
      <c r="N125" s="68" t="str">
        <f t="shared" ca="1" si="4"/>
        <v>EONIA-Curve#0001</v>
      </c>
      <c r="O125" s="73" t="str">
        <f ca="1">_xll.qlSwapRateHelper2(C125,D125,F125,E125,G125,H125,I125,J125,K125,L125,M125,N125)</f>
        <v>EUR SWAP ANNUAL     3 YR#0001</v>
      </c>
      <c r="P125" s="74" t="str">
        <f ca="1">_xll.ohRangeRetrieveError(O125)</f>
        <v/>
      </c>
      <c r="U125" s="60">
        <f ca="1"/>
        <v>42989</v>
      </c>
      <c r="V125" s="20">
        <f ca="1"/>
        <v>0.99843473793741999</v>
      </c>
    </row>
    <row r="126" spans="3:22">
      <c r="C126" s="71" t="s">
        <v>235</v>
      </c>
      <c r="D126" s="338">
        <f ca="1">VLOOKUP(C126,'Swap Curves'!$U:$V,2,FALSE)%</f>
        <v>2.49E-3</v>
      </c>
      <c r="E126" s="71" t="s">
        <v>167</v>
      </c>
      <c r="F126" s="71">
        <v>2</v>
      </c>
      <c r="G126" s="71" t="s">
        <v>24</v>
      </c>
      <c r="H126" s="71" t="s">
        <v>163</v>
      </c>
      <c r="I126" s="71" t="s">
        <v>21</v>
      </c>
      <c r="J126" s="71" t="s">
        <v>25</v>
      </c>
      <c r="K126" s="68" t="str">
        <f t="shared" ca="1" si="3"/>
        <v>6M-Euribor-BootstrapIndex#0001</v>
      </c>
      <c r="L126" s="72">
        <v>0</v>
      </c>
      <c r="M126" s="71" t="s">
        <v>164</v>
      </c>
      <c r="N126" s="68" t="str">
        <f t="shared" ca="1" si="4"/>
        <v>EONIA-Curve#0001</v>
      </c>
      <c r="O126" s="73" t="str">
        <f ca="1">_xll.qlSwapRateHelper2(C126,D126,F126,E126,G126,H126,I126,J126,K126,L126,M126,N126)</f>
        <v>EUR SWAP ANNUAL     4 YR#0001</v>
      </c>
      <c r="P126" s="75" t="str">
        <f ca="1">_xll.ohRangeRetrieveError(O126)</f>
        <v/>
      </c>
      <c r="U126" s="60">
        <f ca="1"/>
        <v>43353</v>
      </c>
      <c r="V126" s="20">
        <f ca="1"/>
        <v>0.99556675172886022</v>
      </c>
    </row>
    <row r="127" spans="3:22">
      <c r="C127" s="71" t="s">
        <v>236</v>
      </c>
      <c r="D127" s="338">
        <f ca="1">VLOOKUP(C127,'Swap Curves'!$U:$V,2,FALSE)%</f>
        <v>3.65E-3</v>
      </c>
      <c r="E127" s="71" t="s">
        <v>168</v>
      </c>
      <c r="F127" s="71">
        <v>2</v>
      </c>
      <c r="G127" s="71" t="s">
        <v>24</v>
      </c>
      <c r="H127" s="71" t="s">
        <v>163</v>
      </c>
      <c r="I127" s="71" t="s">
        <v>21</v>
      </c>
      <c r="J127" s="71" t="s">
        <v>25</v>
      </c>
      <c r="K127" s="68" t="str">
        <f t="shared" ca="1" si="3"/>
        <v>6M-Euribor-BootstrapIndex#0001</v>
      </c>
      <c r="L127" s="72">
        <v>0</v>
      </c>
      <c r="M127" s="71" t="s">
        <v>164</v>
      </c>
      <c r="N127" s="68" t="str">
        <f t="shared" ca="1" si="4"/>
        <v>EONIA-Curve#0001</v>
      </c>
      <c r="O127" s="73" t="str">
        <f ca="1">_xll.qlSwapRateHelper2(C127,D127,F127,E127,G127,H127,I127,J127,K127,L127,M127,N127)</f>
        <v>EUR SWAP ANNUAL     5 YR#0001</v>
      </c>
      <c r="P127" s="74" t="str">
        <f ca="1">_xll.ohRangeRetrieveError(O127)</f>
        <v/>
      </c>
      <c r="R127" s="5" t="s">
        <v>35</v>
      </c>
      <c r="S127" s="6" t="str">
        <f ca="1">_xll.qlEuribor(S129,S130,S131)</f>
        <v>6M-Euribor#0001</v>
      </c>
      <c r="U127" s="60">
        <f ca="1"/>
        <v>43717</v>
      </c>
      <c r="V127" s="20">
        <f ca="1"/>
        <v>0.99009491873482736</v>
      </c>
    </row>
    <row r="128" spans="3:22">
      <c r="C128" s="71" t="s">
        <v>237</v>
      </c>
      <c r="D128" s="338">
        <f ca="1">VLOOKUP(C128,'Swap Curves'!$U:$V,2,FALSE)%</f>
        <v>4.9699999999999996E-3</v>
      </c>
      <c r="E128" s="71" t="s">
        <v>169</v>
      </c>
      <c r="F128" s="71">
        <v>2</v>
      </c>
      <c r="G128" s="71" t="s">
        <v>24</v>
      </c>
      <c r="H128" s="71" t="s">
        <v>163</v>
      </c>
      <c r="I128" s="71" t="s">
        <v>21</v>
      </c>
      <c r="J128" s="71" t="s">
        <v>25</v>
      </c>
      <c r="K128" s="68" t="str">
        <f t="shared" ca="1" si="3"/>
        <v>6M-Euribor-BootstrapIndex#0001</v>
      </c>
      <c r="L128" s="72">
        <v>0</v>
      </c>
      <c r="M128" s="71" t="s">
        <v>164</v>
      </c>
      <c r="N128" s="68" t="str">
        <f t="shared" ca="1" si="4"/>
        <v>EONIA-Curve#0001</v>
      </c>
      <c r="O128" s="73" t="str">
        <f ca="1">_xll.qlSwapRateHelper2(C128,D128,F128,E128,G128,H128,I128,J128,K128,L128,M128,N128)</f>
        <v>EUR SWAP ANNUAL     6 YR#0001</v>
      </c>
      <c r="P128" s="74" t="str">
        <f ca="1">_xll.ohRangeRetrieveError(O128)</f>
        <v/>
      </c>
      <c r="R128" s="7" t="s">
        <v>5</v>
      </c>
      <c r="S128" s="4" t="str">
        <f ca="1">_xll.ohRangeRetrieveError(S127)</f>
        <v/>
      </c>
      <c r="U128" s="60">
        <f ca="1"/>
        <v>44083</v>
      </c>
      <c r="V128" s="20">
        <f ca="1"/>
        <v>0.98191655308145664</v>
      </c>
    </row>
    <row r="129" spans="3:22">
      <c r="C129" s="71" t="s">
        <v>238</v>
      </c>
      <c r="D129" s="338">
        <f ca="1">VLOOKUP(C129,'Swap Curves'!$U:$V,2,FALSE)%</f>
        <v>6.3299999999999997E-3</v>
      </c>
      <c r="E129" s="71" t="s">
        <v>170</v>
      </c>
      <c r="F129" s="71">
        <v>2</v>
      </c>
      <c r="G129" s="71" t="s">
        <v>24</v>
      </c>
      <c r="H129" s="71" t="s">
        <v>163</v>
      </c>
      <c r="I129" s="71" t="s">
        <v>21</v>
      </c>
      <c r="J129" s="71" t="s">
        <v>25</v>
      </c>
      <c r="K129" s="68" t="str">
        <f t="shared" ca="1" si="3"/>
        <v>6M-Euribor-BootstrapIndex#0001</v>
      </c>
      <c r="L129" s="72">
        <v>0</v>
      </c>
      <c r="M129" s="71" t="s">
        <v>164</v>
      </c>
      <c r="N129" s="68" t="str">
        <f t="shared" ca="1" si="4"/>
        <v>EONIA-Curve#0001</v>
      </c>
      <c r="O129" s="73" t="str">
        <f ca="1">_xll.qlSwapRateHelper2(C129,D129,F129,E129,G129,H129,I129,J129,K129,L129,M129,N129)</f>
        <v>EUR SWAP ANNUAL     7 YR#0001</v>
      </c>
      <c r="P129" s="74" t="str">
        <f ca="1">_xll.ohRangeRetrieveError(O129)</f>
        <v/>
      </c>
      <c r="R129" s="16" t="s">
        <v>2</v>
      </c>
      <c r="S129" s="9" t="s">
        <v>36</v>
      </c>
      <c r="U129" s="60">
        <f ca="1"/>
        <v>44448</v>
      </c>
      <c r="V129" s="20">
        <f ca="1"/>
        <v>0.97058462752673358</v>
      </c>
    </row>
    <row r="130" spans="3:22">
      <c r="C130" s="71" t="s">
        <v>239</v>
      </c>
      <c r="D130" s="338">
        <f ca="1">VLOOKUP(C130,'Swap Curves'!$U:$V,2,FALSE)%</f>
        <v>7.6500000000000005E-3</v>
      </c>
      <c r="E130" s="71" t="s">
        <v>171</v>
      </c>
      <c r="F130" s="71">
        <v>2</v>
      </c>
      <c r="G130" s="71" t="s">
        <v>24</v>
      </c>
      <c r="H130" s="71" t="s">
        <v>163</v>
      </c>
      <c r="I130" s="71" t="s">
        <v>21</v>
      </c>
      <c r="J130" s="71" t="s">
        <v>25</v>
      </c>
      <c r="K130" s="68" t="str">
        <f t="shared" ca="1" si="3"/>
        <v>6M-Euribor-BootstrapIndex#0001</v>
      </c>
      <c r="L130" s="72">
        <v>0</v>
      </c>
      <c r="M130" s="71" t="s">
        <v>164</v>
      </c>
      <c r="N130" s="68" t="str">
        <f t="shared" ca="1" si="4"/>
        <v>EONIA-Curve#0001</v>
      </c>
      <c r="O130" s="73" t="str">
        <f ca="1">_xll.qlSwapRateHelper2(C130,D130,F130,E130,G130,H130,I130,J130,K130,L130,M130,N130)</f>
        <v>EUR SWAP ANNUAL     8 YR#0001</v>
      </c>
      <c r="P130" s="74" t="str">
        <f ca="1">_xll.ohRangeRetrieveError(O130)</f>
        <v/>
      </c>
      <c r="R130" s="17" t="s">
        <v>6</v>
      </c>
      <c r="S130" s="11" t="s">
        <v>19</v>
      </c>
      <c r="U130" s="60">
        <f ca="1"/>
        <v>44813</v>
      </c>
      <c r="V130" s="20">
        <f ca="1"/>
        <v>0.95652254262796277</v>
      </c>
    </row>
    <row r="131" spans="3:22">
      <c r="C131" s="71" t="s">
        <v>240</v>
      </c>
      <c r="D131" s="338">
        <f ca="1">VLOOKUP(C131,'Swap Curves'!$U:$V,2,FALSE)%</f>
        <v>8.8500000000000002E-3</v>
      </c>
      <c r="E131" s="71" t="s">
        <v>172</v>
      </c>
      <c r="F131" s="71">
        <v>2</v>
      </c>
      <c r="G131" s="71" t="s">
        <v>24</v>
      </c>
      <c r="H131" s="71" t="s">
        <v>163</v>
      </c>
      <c r="I131" s="71" t="s">
        <v>21</v>
      </c>
      <c r="J131" s="71" t="s">
        <v>25</v>
      </c>
      <c r="K131" s="68" t="str">
        <f t="shared" ca="1" si="3"/>
        <v>6M-Euribor-BootstrapIndex#0001</v>
      </c>
      <c r="L131" s="72">
        <v>0</v>
      </c>
      <c r="M131" s="71" t="s">
        <v>164</v>
      </c>
      <c r="N131" s="68" t="str">
        <f t="shared" ca="1" si="4"/>
        <v>EONIA-Curve#0001</v>
      </c>
      <c r="O131" s="73" t="str">
        <f ca="1">_xll.qlSwapRateHelper2(C131,D131,F131,E131,G131,H131,I131,J131,K131,L131,M131,N131)</f>
        <v>EUR SWAP ANNUAL     9 YR#0001</v>
      </c>
      <c r="P131" s="74" t="str">
        <f ca="1">_xll.ohRangeRetrieveError(O131)</f>
        <v/>
      </c>
      <c r="R131" s="17" t="s">
        <v>37</v>
      </c>
      <c r="S131" s="77" t="str">
        <f ca="1">S109</f>
        <v>6M-EUR-Swap-Curve#0001</v>
      </c>
      <c r="U131" s="60">
        <f ca="1"/>
        <v>45180</v>
      </c>
      <c r="V131" s="20">
        <f ca="1"/>
        <v>0.94027496877880012</v>
      </c>
    </row>
    <row r="132" spans="3:22">
      <c r="C132" s="71" t="s">
        <v>241</v>
      </c>
      <c r="D132" s="338">
        <f ca="1">VLOOKUP(C132,'Swap Curves'!$U:$V,2,FALSE)%</f>
        <v>9.8999999999999991E-3</v>
      </c>
      <c r="E132" s="71" t="s">
        <v>173</v>
      </c>
      <c r="F132" s="71">
        <v>2</v>
      </c>
      <c r="G132" s="71" t="s">
        <v>24</v>
      </c>
      <c r="H132" s="71" t="s">
        <v>163</v>
      </c>
      <c r="I132" s="71" t="s">
        <v>21</v>
      </c>
      <c r="J132" s="71" t="s">
        <v>25</v>
      </c>
      <c r="K132" s="68" t="str">
        <f t="shared" ca="1" si="3"/>
        <v>6M-Euribor-BootstrapIndex#0001</v>
      </c>
      <c r="L132" s="72">
        <v>0</v>
      </c>
      <c r="M132" s="71" t="s">
        <v>164</v>
      </c>
      <c r="N132" s="68" t="str">
        <f t="shared" ca="1" si="4"/>
        <v>EONIA-Curve#0001</v>
      </c>
      <c r="O132" s="73" t="str">
        <f ca="1">_xll.qlSwapRateHelper2(C132,D132,F132,E132,G132,H132,I132,J132,K132,L132,M132,N132)</f>
        <v>EUR SWAP ANNUAL    10 YR#0001</v>
      </c>
      <c r="P132" s="74" t="str">
        <f ca="1">_xll.ohRangeRetrieveError(O132)</f>
        <v/>
      </c>
      <c r="R132" s="17" t="s">
        <v>30</v>
      </c>
      <c r="S132" s="11"/>
      <c r="U132" s="60">
        <f ca="1"/>
        <v>45544</v>
      </c>
      <c r="V132" s="20">
        <f ca="1"/>
        <v>0.92284240554818064</v>
      </c>
    </row>
    <row r="133" spans="3:22">
      <c r="C133" s="71" t="s">
        <v>242</v>
      </c>
      <c r="D133" s="338">
        <f ca="1">VLOOKUP(C133,'Swap Curves'!$U:$V,2,FALSE)%</f>
        <v>1.085E-2</v>
      </c>
      <c r="E133" s="71" t="s">
        <v>174</v>
      </c>
      <c r="F133" s="71">
        <v>2</v>
      </c>
      <c r="G133" s="71" t="s">
        <v>24</v>
      </c>
      <c r="H133" s="71" t="s">
        <v>163</v>
      </c>
      <c r="I133" s="71" t="s">
        <v>21</v>
      </c>
      <c r="J133" s="71" t="s">
        <v>25</v>
      </c>
      <c r="K133" s="68" t="str">
        <f t="shared" ca="1" si="3"/>
        <v>6M-Euribor-BootstrapIndex#0001</v>
      </c>
      <c r="L133" s="72">
        <v>0</v>
      </c>
      <c r="M133" s="71" t="s">
        <v>164</v>
      </c>
      <c r="N133" s="68" t="str">
        <f t="shared" ca="1" si="4"/>
        <v>EONIA-Curve#0001</v>
      </c>
      <c r="O133" s="73" t="str">
        <f ca="1">_xll.qlSwapRateHelper2(C133,D133,F133,E133,G133,H133,I133,J133,K133,L133,M133,N133)</f>
        <v>EUR SWAP ANNUAL    11 YR#0001</v>
      </c>
      <c r="P133" s="74" t="str">
        <f ca="1">_xll.ohRangeRetrieveError(O133)</f>
        <v/>
      </c>
      <c r="R133" s="17" t="s">
        <v>32</v>
      </c>
      <c r="S133" s="11"/>
      <c r="U133" s="60">
        <f ca="1"/>
        <v>45909</v>
      </c>
      <c r="V133" s="20">
        <f ca="1"/>
        <v>0.90478985786155963</v>
      </c>
    </row>
    <row r="134" spans="3:22">
      <c r="C134" s="71" t="s">
        <v>243</v>
      </c>
      <c r="D134" s="338">
        <f ca="1">VLOOKUP(C134,'Swap Curves'!$U:$V,2,FALSE)%</f>
        <v>1.1679999999999999E-2</v>
      </c>
      <c r="E134" s="71" t="s">
        <v>175</v>
      </c>
      <c r="F134" s="71">
        <v>2</v>
      </c>
      <c r="G134" s="71" t="s">
        <v>24</v>
      </c>
      <c r="H134" s="71" t="s">
        <v>163</v>
      </c>
      <c r="I134" s="71" t="s">
        <v>21</v>
      </c>
      <c r="J134" s="71" t="s">
        <v>25</v>
      </c>
      <c r="K134" s="68" t="str">
        <f t="shared" ca="1" si="3"/>
        <v>6M-Euribor-BootstrapIndex#0001</v>
      </c>
      <c r="L134" s="72">
        <v>0</v>
      </c>
      <c r="M134" s="71" t="s">
        <v>164</v>
      </c>
      <c r="N134" s="68" t="str">
        <f t="shared" ca="1" si="4"/>
        <v>EONIA-Curve#0001</v>
      </c>
      <c r="O134" s="73" t="str">
        <f ca="1">_xll.qlSwapRateHelper2(C134,D134,F134,E134,G134,H134,I134,J134,K134,L134,M134,N134)</f>
        <v>EUR SWAP ANNUAL    12 YR#0001</v>
      </c>
      <c r="P134" s="74" t="str">
        <f ca="1">_xll.ohRangeRetrieveError(O134)</f>
        <v/>
      </c>
      <c r="R134" s="18" t="s">
        <v>34</v>
      </c>
      <c r="S134" s="15"/>
      <c r="U134" s="60">
        <f ca="1"/>
        <v>46274</v>
      </c>
      <c r="V134" s="20">
        <f ca="1"/>
        <v>0.88610189913339665</v>
      </c>
    </row>
    <row r="135" spans="3:22">
      <c r="C135" s="71" t="s">
        <v>244</v>
      </c>
      <c r="D135" s="338">
        <f ca="1">VLOOKUP(C135,'Swap Curves'!$U:$V,2,FALSE)%</f>
        <v>1.2390000000000002E-2</v>
      </c>
      <c r="E135" s="71" t="s">
        <v>157</v>
      </c>
      <c r="F135" s="71">
        <v>2</v>
      </c>
      <c r="G135" s="71" t="s">
        <v>24</v>
      </c>
      <c r="H135" s="71" t="s">
        <v>163</v>
      </c>
      <c r="I135" s="71" t="s">
        <v>21</v>
      </c>
      <c r="J135" s="71" t="s">
        <v>25</v>
      </c>
      <c r="K135" s="68" t="str">
        <f t="shared" ca="1" si="3"/>
        <v>6M-Euribor-BootstrapIndex#0001</v>
      </c>
      <c r="L135" s="72">
        <v>0</v>
      </c>
      <c r="M135" s="71" t="s">
        <v>164</v>
      </c>
      <c r="N135" s="68" t="str">
        <f t="shared" ca="1" si="4"/>
        <v>EONIA-Curve#0001</v>
      </c>
      <c r="O135" s="73" t="str">
        <f ca="1">_xll.qlSwapRateHelper2(C135,D135,F135,E135,G135,H135,I135,J135,K135,L135,M135,N135)</f>
        <v>EUR SWAP ANNUAL    13 YR#0001</v>
      </c>
      <c r="P135" s="74" t="str">
        <f ca="1">_xll.ohRangeRetrieveError(O135)</f>
        <v/>
      </c>
      <c r="U135" s="60">
        <f ca="1"/>
        <v>46639</v>
      </c>
      <c r="V135" s="20">
        <f ca="1"/>
        <v>0.86732182672035407</v>
      </c>
    </row>
    <row r="136" spans="3:22">
      <c r="C136" s="71" t="s">
        <v>245</v>
      </c>
      <c r="D136" s="338">
        <f ca="1">VLOOKUP(C136,'Swap Curves'!$U:$V,2,FALSE)%</f>
        <v>1.299E-2</v>
      </c>
      <c r="E136" s="71" t="s">
        <v>158</v>
      </c>
      <c r="F136" s="71">
        <v>2</v>
      </c>
      <c r="G136" s="71" t="s">
        <v>24</v>
      </c>
      <c r="H136" s="71" t="s">
        <v>163</v>
      </c>
      <c r="I136" s="71" t="s">
        <v>21</v>
      </c>
      <c r="J136" s="71" t="s">
        <v>25</v>
      </c>
      <c r="K136" s="68" t="str">
        <f t="shared" ca="1" si="3"/>
        <v>6M-Euribor-BootstrapIndex#0001</v>
      </c>
      <c r="L136" s="72">
        <v>0</v>
      </c>
      <c r="M136" s="71" t="s">
        <v>164</v>
      </c>
      <c r="N136" s="68" t="str">
        <f t="shared" ca="1" si="4"/>
        <v>EONIA-Curve#0001</v>
      </c>
      <c r="O136" s="73" t="str">
        <f ca="1">_xll.qlSwapRateHelper2(C136,D136,F136,E136,G136,H136,I136,J136,K136,L136,M136,N136)</f>
        <v>EUR SWAP ANNUAL    14 YR#0001</v>
      </c>
      <c r="P136" s="74" t="str">
        <f ca="1">_xll.ohRangeRetrieveError(O136)</f>
        <v/>
      </c>
      <c r="U136" s="60">
        <f ca="1"/>
        <v>47007</v>
      </c>
      <c r="V136" s="20">
        <f ca="1"/>
        <v>0.848742702460063</v>
      </c>
    </row>
    <row r="137" spans="3:22">
      <c r="C137" s="71" t="s">
        <v>246</v>
      </c>
      <c r="D137" s="338">
        <f ca="1">VLOOKUP(C137,'Swap Curves'!$U:$V,2,FALSE)%</f>
        <v>1.349E-2</v>
      </c>
      <c r="E137" s="71" t="s">
        <v>176</v>
      </c>
      <c r="F137" s="71">
        <v>2</v>
      </c>
      <c r="G137" s="71" t="s">
        <v>24</v>
      </c>
      <c r="H137" s="71" t="s">
        <v>163</v>
      </c>
      <c r="I137" s="71" t="s">
        <v>21</v>
      </c>
      <c r="J137" s="71" t="s">
        <v>25</v>
      </c>
      <c r="K137" s="68" t="str">
        <f t="shared" ca="1" si="3"/>
        <v>6M-Euribor-BootstrapIndex#0001</v>
      </c>
      <c r="L137" s="72">
        <v>0</v>
      </c>
      <c r="M137" s="71" t="s">
        <v>164</v>
      </c>
      <c r="N137" s="68" t="str">
        <f t="shared" ca="1" si="4"/>
        <v>EONIA-Curve#0001</v>
      </c>
      <c r="O137" s="73" t="str">
        <f ca="1">_xll.qlSwapRateHelper2(C137,D137,F137,E137,G137,H137,I137,J137,K137,L137,M137,N137)</f>
        <v>EUR SWAP ANNUAL    15 YR#0001</v>
      </c>
      <c r="P137" s="74" t="str">
        <f ca="1">_xll.ohRangeRetrieveError(O137)</f>
        <v/>
      </c>
      <c r="U137" s="60">
        <f ca="1"/>
        <v>47371</v>
      </c>
      <c r="V137" s="20">
        <f ca="1"/>
        <v>0.8307133885832596</v>
      </c>
    </row>
    <row r="138" spans="3:22">
      <c r="C138" s="71" t="s">
        <v>247</v>
      </c>
      <c r="D138" s="338">
        <f ca="1">VLOOKUP(C138,'Swap Curves'!$U:$V,2,FALSE)%</f>
        <v>1.4959999999999999E-2</v>
      </c>
      <c r="E138" s="71" t="s">
        <v>177</v>
      </c>
      <c r="F138" s="71">
        <v>2</v>
      </c>
      <c r="G138" s="71" t="s">
        <v>24</v>
      </c>
      <c r="H138" s="71" t="s">
        <v>163</v>
      </c>
      <c r="I138" s="71" t="s">
        <v>21</v>
      </c>
      <c r="J138" s="71" t="s">
        <v>25</v>
      </c>
      <c r="K138" s="68" t="str">
        <f t="shared" ca="1" si="3"/>
        <v>6M-Euribor-BootstrapIndex#0001</v>
      </c>
      <c r="L138" s="72">
        <v>0</v>
      </c>
      <c r="M138" s="71" t="s">
        <v>164</v>
      </c>
      <c r="N138" s="68" t="str">
        <f t="shared" ca="1" si="4"/>
        <v>EONIA-Curve#0001</v>
      </c>
      <c r="O138" s="73" t="str">
        <f ca="1">_xll.qlSwapRateHelper2(C138,D138,F138,E138,G138,H138,I138,J138,K138,L138,M138,N138)</f>
        <v>EUR SWAP ANNUAL    20 YR#0001</v>
      </c>
      <c r="P138" s="74" t="str">
        <f ca="1">_xll.ohRangeRetrieveError(O138)</f>
        <v/>
      </c>
      <c r="U138" s="60">
        <f ca="1"/>
        <v>47735</v>
      </c>
      <c r="V138" s="20">
        <f ca="1"/>
        <v>0.81330796213272716</v>
      </c>
    </row>
    <row r="139" spans="3:22">
      <c r="C139" s="71" t="s">
        <v>248</v>
      </c>
      <c r="D139" s="338">
        <f ca="1">VLOOKUP(C139,'Swap Curves'!$U:$V,2,FALSE)%</f>
        <v>1.528E-2</v>
      </c>
      <c r="E139" s="71" t="s">
        <v>178</v>
      </c>
      <c r="F139" s="71">
        <v>2</v>
      </c>
      <c r="G139" s="71" t="s">
        <v>24</v>
      </c>
      <c r="H139" s="71" t="s">
        <v>163</v>
      </c>
      <c r="I139" s="71" t="s">
        <v>21</v>
      </c>
      <c r="J139" s="71" t="s">
        <v>25</v>
      </c>
      <c r="K139" s="68" t="str">
        <f t="shared" ca="1" si="3"/>
        <v>6M-Euribor-BootstrapIndex#0001</v>
      </c>
      <c r="L139" s="72">
        <v>0</v>
      </c>
      <c r="M139" s="71" t="s">
        <v>164</v>
      </c>
      <c r="N139" s="68" t="str">
        <f t="shared" ca="1" si="4"/>
        <v>EONIA-Curve#0001</v>
      </c>
      <c r="O139" s="73" t="str">
        <f ca="1">_xll.qlSwapRateHelper2(C139,D139,F139,E139,G139,H139,I139,J139,K139,L139,M139,N139)</f>
        <v>EUR SWAP ANNUAL    25 YR#0001</v>
      </c>
      <c r="P139" s="74" t="str">
        <f ca="1">_xll.ohRangeRetrieveError(O139)</f>
        <v/>
      </c>
      <c r="U139" s="60">
        <f ca="1"/>
        <v>49562</v>
      </c>
      <c r="V139" s="20">
        <f ca="1"/>
        <v>0.73587711627211927</v>
      </c>
    </row>
    <row r="140" spans="3:22">
      <c r="C140" s="71" t="s">
        <v>249</v>
      </c>
      <c r="D140" s="338">
        <f ca="1">VLOOKUP(C140,'Swap Curves'!$U:$V,2,FALSE)%</f>
        <v>1.537E-2</v>
      </c>
      <c r="E140" s="71" t="s">
        <v>179</v>
      </c>
      <c r="F140" s="71">
        <v>2</v>
      </c>
      <c r="G140" s="71" t="s">
        <v>24</v>
      </c>
      <c r="H140" s="71" t="s">
        <v>163</v>
      </c>
      <c r="I140" s="71" t="s">
        <v>21</v>
      </c>
      <c r="J140" s="71" t="s">
        <v>25</v>
      </c>
      <c r="K140" s="68" t="str">
        <f t="shared" ca="1" si="3"/>
        <v>6M-Euribor-BootstrapIndex#0001</v>
      </c>
      <c r="L140" s="72">
        <v>0</v>
      </c>
      <c r="M140" s="71" t="s">
        <v>164</v>
      </c>
      <c r="N140" s="68" t="str">
        <f t="shared" ca="1" si="4"/>
        <v>EONIA-Curve#0001</v>
      </c>
      <c r="O140" s="73" t="str">
        <f ca="1">_xll.qlSwapRateHelper2(C140,D140,F140,E140,G140,H140,I140,J140,K140,L140,M140,N140)</f>
        <v>EUR SWAP ANNUAL    30 YR#0001</v>
      </c>
      <c r="P140" s="74" t="str">
        <f ca="1">_xll.ohRangeRetrieveError(O140)</f>
        <v/>
      </c>
      <c r="U140" s="61">
        <f ca="1"/>
        <v>51389</v>
      </c>
      <c r="V140" s="21">
        <f ca="1"/>
        <v>0.67684959987757964</v>
      </c>
    </row>
    <row r="141" spans="3:22">
      <c r="C141" s="71" t="s">
        <v>250</v>
      </c>
      <c r="D141" s="338">
        <f ca="1">VLOOKUP(C141,'Swap Curves'!$U:$V,2,FALSE)%</f>
        <v>1.554E-2</v>
      </c>
      <c r="E141" s="71" t="s">
        <v>180</v>
      </c>
      <c r="F141" s="71">
        <v>2</v>
      </c>
      <c r="G141" s="71" t="s">
        <v>24</v>
      </c>
      <c r="H141" s="71" t="s">
        <v>163</v>
      </c>
      <c r="I141" s="71" t="s">
        <v>21</v>
      </c>
      <c r="J141" s="71" t="s">
        <v>25</v>
      </c>
      <c r="K141" s="68" t="str">
        <f t="shared" ca="1" si="3"/>
        <v>6M-Euribor-BootstrapIndex#0001</v>
      </c>
      <c r="L141" s="72">
        <v>0</v>
      </c>
      <c r="M141" s="71" t="s">
        <v>164</v>
      </c>
      <c r="N141" s="68" t="str">
        <f t="shared" ca="1" si="4"/>
        <v>EONIA-Curve#0001</v>
      </c>
      <c r="O141" s="73" t="str">
        <f ca="1">_xll.qlSwapRateHelper2(C141,D141,F141,E141,G141,H141,I141,J141,K141,L141,M141,N141)</f>
        <v>EUR SWAP ANNUAL    40 YR#0001</v>
      </c>
      <c r="P141" s="74" t="str">
        <f ca="1">_xll.ohRangeRetrieveError(O141)</f>
        <v/>
      </c>
    </row>
    <row r="142" spans="3:22">
      <c r="C142" s="78" t="s">
        <v>251</v>
      </c>
      <c r="D142" s="341">
        <f ca="1">VLOOKUP(C142,'Swap Curves'!$U:$V,2,FALSE)%</f>
        <v>1.5180000000000001E-2</v>
      </c>
      <c r="E142" s="78" t="s">
        <v>181</v>
      </c>
      <c r="F142" s="78">
        <v>2</v>
      </c>
      <c r="G142" s="78" t="s">
        <v>24</v>
      </c>
      <c r="H142" s="78" t="s">
        <v>163</v>
      </c>
      <c r="I142" s="78" t="s">
        <v>21</v>
      </c>
      <c r="J142" s="78" t="s">
        <v>25</v>
      </c>
      <c r="K142" s="79" t="str">
        <f t="shared" ca="1" si="3"/>
        <v>6M-Euribor-BootstrapIndex#0001</v>
      </c>
      <c r="L142" s="80">
        <v>0</v>
      </c>
      <c r="M142" s="78" t="s">
        <v>164</v>
      </c>
      <c r="N142" s="79" t="str">
        <f t="shared" ca="1" si="4"/>
        <v>EONIA-Curve#0001</v>
      </c>
      <c r="O142" s="81" t="str">
        <f ca="1">_xll.qlSwapRateHelper2(C142,D142,F142,E142,G142,H142,I142,J142,K142,L142,M142,N142)</f>
        <v>EUR SWAP ANNUAL    50 YR#0001</v>
      </c>
      <c r="P142" s="82" t="str">
        <f ca="1">_xll.ohRangeRetrieveError(O142)</f>
        <v/>
      </c>
    </row>
    <row r="143" spans="3:22">
      <c r="C143" s="78" t="s">
        <v>721</v>
      </c>
      <c r="D143" s="341">
        <f ca="1">VLOOKUP(C143,'Swap Curves'!$U:$V,2,FALSE)%</f>
        <v>1.5029999999999998E-2</v>
      </c>
      <c r="E143" s="78" t="s">
        <v>1737</v>
      </c>
      <c r="F143" s="78">
        <v>2</v>
      </c>
      <c r="G143" s="78" t="s">
        <v>24</v>
      </c>
      <c r="H143" s="78" t="s">
        <v>163</v>
      </c>
      <c r="I143" s="78" t="s">
        <v>21</v>
      </c>
      <c r="J143" s="78" t="s">
        <v>25</v>
      </c>
      <c r="K143" s="79" t="str">
        <f t="shared" ca="1" si="3"/>
        <v>6M-Euribor-BootstrapIndex#0001</v>
      </c>
      <c r="L143" s="80">
        <v>0</v>
      </c>
      <c r="M143" s="78" t="s">
        <v>164</v>
      </c>
      <c r="N143" s="79" t="str">
        <f t="shared" ca="1" si="4"/>
        <v>EONIA-Curve#0001</v>
      </c>
      <c r="O143" s="81" t="str">
        <f ca="1">_xll.qlSwapRateHelper2(C143,D143,F143,E143,G143,H143,I143,J143,K143,L143,M143,N143)</f>
        <v>EUR SWAP ANNUAL    60 YR#0001</v>
      </c>
      <c r="P143" s="82" t="str">
        <f ca="1">_xll.ohRangeRetrieveError(O143)</f>
        <v/>
      </c>
    </row>
    <row r="144" spans="3:22">
      <c r="C144" s="85"/>
      <c r="D144" s="36"/>
      <c r="E144" s="85"/>
      <c r="F144" s="85"/>
      <c r="G144" s="85"/>
      <c r="H144" s="85"/>
      <c r="I144" s="85"/>
      <c r="J144" s="85"/>
      <c r="K144" s="86"/>
      <c r="L144" s="87"/>
      <c r="M144" s="85"/>
      <c r="N144" s="86"/>
      <c r="O144" s="88"/>
      <c r="P144" s="89"/>
    </row>
  </sheetData>
  <mergeCells count="1">
    <mergeCell ref="C5:D5"/>
  </mergeCells>
  <dataValidations count="6">
    <dataValidation type="list" allowBlank="1" showInputMessage="1" showErrorMessage="1" sqref="S27 S120 S78">
      <formula1>"BackwardFlat,ForwardFlat,Linear,LogLinear,Cubic,LogCubic"</formula1>
    </dataValidation>
    <dataValidation type="list" allowBlank="1" showInputMessage="1" showErrorMessage="1" sqref="S26 S119 S77">
      <formula1>"Discount,ZeroYield,ForwardRate"</formula1>
    </dataValidation>
    <dataValidation type="list" allowBlank="1" showInputMessage="1" showErrorMessage="1" sqref="I18:I53 I111:I144 I69:I100">
      <formula1>"Following,Modified Following,Preceding,Modified Preceding,Unadjusted"</formula1>
    </dataValidation>
    <dataValidation type="list" allowBlank="1" showInputMessage="1" showErrorMessage="1" sqref="G19:H53 G144 H112:H144 G100 H70:H100">
      <formula1>"Annual,Semiannual,EveryFourthMonth,Quarterly,Bimonthly,Monthly,Biweekly,Weekly,Daily,Once,NoFrequency"</formula1>
    </dataValidation>
    <dataValidation type="list" allowBlank="1" showInputMessage="1" showErrorMessage="1" sqref="F20:F53 S113 S20 G18:H18 H111 G112:G143 F144 S71 H69 F100 G70:G99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S115 S22 K18 J19:J53 J112:J144 S73 J70:J100">
      <formula1>"Actual/Actual (ISDA),Actual/360,30/360 (Bond Basis),30E/360 (Eurobond Basis),Actual/365 (Fixed),Actual/Actual (ISMA),Actual/Actual (AFB),'1/1,30/360 (Italian),Simple"</formula1>
    </dataValidation>
  </dataValidations>
  <pageMargins left="0.7" right="0.7" top="0.75" bottom="0.75" header="0.3" footer="0.3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B2:AV213"/>
  <sheetViews>
    <sheetView showGridLines="0" topLeftCell="AI1" workbookViewId="0">
      <selection activeCell="AQ1" sqref="AQ1"/>
    </sheetView>
  </sheetViews>
  <sheetFormatPr defaultRowHeight="12.75" outlineLevelCol="1"/>
  <cols>
    <col min="1" max="2" width="9.140625" style="344"/>
    <col min="3" max="3" width="14.28515625" style="344" bestFit="1" customWidth="1"/>
    <col min="4" max="4" width="8.7109375" style="344" bestFit="1" customWidth="1"/>
    <col min="5" max="5" width="10.85546875" style="344" bestFit="1" customWidth="1"/>
    <col min="6" max="6" width="21.42578125" style="344" bestFit="1" customWidth="1"/>
    <col min="7" max="7" width="22" style="344" bestFit="1" customWidth="1"/>
    <col min="8" max="8" width="9.140625" style="344" hidden="1" customWidth="1" outlineLevel="1"/>
    <col min="9" max="9" width="17.85546875" style="344" hidden="1" customWidth="1" outlineLevel="1"/>
    <col min="10" max="10" width="14.42578125" style="344" hidden="1" customWidth="1" outlineLevel="1"/>
    <col min="11" max="12" width="16.28515625" style="344" hidden="1" customWidth="1" outlineLevel="1"/>
    <col min="13" max="14" width="9.140625" style="344" hidden="1" customWidth="1" outlineLevel="1"/>
    <col min="15" max="16" width="16.28515625" style="344" hidden="1" customWidth="1" outlineLevel="1"/>
    <col min="17" max="17" width="9.140625" style="344" hidden="1" customWidth="1" outlineLevel="1"/>
    <col min="18" max="18" width="16.28515625" style="47" hidden="1" customWidth="1" outlineLevel="1"/>
    <col min="19" max="20" width="9.140625" style="344" hidden="1" customWidth="1" outlineLevel="1"/>
    <col min="21" max="22" width="16.28515625" style="344" hidden="1" customWidth="1" outlineLevel="1"/>
    <col min="23" max="23" width="9.140625" style="344" hidden="1" customWidth="1" outlineLevel="1"/>
    <col min="24" max="24" width="16.28515625" style="47" hidden="1" customWidth="1" outlineLevel="1"/>
    <col min="25" max="25" width="15" style="344" hidden="1" customWidth="1" outlineLevel="1"/>
    <col min="26" max="26" width="10.85546875" style="47" hidden="1" customWidth="1" outlineLevel="1"/>
    <col min="27" max="27" width="14.42578125" style="47" hidden="1" customWidth="1" outlineLevel="1"/>
    <col min="28" max="31" width="15" style="47" hidden="1" customWidth="1" outlineLevel="1"/>
    <col min="32" max="32" width="10.28515625" style="47" hidden="1" customWidth="1" outlineLevel="1"/>
    <col min="33" max="33" width="15.85546875" style="47" hidden="1" customWidth="1" outlineLevel="1"/>
    <col min="34" max="34" width="15.7109375" style="47" hidden="1" customWidth="1" outlineLevel="1"/>
    <col min="35" max="35" width="15.42578125" style="47" customWidth="1" collapsed="1"/>
    <col min="36" max="36" width="17.42578125" style="47" hidden="1" customWidth="1" outlineLevel="1"/>
    <col min="37" max="41" width="15.42578125" style="47" hidden="1" customWidth="1" outlineLevel="1"/>
    <col min="42" max="42" width="10.140625" style="344" customWidth="1" collapsed="1"/>
    <col min="43" max="46" width="9.140625" style="344"/>
    <col min="47" max="47" width="11.42578125" style="344" customWidth="1"/>
    <col min="48" max="16384" width="9.140625" style="344"/>
  </cols>
  <sheetData>
    <row r="2" spans="2:48">
      <c r="R2" s="344"/>
      <c r="X2" s="344"/>
      <c r="Z2" s="344"/>
      <c r="AA2" s="344"/>
      <c r="AB2" s="344"/>
      <c r="AC2" s="344"/>
      <c r="AD2" s="344"/>
      <c r="AE2" s="344"/>
      <c r="AF2" s="344"/>
      <c r="AG2" s="344"/>
      <c r="AH2" s="344"/>
      <c r="AI2" s="344"/>
      <c r="AJ2" s="344"/>
      <c r="AK2" s="344"/>
      <c r="AL2" s="344"/>
      <c r="AM2" s="344"/>
      <c r="AN2" s="344"/>
      <c r="AO2" s="344"/>
      <c r="AS2" s="399" t="s">
        <v>1753</v>
      </c>
      <c r="AT2" s="399"/>
      <c r="AU2" s="399" t="s">
        <v>258</v>
      </c>
      <c r="AV2" s="400"/>
    </row>
    <row r="3" spans="2:48">
      <c r="B3" s="366" t="s">
        <v>102</v>
      </c>
      <c r="C3" s="366" t="s">
        <v>48</v>
      </c>
      <c r="D3" s="367" t="s">
        <v>65</v>
      </c>
      <c r="E3" s="368" t="s">
        <v>47</v>
      </c>
      <c r="F3" s="369" t="s">
        <v>1747</v>
      </c>
      <c r="G3" s="368" t="s">
        <v>1748</v>
      </c>
      <c r="H3" s="369" t="s">
        <v>3</v>
      </c>
      <c r="I3" s="367" t="s">
        <v>4</v>
      </c>
      <c r="J3" s="367" t="s">
        <v>304</v>
      </c>
      <c r="K3" s="367" t="s">
        <v>66</v>
      </c>
      <c r="L3" s="368" t="s">
        <v>67</v>
      </c>
      <c r="M3" s="369" t="s">
        <v>6</v>
      </c>
      <c r="N3" s="367" t="s">
        <v>3</v>
      </c>
      <c r="O3" s="367" t="s">
        <v>4</v>
      </c>
      <c r="P3" s="367" t="s">
        <v>68</v>
      </c>
      <c r="Q3" s="367" t="s">
        <v>69</v>
      </c>
      <c r="R3" s="368" t="s">
        <v>39</v>
      </c>
      <c r="S3" s="369" t="s">
        <v>6</v>
      </c>
      <c r="T3" s="367" t="s">
        <v>3</v>
      </c>
      <c r="U3" s="367" t="s">
        <v>4</v>
      </c>
      <c r="V3" s="367" t="s">
        <v>68</v>
      </c>
      <c r="W3" s="367" t="s">
        <v>69</v>
      </c>
      <c r="X3" s="368" t="s">
        <v>94</v>
      </c>
      <c r="Y3" s="369" t="s">
        <v>1743</v>
      </c>
      <c r="Z3" s="367" t="s">
        <v>383</v>
      </c>
      <c r="AA3" s="367" t="s">
        <v>1744</v>
      </c>
      <c r="AB3" s="367" t="s">
        <v>1746</v>
      </c>
      <c r="AC3" s="367" t="s">
        <v>41</v>
      </c>
      <c r="AD3" s="367" t="s">
        <v>306</v>
      </c>
      <c r="AE3" s="367" t="s">
        <v>75</v>
      </c>
      <c r="AF3" s="367" t="s">
        <v>76</v>
      </c>
      <c r="AG3" s="368" t="s">
        <v>40</v>
      </c>
      <c r="AH3" s="369" t="s">
        <v>65</v>
      </c>
      <c r="AI3" s="368" t="s">
        <v>86</v>
      </c>
      <c r="AJ3" s="366" t="s">
        <v>85</v>
      </c>
      <c r="AK3" s="370" t="s">
        <v>89</v>
      </c>
      <c r="AL3" s="367" t="s">
        <v>41</v>
      </c>
      <c r="AM3" s="367" t="s">
        <v>1750</v>
      </c>
      <c r="AN3" s="370" t="s">
        <v>49</v>
      </c>
      <c r="AO3" s="371" t="s">
        <v>1751</v>
      </c>
      <c r="AP3" s="366" t="s">
        <v>255</v>
      </c>
      <c r="AQ3" s="371" t="s">
        <v>1754</v>
      </c>
      <c r="AS3" s="364" t="s">
        <v>44</v>
      </c>
      <c r="AT3" s="364" t="s">
        <v>1749</v>
      </c>
      <c r="AU3" s="364" t="s">
        <v>44</v>
      </c>
      <c r="AV3" s="364" t="s">
        <v>1749</v>
      </c>
    </row>
    <row r="4" spans="2:48">
      <c r="B4" s="348" t="str">
        <f ca="1">D4&amp;"x"&amp;E4</f>
        <v>1Mx1Y</v>
      </c>
      <c r="C4" s="345">
        <f t="shared" ref="C4:C67" ca="1" si="0">RefDate</f>
        <v>42254</v>
      </c>
      <c r="D4" s="346" t="s">
        <v>23</v>
      </c>
      <c r="E4" s="346" t="s">
        <v>7</v>
      </c>
      <c r="F4" s="351">
        <f ca="1">VLOOKUP(F$3&amp;$D4&amp;$E4,'Swaption Volatilities'!$V:$W,2,FALSE)%%</f>
        <v>1.6000000000000001E-3</v>
      </c>
      <c r="G4" s="352">
        <f ca="1">VLOOKUP(G$3&amp;$D4&amp;$E4,'Swaption Volatilities'!$V:$W,2,FALSE)</f>
        <v>3.5</v>
      </c>
      <c r="H4" s="346" t="s">
        <v>20</v>
      </c>
      <c r="I4" s="346" t="s">
        <v>21</v>
      </c>
      <c r="J4" s="345">
        <f ca="1">_xll.qlCalendarAdvance(H4,C4,D4,I4)</f>
        <v>42284</v>
      </c>
      <c r="K4" s="345">
        <f ca="1">_xll.qlCalendarAdvance(H4,J4,"2d")</f>
        <v>42286</v>
      </c>
      <c r="L4" s="345">
        <f ca="1">_xll.qlCalendarAdvance(H4,K4,E4,"unadjusted")</f>
        <v>42652</v>
      </c>
      <c r="M4" s="346" t="s">
        <v>7</v>
      </c>
      <c r="N4" s="346" t="s">
        <v>20</v>
      </c>
      <c r="O4" s="346" t="s">
        <v>21</v>
      </c>
      <c r="P4" s="346" t="s">
        <v>21</v>
      </c>
      <c r="Q4" s="346" t="s">
        <v>70</v>
      </c>
      <c r="R4" s="353" t="str">
        <f ca="1">_xll.qlSchedule(,K4,L4,M4,N4,O4,P4,Q4)</f>
        <v>obj_0071a#0001</v>
      </c>
      <c r="S4" s="346" t="s">
        <v>26</v>
      </c>
      <c r="T4" s="346" t="s">
        <v>20</v>
      </c>
      <c r="U4" s="346" t="s">
        <v>21</v>
      </c>
      <c r="V4" s="346" t="s">
        <v>21</v>
      </c>
      <c r="W4" s="346" t="s">
        <v>70</v>
      </c>
      <c r="X4" s="353" t="str">
        <f ca="1">_xll.qlSchedule(,K4,L4,S4,T4,U4,V4,W4)</f>
        <v>obj_0071b#0001</v>
      </c>
      <c r="Y4" s="349" t="s">
        <v>1742</v>
      </c>
      <c r="Z4" s="354" t="s">
        <v>1740</v>
      </c>
      <c r="AA4" s="354" t="s">
        <v>1745</v>
      </c>
      <c r="AB4" s="353" t="str">
        <f ca="1">_xll.qlVanillaSwap(,,,R4,,Y4,X4,Z4,,AA4)</f>
        <v>obj_00733#0001</v>
      </c>
      <c r="AC4" s="353" t="b">
        <f ca="1">_xll.qlInstrumentSetPricingEngine(AB4,_xll.qlDiscountingSwapEngine(,Curve!$S$16))</f>
        <v>1</v>
      </c>
      <c r="AD4" s="355">
        <f ca="1">_xll.qlVanillaSwapFairRate(AB4,AC4)</f>
        <v>-3.8123559664469448E-4</v>
      </c>
      <c r="AE4" s="346" t="s">
        <v>1752</v>
      </c>
      <c r="AF4" s="347">
        <v>10000</v>
      </c>
      <c r="AG4" s="350" t="str">
        <f ca="1">_xll.qlVanillaSwap(,AE4,AF4,R4,AD4,Y4,X4,Z4,,AA4)</f>
        <v>obj_00738#0000</v>
      </c>
      <c r="AH4" s="347" t="str">
        <f ca="1">_xll.qlEuropeanExercise(,J4)</f>
        <v>obj_00700#0001</v>
      </c>
      <c r="AI4" s="346" t="s">
        <v>1749</v>
      </c>
      <c r="AJ4" s="356" t="str">
        <f ca="1">_xll.qlSwaption(,AG4,AH4,AI4)</f>
        <v>obj_0077a#0001</v>
      </c>
      <c r="AK4" s="357" t="str">
        <f ca="1">_xll.qlConstantSwaptionVolatility(,,H4,I4,F4)</f>
        <v>obj_001d2#0001</v>
      </c>
      <c r="AL4" s="357" t="b">
        <f ca="1">_xll.qlInstrumentSetPricingEngine(AJ4,_xll.qlBachelierBlackSwaptionEngine(,Curve!$S$16,AK4))</f>
        <v>1</v>
      </c>
      <c r="AM4" s="358">
        <f ca="1">_xll.qlInstrumentNPV(AJ4,AL4)*2/_xll.qlYieldTSDiscount(Curve!$S$16,K4)</f>
        <v>3.6712121081739375</v>
      </c>
      <c r="AN4" s="358">
        <f ca="1">_xll.qlInstrumentResults(AJ4,"annuity",AL4)</f>
        <v>10031.952824943031</v>
      </c>
      <c r="AO4" s="359">
        <f ca="1">G4/2*_xll.qlYieldTSDiscount(Curve!$S$16,K4)/AN4</f>
        <v>1.7446278899373331E-4</v>
      </c>
      <c r="AP4" s="360">
        <f ca="1">_xll.qlBachelierBlackFormulaImpliedVol("Call",AD4,AD4,_xll.qlDayCounterYearFraction("Act/365 (Fixed)",C4,J4),AO4)</f>
        <v>1.5253817635685495E-3</v>
      </c>
      <c r="AQ4" s="361" t="e">
        <f ca="1">_xll.qlBlackFormulaImpliedStdDev("Call",AD4,AD4,AO4)/SQRT(_xll.qlDayCounterYearFraction("Act/365 (Fixed)",C4,J4))</f>
        <v>#NUM!</v>
      </c>
      <c r="AS4" s="363">
        <v>1.5235035629164154E-3</v>
      </c>
      <c r="AT4" s="363">
        <v>1.5253817635685495E-3</v>
      </c>
      <c r="AU4" s="365">
        <f ca="1">F4-AS4</f>
        <v>7.6496437083584719E-5</v>
      </c>
      <c r="AV4" s="365">
        <f ca="1">F4-AT4</f>
        <v>7.4618236431450626E-5</v>
      </c>
    </row>
    <row r="5" spans="2:48">
      <c r="B5" s="348" t="str">
        <f t="shared" ref="B5:B68" ca="1" si="1">D5&amp;"x"&amp;E5</f>
        <v>2Mx1Y</v>
      </c>
      <c r="C5" s="345">
        <f t="shared" ca="1" si="0"/>
        <v>42254</v>
      </c>
      <c r="D5" s="346" t="s">
        <v>398</v>
      </c>
      <c r="E5" s="346" t="s">
        <v>7</v>
      </c>
      <c r="F5" s="351">
        <f ca="1">VLOOKUP(F$3&amp;$D5&amp;$E5,'Swaption Volatilities'!$V:$W,2,FALSE)%%</f>
        <v>1.57E-3</v>
      </c>
      <c r="G5" s="352">
        <f ca="1">VLOOKUP(G$3&amp;$D5&amp;$E5,'Swaption Volatilities'!$V:$W,2,FALSE)</f>
        <v>5</v>
      </c>
      <c r="H5" s="346" t="s">
        <v>20</v>
      </c>
      <c r="I5" s="346" t="s">
        <v>21</v>
      </c>
      <c r="J5" s="345">
        <f ca="1">_xll.qlCalendarAdvance(H5,C5,D5,I5)</f>
        <v>42317</v>
      </c>
      <c r="K5" s="345">
        <f ca="1">_xll.qlCalendarAdvance(H5,J5,"2d")</f>
        <v>42319</v>
      </c>
      <c r="L5" s="345">
        <f ca="1">_xll.qlCalendarAdvance(H5,K5,E5,"unadjusted")</f>
        <v>42685</v>
      </c>
      <c r="M5" s="346" t="s">
        <v>7</v>
      </c>
      <c r="N5" s="346" t="s">
        <v>20</v>
      </c>
      <c r="O5" s="346" t="s">
        <v>21</v>
      </c>
      <c r="P5" s="346" t="s">
        <v>21</v>
      </c>
      <c r="Q5" s="346" t="s">
        <v>70</v>
      </c>
      <c r="R5" s="353" t="str">
        <f ca="1">_xll.qlSchedule(,K5,L5,M5,N5,O5,P5,Q5)</f>
        <v>obj_005c4#0001</v>
      </c>
      <c r="S5" s="346" t="s">
        <v>26</v>
      </c>
      <c r="T5" s="346" t="s">
        <v>20</v>
      </c>
      <c r="U5" s="346" t="s">
        <v>21</v>
      </c>
      <c r="V5" s="346" t="s">
        <v>21</v>
      </c>
      <c r="W5" s="346" t="s">
        <v>70</v>
      </c>
      <c r="X5" s="353" t="str">
        <f ca="1">_xll.qlSchedule(,K5,L5,S5,T5,U5,V5,W5)</f>
        <v>obj_005c3#0001</v>
      </c>
      <c r="Y5" s="349" t="s">
        <v>1742</v>
      </c>
      <c r="Z5" s="354" t="s">
        <v>1740</v>
      </c>
      <c r="AA5" s="354" t="s">
        <v>1745</v>
      </c>
      <c r="AB5" s="353" t="str">
        <f ca="1">_xll.qlVanillaSwap(,,,R5,,Y5,X5,Z5,,AA5)</f>
        <v>obj_0061e#0001</v>
      </c>
      <c r="AC5" s="353" t="b">
        <f ca="1">_xll.qlInstrumentSetPricingEngine(AB5,_xll.qlDiscountingSwapEngine(,Curve!$S$16))</f>
        <v>1</v>
      </c>
      <c r="AD5" s="355">
        <f ca="1">_xll.qlVanillaSwapFairRate(AB5,AC5)</f>
        <v>-3.7507452013181022E-4</v>
      </c>
      <c r="AE5" s="346" t="s">
        <v>1752</v>
      </c>
      <c r="AF5" s="347">
        <v>10000</v>
      </c>
      <c r="AG5" s="350" t="str">
        <f ca="1">_xll.qlVanillaSwap(,AE5,AF5,R5,AD5,Y5,X5,Z5,,AA5)</f>
        <v>obj_00638#0000</v>
      </c>
      <c r="AH5" s="347" t="str">
        <f ca="1">_xll.qlEuropeanExercise(,J5)</f>
        <v>obj_0046f#0001</v>
      </c>
      <c r="AI5" s="346" t="s">
        <v>1749</v>
      </c>
      <c r="AJ5" s="356" t="str">
        <f ca="1">_xll.qlSwaption(,AG5,AH5,AI5)</f>
        <v>obj_00679#0001</v>
      </c>
      <c r="AK5" s="357" t="str">
        <f ca="1">_xll.qlConstantSwaptionVolatility(,,H5,I5,F5)</f>
        <v>obj_0026d#0001</v>
      </c>
      <c r="AL5" s="357" t="b">
        <f ca="1">_xll.qlInstrumentSetPricingEngine(AJ5,_xll.qlBachelierBlackSwaptionEngine(,Curve!$S$16,AK5))</f>
        <v>1</v>
      </c>
      <c r="AM5" s="358">
        <f ca="1">_xll.qlInstrumentNPV(AJ5,AL5)*2/_xll.qlYieldTSDiscount(Curve!$S$16,K5)</f>
        <v>5.2053716553615503</v>
      </c>
      <c r="AN5" s="358">
        <f ca="1">_xll.qlInstrumentResults(AJ5,"annuity",AL5)</f>
        <v>10004.419349254375</v>
      </c>
      <c r="AO5" s="359">
        <f ca="1">G5/2*_xll.qlYieldTSDiscount(Curve!$S$16,K5)/AN5</f>
        <v>2.4994924092082806E-4</v>
      </c>
      <c r="AP5" s="360">
        <f ca="1">_xll.qlBachelierBlackFormulaImpliedVol("Call",AD5,AD5,_xll.qlDayCounterYearFraction("Act/365 (Fixed)",C5,J5),AO5)</f>
        <v>1.5080575451159525E-3</v>
      </c>
      <c r="AQ5" s="361" t="e">
        <f ca="1">_xll.qlBlackFormulaImpliedStdDev("Call",AD5,AD5,AO5)/SQRT(_xll.qlDayCounterYearFraction("Act/365 (Fixed)",C5,J5))</f>
        <v>#NUM!</v>
      </c>
      <c r="AS5" s="363">
        <v>1.5060338909803986E-3</v>
      </c>
      <c r="AT5" s="363">
        <v>1.5080575451159525E-3</v>
      </c>
      <c r="AU5" s="365">
        <f t="shared" ref="AU5:AU68" ca="1" si="2">F5-AS5</f>
        <v>6.3966109019601442E-5</v>
      </c>
      <c r="AV5" s="365">
        <f t="shared" ref="AV5:AV68" ca="1" si="3">F5-AT5</f>
        <v>6.1942454884047473E-5</v>
      </c>
    </row>
    <row r="6" spans="2:48">
      <c r="B6" s="348" t="str">
        <f t="shared" ca="1" si="1"/>
        <v>3Mx1Y</v>
      </c>
      <c r="C6" s="345">
        <f t="shared" ca="1" si="0"/>
        <v>42254</v>
      </c>
      <c r="D6" s="346" t="s">
        <v>26</v>
      </c>
      <c r="E6" s="346" t="s">
        <v>7</v>
      </c>
      <c r="F6" s="351">
        <f ca="1">VLOOKUP(F$3&amp;$D6&amp;$E6,'Swaption Volatilities'!$V:$W,2,FALSE)%%</f>
        <v>1.4599999999999999E-3</v>
      </c>
      <c r="G6" s="352">
        <f ca="1">VLOOKUP(G$3&amp;$D6&amp;$E6,'Swaption Volatilities'!$V:$W,2,FALSE)</f>
        <v>6</v>
      </c>
      <c r="H6" s="346" t="s">
        <v>20</v>
      </c>
      <c r="I6" s="346" t="s">
        <v>21</v>
      </c>
      <c r="J6" s="345">
        <f ca="1">_xll.qlCalendarAdvance(H6,C6,D6,I6)</f>
        <v>42345</v>
      </c>
      <c r="K6" s="345">
        <f ca="1">_xll.qlCalendarAdvance(H6,J6,"2d")</f>
        <v>42347</v>
      </c>
      <c r="L6" s="345">
        <f ca="1">_xll.qlCalendarAdvance(H6,K6,E6,"unadjusted")</f>
        <v>42713</v>
      </c>
      <c r="M6" s="346" t="s">
        <v>7</v>
      </c>
      <c r="N6" s="346" t="s">
        <v>20</v>
      </c>
      <c r="O6" s="346" t="s">
        <v>21</v>
      </c>
      <c r="P6" s="346" t="s">
        <v>21</v>
      </c>
      <c r="Q6" s="346" t="s">
        <v>70</v>
      </c>
      <c r="R6" s="353" t="str">
        <f ca="1">_xll.qlSchedule(,K6,L6,M6,N6,O6,P6,Q6)</f>
        <v>obj_00480#0001</v>
      </c>
      <c r="S6" s="346" t="s">
        <v>26</v>
      </c>
      <c r="T6" s="346" t="s">
        <v>20</v>
      </c>
      <c r="U6" s="346" t="s">
        <v>21</v>
      </c>
      <c r="V6" s="346" t="s">
        <v>21</v>
      </c>
      <c r="W6" s="346" t="s">
        <v>70</v>
      </c>
      <c r="X6" s="353" t="str">
        <f ca="1">_xll.qlSchedule(,K6,L6,S6,T6,U6,V6,W6)</f>
        <v>obj_0047f#0001</v>
      </c>
      <c r="Y6" s="349" t="s">
        <v>1742</v>
      </c>
      <c r="Z6" s="354" t="s">
        <v>1740</v>
      </c>
      <c r="AA6" s="354" t="s">
        <v>1745</v>
      </c>
      <c r="AB6" s="353" t="str">
        <f ca="1">_xll.qlVanillaSwap(,,,R6,,Y6,X6,Z6,,AA6)</f>
        <v>obj_00542#0001</v>
      </c>
      <c r="AC6" s="353" t="b">
        <f ca="1">_xll.qlInstrumentSetPricingEngine(AB6,_xll.qlDiscountingSwapEngine(,Curve!$S$16))</f>
        <v>1</v>
      </c>
      <c r="AD6" s="355">
        <f ca="1">_xll.qlVanillaSwapFairRate(AB6,AC6)</f>
        <v>-3.6578099411318154E-4</v>
      </c>
      <c r="AE6" s="346" t="s">
        <v>1752</v>
      </c>
      <c r="AF6" s="347">
        <v>10000</v>
      </c>
      <c r="AG6" s="350" t="str">
        <f ca="1">_xll.qlVanillaSwap(,AE6,AF6,R6,AD6,Y6,X6,Z6,,AA6)</f>
        <v>obj_005d4#0000</v>
      </c>
      <c r="AH6" s="347" t="str">
        <f ca="1">_xll.qlEuropeanExercise(,J6)</f>
        <v>obj_00110#0000</v>
      </c>
      <c r="AI6" s="346" t="s">
        <v>1749</v>
      </c>
      <c r="AJ6" s="356" t="str">
        <f ca="1">_xll.qlSwaption(,AG6,AH6,AI6)</f>
        <v>obj_006e8#0001</v>
      </c>
      <c r="AK6" s="357" t="str">
        <f ca="1">_xll.qlConstantSwaptionVolatility(,,H6,I6,F6)</f>
        <v>obj_0009d#0001</v>
      </c>
      <c r="AL6" s="357" t="b">
        <f ca="1">_xll.qlInstrumentSetPricingEngine(AJ6,_xll.qlBachelierBlackSwaptionEngine(,Curve!$S$16,AK6))</f>
        <v>1</v>
      </c>
      <c r="AM6" s="358">
        <f ca="1">_xll.qlInstrumentNPV(AJ6,AL6)*2/_xll.qlYieldTSDiscount(Curve!$S$16,K6)</f>
        <v>5.8172315198367262</v>
      </c>
      <c r="AN6" s="358">
        <f ca="1">_xll.qlInstrumentResults(AJ6,"annuity",AL6)</f>
        <v>10004.594478876161</v>
      </c>
      <c r="AO6" s="359">
        <f ca="1">G6/2*_xll.qlYieldTSDiscount(Curve!$S$16,K6)/AN6</f>
        <v>2.9996603827560944E-4</v>
      </c>
      <c r="AP6" s="360">
        <f ca="1">_xll.qlBachelierBlackFormulaImpliedVol("Call",AD6,AD6,_xll.qlDayCounterYearFraction("Act/365 (Fixed)",C6,J6),AO6)</f>
        <v>1.5058709577105527E-3</v>
      </c>
      <c r="AQ6" s="361" t="e">
        <f ca="1">_xll.qlBlackFormulaImpliedStdDev("Call",AD6,AD6,AO6)/SQRT(_xll.qlDayCounterYearFraction("Act/365 (Fixed)",C6,J6))</f>
        <v>#NUM!</v>
      </c>
      <c r="AS6" s="363">
        <v>1.5037030330616824E-3</v>
      </c>
      <c r="AT6" s="363">
        <v>1.5058709577105527E-3</v>
      </c>
      <c r="AU6" s="365">
        <f t="shared" ca="1" si="2"/>
        <v>-4.3703033061682486E-5</v>
      </c>
      <c r="AV6" s="365">
        <f t="shared" ca="1" si="3"/>
        <v>-4.5870957710552728E-5</v>
      </c>
    </row>
    <row r="7" spans="2:48">
      <c r="B7" s="348" t="str">
        <f t="shared" ca="1" si="1"/>
        <v>6Mx1Y</v>
      </c>
      <c r="C7" s="345">
        <f t="shared" ca="1" si="0"/>
        <v>42254</v>
      </c>
      <c r="D7" s="346" t="s">
        <v>19</v>
      </c>
      <c r="E7" s="346" t="s">
        <v>7</v>
      </c>
      <c r="F7" s="351">
        <f ca="1">VLOOKUP(F$3&amp;$D7&amp;$E7,'Swaption Volatilities'!$V:$W,2,FALSE)%%</f>
        <v>1.6899999999999999E-3</v>
      </c>
      <c r="G7" s="352">
        <f ca="1">VLOOKUP(G$3&amp;$D7&amp;$E7,'Swaption Volatilities'!$V:$W,2,FALSE)</f>
        <v>9.5</v>
      </c>
      <c r="H7" s="346" t="s">
        <v>20</v>
      </c>
      <c r="I7" s="346" t="s">
        <v>21</v>
      </c>
      <c r="J7" s="345">
        <f ca="1">_xll.qlCalendarAdvance(H7,C7,D7,I7)</f>
        <v>42436</v>
      </c>
      <c r="K7" s="345">
        <f ca="1">_xll.qlCalendarAdvance(H7,J7,"2d")</f>
        <v>42438</v>
      </c>
      <c r="L7" s="345">
        <f ca="1">_xll.qlCalendarAdvance(H7,K7,E7,"unadjusted")</f>
        <v>42803</v>
      </c>
      <c r="M7" s="346" t="s">
        <v>7</v>
      </c>
      <c r="N7" s="346" t="s">
        <v>20</v>
      </c>
      <c r="O7" s="346" t="s">
        <v>21</v>
      </c>
      <c r="P7" s="346" t="s">
        <v>21</v>
      </c>
      <c r="Q7" s="346" t="s">
        <v>70</v>
      </c>
      <c r="R7" s="353" t="str">
        <f ca="1">_xll.qlSchedule(,K7,L7,M7,N7,O7,P7,Q7)</f>
        <v>obj_0041e#0000</v>
      </c>
      <c r="S7" s="346" t="s">
        <v>26</v>
      </c>
      <c r="T7" s="346" t="s">
        <v>20</v>
      </c>
      <c r="U7" s="346" t="s">
        <v>21</v>
      </c>
      <c r="V7" s="346" t="s">
        <v>21</v>
      </c>
      <c r="W7" s="346" t="s">
        <v>70</v>
      </c>
      <c r="X7" s="353" t="str">
        <f ca="1">_xll.qlSchedule(,K7,L7,S7,T7,U7,V7,W7)</f>
        <v>obj_00449#0001</v>
      </c>
      <c r="Y7" s="349" t="s">
        <v>1742</v>
      </c>
      <c r="Z7" s="354" t="s">
        <v>1740</v>
      </c>
      <c r="AA7" s="354" t="s">
        <v>1745</v>
      </c>
      <c r="AB7" s="353" t="str">
        <f ca="1">_xll.qlVanillaSwap(,,,R7,,Y7,X7,Z7,,AA7)</f>
        <v>obj_0050d#0001</v>
      </c>
      <c r="AC7" s="353" t="b">
        <f ca="1">_xll.qlInstrumentSetPricingEngine(AB7,_xll.qlDiscountingSwapEngine(,Curve!$S$16))</f>
        <v>1</v>
      </c>
      <c r="AD7" s="355">
        <f ca="1">_xll.qlVanillaSwapFairRate(AB7,AC7)</f>
        <v>-2.844504241163635E-4</v>
      </c>
      <c r="AE7" s="346" t="s">
        <v>1752</v>
      </c>
      <c r="AF7" s="347">
        <v>10000</v>
      </c>
      <c r="AG7" s="350" t="str">
        <f ca="1">_xll.qlVanillaSwap(,AE7,AF7,R7,AD7,Y7,X7,Z7,,AA7)</f>
        <v>obj_005ae#0000</v>
      </c>
      <c r="AH7" s="347" t="str">
        <f ca="1">_xll.qlEuropeanExercise(,J7)</f>
        <v>obj_0019c#0001</v>
      </c>
      <c r="AI7" s="346" t="s">
        <v>1749</v>
      </c>
      <c r="AJ7" s="356" t="str">
        <f ca="1">_xll.qlSwaption(,AG7,AH7,AI7)</f>
        <v>obj_00654#0001</v>
      </c>
      <c r="AK7" s="357" t="str">
        <f ca="1">_xll.qlConstantSwaptionVolatility(,,H7,I7,F7)</f>
        <v>obj_000b1#0001</v>
      </c>
      <c r="AL7" s="357" t="b">
        <f ca="1">_xll.qlInstrumentSetPricingEngine(AJ7,_xll.qlBachelierBlackSwaptionEngine(,Curve!$S$16,AK7))</f>
        <v>1</v>
      </c>
      <c r="AM7" s="358">
        <f ca="1">_xll.qlInstrumentNPV(AJ7,AL7)*2/_xll.qlYieldTSDiscount(Curve!$S$16,K7)</f>
        <v>9.5190006911961582</v>
      </c>
      <c r="AN7" s="358">
        <f ca="1">_xll.qlInstrumentResults(AJ7,"annuity",AL7)</f>
        <v>10004.284085774036</v>
      </c>
      <c r="AO7" s="359">
        <f ca="1">G7/2*_xll.qlYieldTSDiscount(Curve!$S$16,K7)/AN7</f>
        <v>4.7513637409426216E-4</v>
      </c>
      <c r="AP7" s="360">
        <f ca="1">_xll.qlBachelierBlackFormulaImpliedVol("Call",AD7,AD7,_xll.qlDayCounterYearFraction("Act/365 (Fixed)",C7,J7),AO7)</f>
        <v>1.6866266240372688E-3</v>
      </c>
      <c r="AQ7" s="361" t="e">
        <f ca="1">_xll.qlBlackFormulaImpliedStdDev("Call",AD7,AD7,AO7)/SQRT(_xll.qlDayCounterYearFraction("Act/365 (Fixed)",C7,J7))</f>
        <v>#NUM!</v>
      </c>
      <c r="AS7" s="363">
        <v>1.6835698922669702E-3</v>
      </c>
      <c r="AT7" s="363">
        <v>1.6866266240372688E-3</v>
      </c>
      <c r="AU7" s="365">
        <f t="shared" ca="1" si="2"/>
        <v>6.4301077330297229E-6</v>
      </c>
      <c r="AV7" s="365">
        <f t="shared" ca="1" si="3"/>
        <v>3.3733759627310907E-6</v>
      </c>
    </row>
    <row r="8" spans="2:48">
      <c r="B8" s="348" t="str">
        <f t="shared" ca="1" si="1"/>
        <v>9Mx1Y</v>
      </c>
      <c r="C8" s="345">
        <f t="shared" ca="1" si="0"/>
        <v>42254</v>
      </c>
      <c r="D8" s="346" t="s">
        <v>412</v>
      </c>
      <c r="E8" s="346" t="s">
        <v>7</v>
      </c>
      <c r="F8" s="351">
        <f ca="1">VLOOKUP(F$3&amp;$D8&amp;$E8,'Swaption Volatilities'!$V:$W,2,FALSE)%%</f>
        <v>2.0899999999999998E-3</v>
      </c>
      <c r="G8" s="352">
        <f ca="1">VLOOKUP(G$3&amp;$D8&amp;$E8,'Swaption Volatilities'!$V:$W,2,FALSE)</f>
        <v>14.5</v>
      </c>
      <c r="H8" s="346" t="s">
        <v>20</v>
      </c>
      <c r="I8" s="346" t="s">
        <v>21</v>
      </c>
      <c r="J8" s="345">
        <f ca="1">_xll.qlCalendarAdvance(H8,C8,D8,I8)</f>
        <v>42528</v>
      </c>
      <c r="K8" s="345">
        <f ca="1">_xll.qlCalendarAdvance(H8,J8,"2d")</f>
        <v>42530</v>
      </c>
      <c r="L8" s="345">
        <f ca="1">_xll.qlCalendarAdvance(H8,K8,E8,"unadjusted")</f>
        <v>42895</v>
      </c>
      <c r="M8" s="346" t="s">
        <v>7</v>
      </c>
      <c r="N8" s="346" t="s">
        <v>20</v>
      </c>
      <c r="O8" s="346" t="s">
        <v>21</v>
      </c>
      <c r="P8" s="346" t="s">
        <v>21</v>
      </c>
      <c r="Q8" s="346" t="s">
        <v>70</v>
      </c>
      <c r="R8" s="353" t="str">
        <f ca="1">_xll.qlSchedule(,K8,L8,M8,N8,O8,P8,Q8)</f>
        <v>obj_0055f#0000</v>
      </c>
      <c r="S8" s="346" t="s">
        <v>26</v>
      </c>
      <c r="T8" s="346" t="s">
        <v>20</v>
      </c>
      <c r="U8" s="346" t="s">
        <v>21</v>
      </c>
      <c r="V8" s="346" t="s">
        <v>21</v>
      </c>
      <c r="W8" s="346" t="s">
        <v>70</v>
      </c>
      <c r="X8" s="353" t="str">
        <f ca="1">_xll.qlSchedule(,K8,L8,S8,T8,U8,V8,W8)</f>
        <v>obj_00560#0001</v>
      </c>
      <c r="Y8" s="349" t="s">
        <v>1742</v>
      </c>
      <c r="Z8" s="354" t="s">
        <v>1740</v>
      </c>
      <c r="AA8" s="354" t="s">
        <v>1745</v>
      </c>
      <c r="AB8" s="353" t="str">
        <f ca="1">_xll.qlVanillaSwap(,,,R8,,Y8,X8,Z8,,AA8)</f>
        <v>obj_005e5#0001</v>
      </c>
      <c r="AC8" s="353" t="b">
        <f ca="1">_xll.qlInstrumentSetPricingEngine(AB8,_xll.qlDiscountingSwapEngine(,Curve!$S$16))</f>
        <v>1</v>
      </c>
      <c r="AD8" s="355">
        <f ca="1">_xll.qlVanillaSwapFairRate(AB8,AC8)</f>
        <v>-1.1604188736221428E-4</v>
      </c>
      <c r="AE8" s="346" t="s">
        <v>1752</v>
      </c>
      <c r="AF8" s="347">
        <v>10000</v>
      </c>
      <c r="AG8" s="350" t="str">
        <f ca="1">_xll.qlVanillaSwap(,AE8,AF8,R8,AD8,Y8,X8,Z8,,AA8)</f>
        <v>obj_00627#0000</v>
      </c>
      <c r="AH8" s="347" t="str">
        <f ca="1">_xll.qlEuropeanExercise(,J8)</f>
        <v>obj_0049c#0001</v>
      </c>
      <c r="AI8" s="346" t="s">
        <v>1749</v>
      </c>
      <c r="AJ8" s="356" t="str">
        <f ca="1">_xll.qlSwaption(,AG8,AH8,AI8)</f>
        <v>obj_006b4#0001</v>
      </c>
      <c r="AK8" s="357" t="str">
        <f ca="1">_xll.qlConstantSwaptionVolatility(,,H8,I8,F8)</f>
        <v>obj_000cf#0001</v>
      </c>
      <c r="AL8" s="357" t="b">
        <f ca="1">_xll.qlInstrumentSetPricingEngine(AJ8,_xll.qlBachelierBlackSwaptionEngine(,Curve!$S$16,AK8))</f>
        <v>1</v>
      </c>
      <c r="AM8" s="358">
        <f ca="1">_xll.qlInstrumentNPV(AJ8,AL8)*2/_xll.qlYieldTSDiscount(Curve!$S$16,K8)</f>
        <v>14.435137541096616</v>
      </c>
      <c r="AN8" s="358">
        <f ca="1">_xll.qlInstrumentResults(AJ8,"annuity",AL8)</f>
        <v>10002.037505551851</v>
      </c>
      <c r="AO8" s="359">
        <f ca="1">G8/2*_xll.qlYieldTSDiscount(Curve!$S$16,K8)/AN8</f>
        <v>7.256584838354048E-4</v>
      </c>
      <c r="AP8" s="360">
        <f ca="1">_xll.qlBachelierBlackFormulaImpliedVol("Call",AD8,AD8,_xll.qlDayCounterYearFraction("Act/365 (Fixed)",C8,J8),AO8)</f>
        <v>2.0993911498053178E-3</v>
      </c>
      <c r="AQ8" s="361" t="e">
        <f ca="1">_xll.qlBlackFormulaImpliedStdDev("Call",AD8,AD8,AO8)/SQRT(_xll.qlDayCounterYearFraction("Act/365 (Fixed)",C8,J8))</f>
        <v>#NUM!</v>
      </c>
      <c r="AS8" s="363">
        <v>2.0944769196400911E-3</v>
      </c>
      <c r="AT8" s="363">
        <v>2.0993911498053178E-3</v>
      </c>
      <c r="AU8" s="365">
        <f t="shared" ca="1" si="2"/>
        <v>-4.4769196400912953E-6</v>
      </c>
      <c r="AV8" s="365">
        <f t="shared" ca="1" si="3"/>
        <v>-9.3911498053179769E-6</v>
      </c>
    </row>
    <row r="9" spans="2:48">
      <c r="B9" s="348" t="str">
        <f t="shared" ca="1" si="1"/>
        <v>1Yx1Y</v>
      </c>
      <c r="C9" s="345">
        <f t="shared" ca="1" si="0"/>
        <v>42254</v>
      </c>
      <c r="D9" s="346" t="s">
        <v>7</v>
      </c>
      <c r="E9" s="346" t="s">
        <v>7</v>
      </c>
      <c r="F9" s="351">
        <f ca="1">VLOOKUP(F$3&amp;$D9&amp;$E9,'Swaption Volatilities'!$V:$W,2,FALSE)%%</f>
        <v>2.5200000000000001E-3</v>
      </c>
      <c r="G9" s="352">
        <f ca="1">VLOOKUP(G$3&amp;$D9&amp;$E9,'Swaption Volatilities'!$V:$W,2,FALSE)</f>
        <v>20</v>
      </c>
      <c r="H9" s="346" t="s">
        <v>20</v>
      </c>
      <c r="I9" s="346" t="s">
        <v>21</v>
      </c>
      <c r="J9" s="345">
        <f ca="1">_xll.qlCalendarAdvance(H9,C9,D9,I9)</f>
        <v>42620</v>
      </c>
      <c r="K9" s="345">
        <f ca="1">_xll.qlCalendarAdvance(H9,J9,"2d")</f>
        <v>42622</v>
      </c>
      <c r="L9" s="345">
        <f ca="1">_xll.qlCalendarAdvance(H9,K9,E9,"unadjusted")</f>
        <v>42987</v>
      </c>
      <c r="M9" s="346" t="s">
        <v>7</v>
      </c>
      <c r="N9" s="346" t="s">
        <v>20</v>
      </c>
      <c r="O9" s="346" t="s">
        <v>21</v>
      </c>
      <c r="P9" s="346" t="s">
        <v>21</v>
      </c>
      <c r="Q9" s="346" t="s">
        <v>70</v>
      </c>
      <c r="R9" s="353" t="str">
        <f ca="1">_xll.qlSchedule(,K9,L9,M9,N9,O9,P9,Q9)</f>
        <v>obj_00131#0000</v>
      </c>
      <c r="S9" s="346" t="s">
        <v>26</v>
      </c>
      <c r="T9" s="346" t="s">
        <v>20</v>
      </c>
      <c r="U9" s="346" t="s">
        <v>21</v>
      </c>
      <c r="V9" s="346" t="s">
        <v>21</v>
      </c>
      <c r="W9" s="346" t="s">
        <v>70</v>
      </c>
      <c r="X9" s="353" t="str">
        <f ca="1">_xll.qlSchedule(,K9,L9,S9,T9,U9,V9,W9)</f>
        <v>obj_001b0#0001</v>
      </c>
      <c r="Y9" s="349" t="s">
        <v>1742</v>
      </c>
      <c r="Z9" s="354" t="s">
        <v>1740</v>
      </c>
      <c r="AA9" s="354" t="s">
        <v>1745</v>
      </c>
      <c r="AB9" s="353" t="str">
        <f ca="1">_xll.qlVanillaSwap(,,,R9,,Y9,X9,Z9,,AA9)</f>
        <v>obj_001fa#0001</v>
      </c>
      <c r="AC9" s="353" t="b">
        <f ca="1">_xll.qlInstrumentSetPricingEngine(AB9,_xll.qlDiscountingSwapEngine(,Curve!$S$16))</f>
        <v>1</v>
      </c>
      <c r="AD9" s="355">
        <f ca="1">_xll.qlVanillaSwapFairRate(AB9,AC9)</f>
        <v>1.9894624304466911E-4</v>
      </c>
      <c r="AE9" s="346" t="s">
        <v>1752</v>
      </c>
      <c r="AF9" s="347">
        <v>10000</v>
      </c>
      <c r="AG9" s="350" t="str">
        <f ca="1">_xll.qlVanillaSwap(,AE9,AF9,R9,AD9,Y9,X9,Z9,,AA9)</f>
        <v>obj_0030e#0001</v>
      </c>
      <c r="AH9" s="347" t="str">
        <f ca="1">_xll.qlEuropeanExercise(,J9)</f>
        <v>obj_003cf#0001</v>
      </c>
      <c r="AI9" s="346" t="s">
        <v>1749</v>
      </c>
      <c r="AJ9" s="356" t="str">
        <f ca="1">_xll.qlSwaption(,AG9,AH9,AI9)</f>
        <v>obj_00671#0001</v>
      </c>
      <c r="AK9" s="357" t="str">
        <f ca="1">_xll.qlConstantSwaptionVolatility(,,H9,I9,F9)</f>
        <v>obj_00112#0001</v>
      </c>
      <c r="AL9" s="357" t="b">
        <f ca="1">_xll.qlInstrumentSetPricingEngine(AJ9,_xll.qlBachelierBlackSwaptionEngine(,Curve!$S$16,AK9))</f>
        <v>1</v>
      </c>
      <c r="AM9" s="358">
        <f ca="1">_xll.qlInstrumentNPV(AJ9,AL9)*2/_xll.qlYieldTSDiscount(Curve!$S$16,K9)</f>
        <v>20.207374226805843</v>
      </c>
      <c r="AN9" s="358">
        <f ca="1">_xll.qlInstrumentResults(AJ9,"annuity",AL9)</f>
        <v>10051.533502356453</v>
      </c>
      <c r="AO9" s="359">
        <f ca="1">G9/2*_xll.qlYieldTSDiscount(Curve!$S$16,K9)/AN9</f>
        <v>9.9637960275942086E-4</v>
      </c>
      <c r="AP9" s="360">
        <f ca="1">_xll.qlBachelierBlackFormulaImpliedVol("Call",AD9,AD9,_xll.qlDayCounterYearFraction("Act/365 (Fixed)",C9,J9),AO9)</f>
        <v>2.4941389927416536E-3</v>
      </c>
      <c r="AQ9" s="361" t="e">
        <f ca="1">_xll.qlBlackFormulaImpliedStdDev("Call",AD9,AD9,AO9)/SQRT(_xll.qlDayCounterYearFraction("Act/365 (Fixed)",C9,J9))</f>
        <v>#NUM!</v>
      </c>
      <c r="AS9" s="363">
        <v>2.4862236775357971E-3</v>
      </c>
      <c r="AT9" s="363">
        <v>2.4941389927416536E-3</v>
      </c>
      <c r="AU9" s="365">
        <f t="shared" ca="1" si="2"/>
        <v>3.3776322464203028E-5</v>
      </c>
      <c r="AV9" s="365">
        <f t="shared" ca="1" si="3"/>
        <v>2.5861007258346554E-5</v>
      </c>
    </row>
    <row r="10" spans="2:48">
      <c r="B10" s="348" t="str">
        <f t="shared" ca="1" si="1"/>
        <v>18Mx1Y</v>
      </c>
      <c r="C10" s="345">
        <f t="shared" ca="1" si="0"/>
        <v>42254</v>
      </c>
      <c r="D10" s="346" t="s">
        <v>154</v>
      </c>
      <c r="E10" s="346" t="s">
        <v>7</v>
      </c>
      <c r="F10" s="351">
        <f ca="1">VLOOKUP(F$3&amp;$D10&amp;$E10,'Swaption Volatilities'!$V:$W,2,FALSE)%%</f>
        <v>3.2299999999999994E-3</v>
      </c>
      <c r="G10" s="352">
        <f ca="1">VLOOKUP(G$3&amp;$D10&amp;$E10,'Swaption Volatilities'!$V:$W,2,FALSE)</f>
        <v>31.5</v>
      </c>
      <c r="H10" s="346" t="s">
        <v>20</v>
      </c>
      <c r="I10" s="346" t="s">
        <v>21</v>
      </c>
      <c r="J10" s="345">
        <f ca="1">_xll.qlCalendarAdvance(H10,C10,D10,I10)</f>
        <v>42801</v>
      </c>
      <c r="K10" s="345">
        <f ca="1">_xll.qlCalendarAdvance(H10,J10,"2d")</f>
        <v>42803</v>
      </c>
      <c r="L10" s="345">
        <f ca="1">_xll.qlCalendarAdvance(H10,K10,E10,"unadjusted")</f>
        <v>43168</v>
      </c>
      <c r="M10" s="346" t="s">
        <v>7</v>
      </c>
      <c r="N10" s="346" t="s">
        <v>20</v>
      </c>
      <c r="O10" s="346" t="s">
        <v>21</v>
      </c>
      <c r="P10" s="346" t="s">
        <v>21</v>
      </c>
      <c r="Q10" s="346" t="s">
        <v>70</v>
      </c>
      <c r="R10" s="353" t="str">
        <f ca="1">_xll.qlSchedule(,K10,L10,M10,N10,O10,P10,Q10)</f>
        <v>obj_00448#0001</v>
      </c>
      <c r="S10" s="346" t="s">
        <v>26</v>
      </c>
      <c r="T10" s="346" t="s">
        <v>20</v>
      </c>
      <c r="U10" s="346" t="s">
        <v>21</v>
      </c>
      <c r="V10" s="346" t="s">
        <v>21</v>
      </c>
      <c r="W10" s="346" t="s">
        <v>70</v>
      </c>
      <c r="X10" s="353" t="str">
        <f ca="1">_xll.qlSchedule(,K10,L10,S10,T10,U10,V10,W10)</f>
        <v>obj_0041d#0001</v>
      </c>
      <c r="Y10" s="349" t="s">
        <v>1742</v>
      </c>
      <c r="Z10" s="354" t="s">
        <v>1740</v>
      </c>
      <c r="AA10" s="354" t="s">
        <v>1745</v>
      </c>
      <c r="AB10" s="353" t="str">
        <f ca="1">_xll.qlVanillaSwap(,,,R10,,Y10,X10,Z10,,AA10)</f>
        <v>obj_0051f#0001</v>
      </c>
      <c r="AC10" s="353" t="b">
        <f ca="1">_xll.qlInstrumentSetPricingEngine(AB10,_xll.qlDiscountingSwapEngine(,Curve!$S$16))</f>
        <v>1</v>
      </c>
      <c r="AD10" s="355">
        <f ca="1">_xll.qlVanillaSwapFairRate(AB10,AC10)</f>
        <v>9.299153991917734E-4</v>
      </c>
      <c r="AE10" s="346" t="s">
        <v>1752</v>
      </c>
      <c r="AF10" s="347">
        <v>10000</v>
      </c>
      <c r="AG10" s="350" t="str">
        <f ca="1">_xll.qlVanillaSwap(,AE10,AF10,R10,AD10,Y10,X10,Z10,,AA10)</f>
        <v>obj_005bb#0000</v>
      </c>
      <c r="AH10" s="347" t="str">
        <f ca="1">_xll.qlEuropeanExercise(,J10)</f>
        <v>obj_0026c#0000</v>
      </c>
      <c r="AI10" s="346" t="s">
        <v>1749</v>
      </c>
      <c r="AJ10" s="356" t="str">
        <f ca="1">_xll.qlSwaption(,AG10,AH10,AI10)</f>
        <v>obj_0068c#0001</v>
      </c>
      <c r="AK10" s="357" t="str">
        <f ca="1">_xll.qlConstantSwaptionVolatility(,,H10,I10,F10)</f>
        <v>obj_0037b#0001</v>
      </c>
      <c r="AL10" s="357" t="b">
        <f ca="1">_xll.qlInstrumentSetPricingEngine(AJ10,_xll.qlBachelierBlackSwaptionEngine(,Curve!$S$16,AK10))</f>
        <v>1</v>
      </c>
      <c r="AM10" s="358">
        <f ca="1">_xll.qlInstrumentNPV(AJ10,AL10)*2/_xll.qlYieldTSDiscount(Curve!$S$16,K10)</f>
        <v>31.405418266210265</v>
      </c>
      <c r="AN10" s="358">
        <f ca="1">_xll.qlInstrumentResults(AJ10,"annuity",AL10)</f>
        <v>9976.7383768313903</v>
      </c>
      <c r="AO10" s="359">
        <f ca="1">G10/2*_xll.qlYieldTSDiscount(Curve!$S$16,K10)/AN10</f>
        <v>1.5822160695365E-3</v>
      </c>
      <c r="AP10" s="360">
        <f ca="1">_xll.qlBachelierBlackFormulaImpliedVol("Call",AD10,AD10,_xll.qlDayCounterYearFraction("Act/365 (Fixed)",C10,J10),AO10)</f>
        <v>3.2397275889641812E-3</v>
      </c>
      <c r="AQ10" s="361" t="e">
        <f ca="1">_xll.qlBlackFormulaImpliedStdDev("Call",AD10,AD10,AO10)/SQRT(_xll.qlDayCounterYearFraction("Act/365 (Fixed)",C10,J10))</f>
        <v>#NUM!</v>
      </c>
      <c r="AS10" s="363">
        <v>3.2227306107850484E-3</v>
      </c>
      <c r="AT10" s="363">
        <v>3.2397275889641812E-3</v>
      </c>
      <c r="AU10" s="365">
        <f t="shared" ca="1" si="2"/>
        <v>7.2693892149509193E-6</v>
      </c>
      <c r="AV10" s="365">
        <f t="shared" ca="1" si="3"/>
        <v>-9.7275889641818512E-6</v>
      </c>
    </row>
    <row r="11" spans="2:48">
      <c r="B11" s="348" t="str">
        <f t="shared" ca="1" si="1"/>
        <v>2Yx1Y</v>
      </c>
      <c r="C11" s="345">
        <f t="shared" ca="1" si="0"/>
        <v>42254</v>
      </c>
      <c r="D11" s="346" t="s">
        <v>8</v>
      </c>
      <c r="E11" s="346" t="s">
        <v>7</v>
      </c>
      <c r="F11" s="351">
        <f ca="1">VLOOKUP(F$3&amp;$D11&amp;$E11,'Swaption Volatilities'!$V:$W,2,FALSE)%%</f>
        <v>4.0000000000000001E-3</v>
      </c>
      <c r="G11" s="352">
        <f ca="1">VLOOKUP(G$3&amp;$D11&amp;$E11,'Swaption Volatilities'!$V:$W,2,FALSE)</f>
        <v>45</v>
      </c>
      <c r="H11" s="346" t="s">
        <v>20</v>
      </c>
      <c r="I11" s="346" t="s">
        <v>21</v>
      </c>
      <c r="J11" s="345">
        <f ca="1">_xll.qlCalendarAdvance(H11,C11,D11,I11)</f>
        <v>42985</v>
      </c>
      <c r="K11" s="345">
        <f ca="1">_xll.qlCalendarAdvance(H11,J11,"2d")</f>
        <v>42989</v>
      </c>
      <c r="L11" s="345">
        <f ca="1">_xll.qlCalendarAdvance(H11,K11,E11,"unadjusted")</f>
        <v>43354</v>
      </c>
      <c r="M11" s="346" t="s">
        <v>7</v>
      </c>
      <c r="N11" s="346" t="s">
        <v>20</v>
      </c>
      <c r="O11" s="346" t="s">
        <v>21</v>
      </c>
      <c r="P11" s="346" t="s">
        <v>21</v>
      </c>
      <c r="Q11" s="346" t="s">
        <v>70</v>
      </c>
      <c r="R11" s="353" t="str">
        <f ca="1">_xll.qlSchedule(,K11,L11,M11,N11,O11,P11,Q11)</f>
        <v>obj_002e1#0001</v>
      </c>
      <c r="S11" s="346" t="s">
        <v>26</v>
      </c>
      <c r="T11" s="346" t="s">
        <v>20</v>
      </c>
      <c r="U11" s="346" t="s">
        <v>21</v>
      </c>
      <c r="V11" s="346" t="s">
        <v>21</v>
      </c>
      <c r="W11" s="346" t="s">
        <v>70</v>
      </c>
      <c r="X11" s="353" t="str">
        <f ca="1">_xll.qlSchedule(,K11,L11,S11,T11,U11,V11,W11)</f>
        <v>obj_0027d#0000</v>
      </c>
      <c r="Y11" s="349" t="s">
        <v>1742</v>
      </c>
      <c r="Z11" s="354" t="s">
        <v>1740</v>
      </c>
      <c r="AA11" s="354" t="s">
        <v>1745</v>
      </c>
      <c r="AB11" s="353" t="str">
        <f ca="1">_xll.qlVanillaSwap(,,,R11,,Y11,X11,Z11,,AA11)</f>
        <v>obj_0044e#0001</v>
      </c>
      <c r="AC11" s="353" t="b">
        <f ca="1">_xll.qlInstrumentSetPricingEngine(AB11,_xll.qlDiscountingSwapEngine(,Curve!$S$16))</f>
        <v>1</v>
      </c>
      <c r="AD11" s="355">
        <f ca="1">_xll.qlVanillaSwapFairRate(AB11,AC11)</f>
        <v>1.7892259861722137E-3</v>
      </c>
      <c r="AE11" s="346" t="s">
        <v>1752</v>
      </c>
      <c r="AF11" s="347">
        <v>10000</v>
      </c>
      <c r="AG11" s="350" t="str">
        <f ca="1">_xll.qlVanillaSwap(,AE11,AF11,R11,AD11,Y11,X11,Z11,,AA11)</f>
        <v>obj_00523#0000</v>
      </c>
      <c r="AH11" s="347" t="str">
        <f ca="1">_xll.qlEuropeanExercise(,J11)</f>
        <v>obj_003a0#0001</v>
      </c>
      <c r="AI11" s="346" t="s">
        <v>1749</v>
      </c>
      <c r="AJ11" s="356" t="str">
        <f ca="1">_xll.qlSwaption(,AG11,AH11,AI11)</f>
        <v>obj_0065c#0001</v>
      </c>
      <c r="AK11" s="357" t="str">
        <f ca="1">_xll.qlConstantSwaptionVolatility(,,H11,I11,F11)</f>
        <v>obj_000de#0001</v>
      </c>
      <c r="AL11" s="357" t="b">
        <f ca="1">_xll.qlInstrumentSetPricingEngine(AJ11,_xll.qlBachelierBlackSwaptionEngine(,Curve!$S$16,AK11))</f>
        <v>1</v>
      </c>
      <c r="AM11" s="358">
        <f ca="1">_xll.qlInstrumentNPV(AJ11,AL11)*2/_xll.qlYieldTSDiscount(Curve!$S$16,K11)</f>
        <v>44.798957134779293</v>
      </c>
      <c r="AN11" s="358">
        <f ca="1">_xll.qlInstrumentResults(AJ11,"annuity",AL11)</f>
        <v>9946.3171680028172</v>
      </c>
      <c r="AO11" s="359">
        <f ca="1">G11/2*_xll.qlYieldTSDiscount(Curve!$S$16,K11)/AN11</f>
        <v>2.2684380475184998E-3</v>
      </c>
      <c r="AP11" s="360">
        <f ca="1">_xll.qlBachelierBlackFormulaImpliedVol("Call",AD11,AD11,_xll.qlDayCounterYearFraction("Act/365 (Fixed)",C11,J11),AO11)</f>
        <v>4.0179506736833489E-3</v>
      </c>
      <c r="AQ11" s="361" t="e">
        <f ca="1">_xll.qlBlackFormulaImpliedStdDev("Call",AD11,AD11,AO11)/SQRT(_xll.qlDayCounterYearFraction("Act/365 (Fixed)",C11,J11))</f>
        <v>#NUM!</v>
      </c>
      <c r="AS11" s="363">
        <v>3.9861400118397479E-3</v>
      </c>
      <c r="AT11" s="363">
        <v>4.0179506736833489E-3</v>
      </c>
      <c r="AU11" s="365">
        <f t="shared" ca="1" si="2"/>
        <v>1.3859988160252155E-5</v>
      </c>
      <c r="AV11" s="365">
        <f t="shared" ca="1" si="3"/>
        <v>-1.7950673683348774E-5</v>
      </c>
    </row>
    <row r="12" spans="2:48">
      <c r="B12" s="348" t="str">
        <f t="shared" ca="1" si="1"/>
        <v>3Yx1Y</v>
      </c>
      <c r="C12" s="345">
        <f t="shared" ca="1" si="0"/>
        <v>42254</v>
      </c>
      <c r="D12" s="346" t="s">
        <v>9</v>
      </c>
      <c r="E12" s="346" t="s">
        <v>7</v>
      </c>
      <c r="F12" s="351">
        <f ca="1">VLOOKUP(F$3&amp;$D12&amp;$E12,'Swaption Volatilities'!$V:$W,2,FALSE)%%</f>
        <v>5.4400000000000004E-3</v>
      </c>
      <c r="G12" s="352">
        <f ca="1">VLOOKUP(G$3&amp;$D12&amp;$E12,'Swaption Volatilities'!$V:$W,2,FALSE)</f>
        <v>75</v>
      </c>
      <c r="H12" s="346" t="s">
        <v>20</v>
      </c>
      <c r="I12" s="346" t="s">
        <v>21</v>
      </c>
      <c r="J12" s="345">
        <f ca="1">_xll.qlCalendarAdvance(H12,C12,D12,I12)</f>
        <v>43350</v>
      </c>
      <c r="K12" s="345">
        <f ca="1">_xll.qlCalendarAdvance(H12,J12,"2d")</f>
        <v>43354</v>
      </c>
      <c r="L12" s="345">
        <f ca="1">_xll.qlCalendarAdvance(H12,K12,E12,"unadjusted")</f>
        <v>43719</v>
      </c>
      <c r="M12" s="346" t="s">
        <v>7</v>
      </c>
      <c r="N12" s="346" t="s">
        <v>20</v>
      </c>
      <c r="O12" s="346" t="s">
        <v>21</v>
      </c>
      <c r="P12" s="346" t="s">
        <v>21</v>
      </c>
      <c r="Q12" s="346" t="s">
        <v>70</v>
      </c>
      <c r="R12" s="353" t="str">
        <f ca="1">_xll.qlSchedule(,K12,L12,M12,N12,O12,P12,Q12)</f>
        <v>obj_001e1#0001</v>
      </c>
      <c r="S12" s="346" t="s">
        <v>26</v>
      </c>
      <c r="T12" s="346" t="s">
        <v>20</v>
      </c>
      <c r="U12" s="346" t="s">
        <v>21</v>
      </c>
      <c r="V12" s="346" t="s">
        <v>21</v>
      </c>
      <c r="W12" s="346" t="s">
        <v>70</v>
      </c>
      <c r="X12" s="353" t="str">
        <f ca="1">_xll.qlSchedule(,K12,L12,S12,T12,U12,V12,W12)</f>
        <v>obj_001d0#0000</v>
      </c>
      <c r="Y12" s="349" t="s">
        <v>1742</v>
      </c>
      <c r="Z12" s="354" t="s">
        <v>1740</v>
      </c>
      <c r="AA12" s="354" t="s">
        <v>1745</v>
      </c>
      <c r="AB12" s="353" t="str">
        <f ca="1">_xll.qlVanillaSwap(,,,R12,,Y12,X12,Z12,,AA12)</f>
        <v>obj_001e2#0000</v>
      </c>
      <c r="AC12" s="353" t="b">
        <f ca="1">_xll.qlInstrumentSetPricingEngine(AB12,_xll.qlDiscountingSwapEngine(,Curve!$S$16))</f>
        <v>1</v>
      </c>
      <c r="AD12" s="355" t="e">
        <f ca="1">_xll.qlVanillaSwapFairRate(AB12,AC12)</f>
        <v>#NUM!</v>
      </c>
      <c r="AE12" s="346" t="s">
        <v>1752</v>
      </c>
      <c r="AF12" s="347">
        <v>10000</v>
      </c>
      <c r="AG12" s="350" t="e">
        <f ca="1">_xll.qlVanillaSwap(,AE12,AF12,R12,AD12,Y12,X12,Z12,,AA12)</f>
        <v>#NUM!</v>
      </c>
      <c r="AH12" s="347" t="str">
        <f ca="1">_xll.qlEuropeanExercise(,J12)</f>
        <v>obj_001ca#0000</v>
      </c>
      <c r="AI12" s="346" t="s">
        <v>1749</v>
      </c>
      <c r="AJ12" s="356" t="e">
        <f ca="1">_xll.qlSwaption(,AG12,AH12,AI12)</f>
        <v>#VALUE!</v>
      </c>
      <c r="AK12" s="357" t="str">
        <f ca="1">_xll.qlConstantSwaptionVolatility(,,H12,I12,F12)</f>
        <v>obj_00106#0001</v>
      </c>
      <c r="AL12" s="357" t="e">
        <f ca="1">_xll.qlInstrumentSetPricingEngine(AJ12,_xll.qlBachelierBlackSwaptionEngine(,Curve!$S$16,AK12))</f>
        <v>#VALUE!</v>
      </c>
      <c r="AM12" s="358" t="e">
        <f ca="1">_xll.qlInstrumentNPV(AJ12,AL12)*2/_xll.qlYieldTSDiscount(Curve!$S$16,K12)</f>
        <v>#VALUE!</v>
      </c>
      <c r="AN12" s="358" t="e">
        <f ca="1">_xll.qlInstrumentResults(AJ12,"annuity",AL12)</f>
        <v>#VALUE!</v>
      </c>
      <c r="AO12" s="359" t="e">
        <f ca="1">G12/2*_xll.qlYieldTSDiscount(Curve!$S$16,K12)/AN12</f>
        <v>#VALUE!</v>
      </c>
      <c r="AP12" s="360" t="e">
        <f ca="1">_xll.qlBachelierBlackFormulaImpliedVol("Call",AD12,AD12,_xll.qlDayCounterYearFraction("Act/365 (Fixed)",C12,J12),AO12)</f>
        <v>#VALUE!</v>
      </c>
      <c r="AQ12" s="361" t="e">
        <f ca="1">_xll.qlBlackFormulaImpliedStdDev("Call",AD12,AD12,AO12)/SQRT(_xll.qlDayCounterYearFraction("Act/365 (Fixed)",C12,J12))</f>
        <v>#VALUE!</v>
      </c>
      <c r="AS12" s="363">
        <v>5.4389897168848371E-3</v>
      </c>
      <c r="AT12" s="363">
        <v>5.5352608372532305E-3</v>
      </c>
      <c r="AU12" s="365">
        <f t="shared" ca="1" si="2"/>
        <v>1.010283115163331E-6</v>
      </c>
      <c r="AV12" s="365">
        <f t="shared" ca="1" si="3"/>
        <v>-9.5260837253230077E-5</v>
      </c>
    </row>
    <row r="13" spans="2:48">
      <c r="B13" s="348" t="str">
        <f t="shared" ca="1" si="1"/>
        <v>4Yx1Y</v>
      </c>
      <c r="C13" s="345">
        <f t="shared" ca="1" si="0"/>
        <v>42254</v>
      </c>
      <c r="D13" s="346" t="s">
        <v>10</v>
      </c>
      <c r="E13" s="346" t="s">
        <v>7</v>
      </c>
      <c r="F13" s="351">
        <f ca="1">VLOOKUP(F$3&amp;$D13&amp;$E13,'Swaption Volatilities'!$V:$W,2,FALSE)%%</f>
        <v>6.3699999999999998E-3</v>
      </c>
      <c r="G13" s="352">
        <f ca="1">VLOOKUP(G$3&amp;$D13&amp;$E13,'Swaption Volatilities'!$V:$W,2,FALSE)</f>
        <v>101</v>
      </c>
      <c r="H13" s="346" t="s">
        <v>20</v>
      </c>
      <c r="I13" s="346" t="s">
        <v>21</v>
      </c>
      <c r="J13" s="345">
        <f ca="1">_xll.qlCalendarAdvance(H13,C13,D13,I13)</f>
        <v>43717</v>
      </c>
      <c r="K13" s="345">
        <f ca="1">_xll.qlCalendarAdvance(H13,J13,"2d")</f>
        <v>43719</v>
      </c>
      <c r="L13" s="345">
        <f ca="1">_xll.qlCalendarAdvance(H13,K13,E13,"unadjusted")</f>
        <v>44085</v>
      </c>
      <c r="M13" s="346" t="s">
        <v>7</v>
      </c>
      <c r="N13" s="346" t="s">
        <v>20</v>
      </c>
      <c r="O13" s="346" t="s">
        <v>21</v>
      </c>
      <c r="P13" s="346" t="s">
        <v>21</v>
      </c>
      <c r="Q13" s="346" t="s">
        <v>70</v>
      </c>
      <c r="R13" s="353" t="str">
        <f ca="1">_xll.qlSchedule(,K13,L13,M13,N13,O13,P13,Q13)</f>
        <v>obj_004c0#0000</v>
      </c>
      <c r="S13" s="346" t="s">
        <v>26</v>
      </c>
      <c r="T13" s="346" t="s">
        <v>20</v>
      </c>
      <c r="U13" s="346" t="s">
        <v>21</v>
      </c>
      <c r="V13" s="346" t="s">
        <v>21</v>
      </c>
      <c r="W13" s="346" t="s">
        <v>70</v>
      </c>
      <c r="X13" s="353" t="str">
        <f ca="1">_xll.qlSchedule(,K13,L13,S13,T13,U13,V13,W13)</f>
        <v>obj_004c1#0001</v>
      </c>
      <c r="Y13" s="349" t="s">
        <v>1742</v>
      </c>
      <c r="Z13" s="354" t="s">
        <v>1740</v>
      </c>
      <c r="AA13" s="354" t="s">
        <v>1745</v>
      </c>
      <c r="AB13" s="353" t="str">
        <f ca="1">_xll.qlVanillaSwap(,,,R13,,Y13,X13,Z13,,AA13)</f>
        <v>obj_00574#0001</v>
      </c>
      <c r="AC13" s="353" t="b">
        <f ca="1">_xll.qlInstrumentSetPricingEngine(AB13,_xll.qlDiscountingSwapEngine(,Curve!$S$16))</f>
        <v>1</v>
      </c>
      <c r="AD13" s="355">
        <f ca="1">_xll.qlVanillaSwapFairRate(AB13,AC13)</f>
        <v>7.198559383272401E-3</v>
      </c>
      <c r="AE13" s="346" t="s">
        <v>1752</v>
      </c>
      <c r="AF13" s="347">
        <v>10000</v>
      </c>
      <c r="AG13" s="350" t="str">
        <f ca="1">_xll.qlVanillaSwap(,AE13,AF13,R13,AD13,Y13,X13,Z13,,AA13)</f>
        <v>obj_005f5#0000</v>
      </c>
      <c r="AH13" s="347" t="str">
        <f ca="1">_xll.qlEuropeanExercise(,J13)</f>
        <v>obj_0019d#0001</v>
      </c>
      <c r="AI13" s="346" t="s">
        <v>1749</v>
      </c>
      <c r="AJ13" s="356" t="str">
        <f ca="1">_xll.qlSwaption(,AG13,AH13,AI13)</f>
        <v>obj_006bc#0001</v>
      </c>
      <c r="AK13" s="357" t="str">
        <f ca="1">_xll.qlConstantSwaptionVolatility(,,H13,I13,F13)</f>
        <v>obj_001cc#0001</v>
      </c>
      <c r="AL13" s="357" t="b">
        <f ca="1">_xll.qlInstrumentSetPricingEngine(AJ13,_xll.qlBachelierBlackSwaptionEngine(,Curve!$S$16,AK13))</f>
        <v>1</v>
      </c>
      <c r="AM13" s="358">
        <f ca="1">_xll.qlInstrumentNPV(AJ13,AL13)*2/_xll.qlYieldTSDiscount(Curve!$S$16,K13)</f>
        <v>98.171778288381759</v>
      </c>
      <c r="AN13" s="358">
        <f ca="1">_xll.qlInstrumentResults(AJ13,"annuity",AL13)</f>
        <v>9646.9473485577764</v>
      </c>
      <c r="AO13" s="359">
        <f ca="1">G13/2*_xll.qlYieldTSDiscount(Curve!$S$16,K13)/AN13</f>
        <v>5.2343160851210475E-3</v>
      </c>
      <c r="AP13" s="360">
        <f ca="1">_xll.qlBachelierBlackFormulaImpliedVol("Call",AD13,AD13,_xll.qlDayCounterYearFraction("Act/365 (Fixed)",C13,J13),AO13)</f>
        <v>6.5535127428382259E-3</v>
      </c>
      <c r="AQ13" s="361">
        <f ca="1">_xll.qlBlackFormulaImpliedStdDev("Call",AD13,AD13,AO13)/SQRT(_xll.qlDayCounterYearFraction("Act/365 (Fixed)",C13,J13))</f>
        <v>1.0953611628854911</v>
      </c>
      <c r="AS13" s="363">
        <v>6.3575187802745554E-3</v>
      </c>
      <c r="AT13" s="363">
        <v>6.5535127428382259E-3</v>
      </c>
      <c r="AU13" s="365">
        <f t="shared" ca="1" si="2"/>
        <v>1.2481219725444387E-5</v>
      </c>
      <c r="AV13" s="365">
        <f t="shared" ca="1" si="3"/>
        <v>-1.8351274283822609E-4</v>
      </c>
    </row>
    <row r="14" spans="2:48">
      <c r="B14" s="348" t="str">
        <f t="shared" ca="1" si="1"/>
        <v>5Yx1Y</v>
      </c>
      <c r="C14" s="345">
        <f t="shared" ca="1" si="0"/>
        <v>42254</v>
      </c>
      <c r="D14" s="346" t="s">
        <v>11</v>
      </c>
      <c r="E14" s="346" t="s">
        <v>7</v>
      </c>
      <c r="F14" s="351">
        <f ca="1">VLOOKUP(F$3&amp;$D14&amp;$E14,'Swaption Volatilities'!$V:$W,2,FALSE)%%</f>
        <v>6.9499999999999996E-3</v>
      </c>
      <c r="G14" s="352">
        <f ca="1">VLOOKUP(G$3&amp;$D14&amp;$E14,'Swaption Volatilities'!$V:$W,2,FALSE)</f>
        <v>122.5</v>
      </c>
      <c r="H14" s="346" t="s">
        <v>20</v>
      </c>
      <c r="I14" s="346" t="s">
        <v>21</v>
      </c>
      <c r="J14" s="345">
        <f ca="1">_xll.qlCalendarAdvance(H14,C14,D14,I14)</f>
        <v>44081</v>
      </c>
      <c r="K14" s="345">
        <f ca="1">_xll.qlCalendarAdvance(H14,J14,"2d")</f>
        <v>44083</v>
      </c>
      <c r="L14" s="345">
        <f ca="1">_xll.qlCalendarAdvance(H14,K14,E14,"unadjusted")</f>
        <v>44448</v>
      </c>
      <c r="M14" s="346" t="s">
        <v>7</v>
      </c>
      <c r="N14" s="346" t="s">
        <v>20</v>
      </c>
      <c r="O14" s="346" t="s">
        <v>21</v>
      </c>
      <c r="P14" s="346" t="s">
        <v>21</v>
      </c>
      <c r="Q14" s="346" t="s">
        <v>70</v>
      </c>
      <c r="R14" s="353" t="str">
        <f ca="1">_xll.qlSchedule(,K14,L14,M14,N14,O14,P14,Q14)</f>
        <v>obj_000ee#0001</v>
      </c>
      <c r="S14" s="346" t="s">
        <v>26</v>
      </c>
      <c r="T14" s="346" t="s">
        <v>20</v>
      </c>
      <c r="U14" s="346" t="s">
        <v>21</v>
      </c>
      <c r="V14" s="346" t="s">
        <v>21</v>
      </c>
      <c r="W14" s="346" t="s">
        <v>70</v>
      </c>
      <c r="X14" s="353" t="str">
        <f ca="1">_xll.qlSchedule(,K14,L14,S14,T14,U14,V14,W14)</f>
        <v>obj_0012e#0001</v>
      </c>
      <c r="Y14" s="349" t="s">
        <v>1742</v>
      </c>
      <c r="Z14" s="354" t="s">
        <v>1740</v>
      </c>
      <c r="AA14" s="354" t="s">
        <v>1745</v>
      </c>
      <c r="AB14" s="353" t="str">
        <f ca="1">_xll.qlVanillaSwap(,,,R14,,Y14,X14,Z14,,AA14)</f>
        <v>obj_00134#0001</v>
      </c>
      <c r="AC14" s="353" t="b">
        <f ca="1">_xll.qlInstrumentSetPricingEngine(AB14,_xll.qlDiscountingSwapEngine(,Curve!$S$16))</f>
        <v>1</v>
      </c>
      <c r="AD14" s="355">
        <f ca="1">_xll.qlVanillaSwapFairRate(AB14,AC14)</f>
        <v>1.0646493269508662E-2</v>
      </c>
      <c r="AE14" s="346" t="s">
        <v>1752</v>
      </c>
      <c r="AF14" s="347">
        <v>10000</v>
      </c>
      <c r="AG14" s="350" t="str">
        <f ca="1">_xll.qlVanillaSwap(,AE14,AF14,R14,AD14,Y14,X14,Z14,,AA14)</f>
        <v>obj_0030c#0001</v>
      </c>
      <c r="AH14" s="347" t="str">
        <f ca="1">_xll.qlEuropeanExercise(,J14)</f>
        <v>obj_000db#0000</v>
      </c>
      <c r="AI14" s="346" t="s">
        <v>1749</v>
      </c>
      <c r="AJ14" s="356" t="str">
        <f ca="1">_xll.qlSwaption(,AG14,AH14,AI14)</f>
        <v>obj_006a8#0001</v>
      </c>
      <c r="AK14" s="357" t="str">
        <f ca="1">_xll.qlConstantSwaptionVolatility(,,H14,I14,F14)</f>
        <v>obj_0009c#0001</v>
      </c>
      <c r="AL14" s="357" t="b">
        <f ca="1">_xll.qlInstrumentSetPricingEngine(AJ14,_xll.qlBachelierBlackSwaptionEngine(,Curve!$S$16,AK14))</f>
        <v>1</v>
      </c>
      <c r="AM14" s="358">
        <f ca="1">_xll.qlInstrumentNPV(AJ14,AL14)*2/_xll.qlYieldTSDiscount(Curve!$S$16,K14)</f>
        <v>117.06659720670579</v>
      </c>
      <c r="AN14" s="358">
        <f ca="1">_xll.qlInstrumentResults(AJ14,"annuity",AL14)</f>
        <v>9383.8014041095867</v>
      </c>
      <c r="AO14" s="359">
        <f ca="1">G14/2*_xll.qlYieldTSDiscount(Curve!$S$16,K14)/AN14</f>
        <v>6.491137454529612E-3</v>
      </c>
      <c r="AP14" s="360">
        <f ca="1">_xll.qlBachelierBlackFormulaImpliedVol("Call",AD14,AD14,_xll.qlDayCounterYearFraction("Act/365 (Fixed)",C14,J14),AO14)</f>
        <v>7.2725698048326497E-3</v>
      </c>
      <c r="AQ14" s="361">
        <f ca="1">_xll.qlBlackFormulaImpliedStdDev("Call",AD14,AD14,AO14)/SQRT(_xll.qlDayCounterYearFraction("Act/365 (Fixed)",C14,J14))</f>
        <v>0.76795347092452781</v>
      </c>
      <c r="AS14" s="363">
        <v>6.9245107942441679E-3</v>
      </c>
      <c r="AT14" s="363">
        <v>7.2725698048326497E-3</v>
      </c>
      <c r="AU14" s="365">
        <f t="shared" ca="1" si="2"/>
        <v>2.5489205755831711E-5</v>
      </c>
      <c r="AV14" s="365">
        <f t="shared" ca="1" si="3"/>
        <v>-3.2256980483265016E-4</v>
      </c>
    </row>
    <row r="15" spans="2:48">
      <c r="B15" s="348" t="str">
        <f t="shared" ca="1" si="1"/>
        <v>7Yx1Y</v>
      </c>
      <c r="C15" s="345">
        <f t="shared" ca="1" si="0"/>
        <v>42254</v>
      </c>
      <c r="D15" s="346" t="s">
        <v>13</v>
      </c>
      <c r="E15" s="346" t="s">
        <v>7</v>
      </c>
      <c r="F15" s="351">
        <f ca="1">VLOOKUP(F$3&amp;$D15&amp;$E15,'Swaption Volatilities'!$V:$W,2,FALSE)%%</f>
        <v>7.2499999999999995E-3</v>
      </c>
      <c r="G15" s="352">
        <f ca="1">VLOOKUP(G$3&amp;$D15&amp;$E15,'Swaption Volatilities'!$V:$W,2,FALSE)</f>
        <v>150.5</v>
      </c>
      <c r="H15" s="346" t="s">
        <v>20</v>
      </c>
      <c r="I15" s="346" t="s">
        <v>21</v>
      </c>
      <c r="J15" s="345">
        <f ca="1">_xll.qlCalendarAdvance(H15,C15,D15,I15)</f>
        <v>44811</v>
      </c>
      <c r="K15" s="345">
        <f ca="1">_xll.qlCalendarAdvance(H15,J15,"2d")</f>
        <v>44813</v>
      </c>
      <c r="L15" s="345">
        <f ca="1">_xll.qlCalendarAdvance(H15,K15,E15,"unadjusted")</f>
        <v>45178</v>
      </c>
      <c r="M15" s="346" t="s">
        <v>7</v>
      </c>
      <c r="N15" s="346" t="s">
        <v>20</v>
      </c>
      <c r="O15" s="346" t="s">
        <v>21</v>
      </c>
      <c r="P15" s="346" t="s">
        <v>21</v>
      </c>
      <c r="Q15" s="346" t="s">
        <v>70</v>
      </c>
      <c r="R15" s="353" t="str">
        <f ca="1">_xll.qlSchedule(,K15,L15,M15,N15,O15,P15,Q15)</f>
        <v>obj_001e8#0001</v>
      </c>
      <c r="S15" s="346" t="s">
        <v>26</v>
      </c>
      <c r="T15" s="346" t="s">
        <v>20</v>
      </c>
      <c r="U15" s="346" t="s">
        <v>21</v>
      </c>
      <c r="V15" s="346" t="s">
        <v>21</v>
      </c>
      <c r="W15" s="346" t="s">
        <v>70</v>
      </c>
      <c r="X15" s="353" t="str">
        <f ca="1">_xll.qlSchedule(,K15,L15,S15,T15,U15,V15,W15)</f>
        <v>obj_001b1#0000</v>
      </c>
      <c r="Y15" s="349" t="s">
        <v>1742</v>
      </c>
      <c r="Z15" s="354" t="s">
        <v>1740</v>
      </c>
      <c r="AA15" s="354" t="s">
        <v>1745</v>
      </c>
      <c r="AB15" s="353" t="str">
        <f ca="1">_xll.qlVanillaSwap(,,,R15,,Y15,X15,Z15,,AA15)</f>
        <v>obj_001fc#0001</v>
      </c>
      <c r="AC15" s="353" t="b">
        <f ca="1">_xll.qlInstrumentSetPricingEngine(AB15,_xll.qlDiscountingSwapEngine(,Curve!$S$16))</f>
        <v>1</v>
      </c>
      <c r="AD15" s="355">
        <f ca="1">_xll.qlVanillaSwapFairRate(AB15,AC15)</f>
        <v>1.6335661521342543E-2</v>
      </c>
      <c r="AE15" s="346" t="s">
        <v>1752</v>
      </c>
      <c r="AF15" s="347">
        <v>10000</v>
      </c>
      <c r="AG15" s="350" t="str">
        <f ca="1">_xll.qlVanillaSwap(,AE15,AF15,R15,AD15,Y15,X15,Z15,,AA15)</f>
        <v>obj_00357#0001</v>
      </c>
      <c r="AH15" s="347" t="str">
        <f ca="1">_xll.qlEuropeanExercise(,J15)</f>
        <v>obj_00443#0001</v>
      </c>
      <c r="AI15" s="346" t="s">
        <v>1749</v>
      </c>
      <c r="AJ15" s="356" t="str">
        <f ca="1">_xll.qlSwaption(,AG15,AH15,AI15)</f>
        <v>obj_006dd#0001</v>
      </c>
      <c r="AK15" s="357" t="str">
        <f ca="1">_xll.qlConstantSwaptionVolatility(,,H15,I15,F15)</f>
        <v>obj_000b0#0001</v>
      </c>
      <c r="AL15" s="357" t="b">
        <f ca="1">_xll.qlInstrumentSetPricingEngine(AJ15,_xll.qlBachelierBlackSwaptionEngine(,Curve!$S$16,AK15))</f>
        <v>1</v>
      </c>
      <c r="AM15" s="358">
        <f ca="1">_xll.qlInstrumentNPV(AJ15,AL15)*2/_xll.qlYieldTSDiscount(Curve!$S$16,K15)</f>
        <v>138.88331648130051</v>
      </c>
      <c r="AN15" s="358">
        <f ca="1">_xll.qlInstrumentResults(AJ15,"annuity",AL15)</f>
        <v>8831.4204825717188</v>
      </c>
      <c r="AO15" s="359">
        <f ca="1">G15/2*_xll.qlYieldTSDiscount(Curve!$S$16,K15)/AN15</f>
        <v>8.2957073965904873E-3</v>
      </c>
      <c r="AP15" s="360">
        <f ca="1">_xll.qlBachelierBlackFormulaImpliedVol("Call",AD15,AD15,_xll.qlDayCounterYearFraction("Act/365 (Fixed)",C15,J15),AO15)</f>
        <v>7.8564152098637031E-3</v>
      </c>
      <c r="AQ15" s="361">
        <f ca="1">_xll.qlBlackFormulaImpliedStdDev("Call",AD15,AD15,AO15)/SQRT(_xll.qlDayCounterYearFraction("Act/365 (Fixed)",C15,J15))</f>
        <v>0.51901308572656391</v>
      </c>
      <c r="AS15" s="363">
        <v>7.1925780109817717E-3</v>
      </c>
      <c r="AT15" s="363">
        <v>7.8564152098637031E-3</v>
      </c>
      <c r="AU15" s="365">
        <f t="shared" ca="1" si="2"/>
        <v>5.7421989018227766E-5</v>
      </c>
      <c r="AV15" s="365">
        <f t="shared" ca="1" si="3"/>
        <v>-6.0641520986370358E-4</v>
      </c>
    </row>
    <row r="16" spans="2:48">
      <c r="B16" s="348" t="str">
        <f t="shared" ca="1" si="1"/>
        <v>10Yx1Y</v>
      </c>
      <c r="C16" s="345">
        <f t="shared" ca="1" si="0"/>
        <v>42254</v>
      </c>
      <c r="D16" s="346" t="s">
        <v>16</v>
      </c>
      <c r="E16" s="346" t="s">
        <v>7</v>
      </c>
      <c r="F16" s="351">
        <f ca="1">VLOOKUP(F$3&amp;$D16&amp;$E16,'Swaption Volatilities'!$V:$W,2,FALSE)%%</f>
        <v>7.3000000000000001E-3</v>
      </c>
      <c r="G16" s="352">
        <f ca="1">VLOOKUP(G$3&amp;$D16&amp;$E16,'Swaption Volatilities'!$V:$W,2,FALSE)</f>
        <v>180.5</v>
      </c>
      <c r="H16" s="346" t="s">
        <v>20</v>
      </c>
      <c r="I16" s="346" t="s">
        <v>21</v>
      </c>
      <c r="J16" s="345">
        <f ca="1">_xll.qlCalendarAdvance(H16,C16,D16,I16)</f>
        <v>45908</v>
      </c>
      <c r="K16" s="345">
        <f ca="1">_xll.qlCalendarAdvance(H16,J16,"2d")</f>
        <v>45910</v>
      </c>
      <c r="L16" s="345">
        <f ca="1">_xll.qlCalendarAdvance(H16,K16,E16,"unadjusted")</f>
        <v>46275</v>
      </c>
      <c r="M16" s="346" t="s">
        <v>7</v>
      </c>
      <c r="N16" s="346" t="s">
        <v>20</v>
      </c>
      <c r="O16" s="346" t="s">
        <v>21</v>
      </c>
      <c r="P16" s="346" t="s">
        <v>21</v>
      </c>
      <c r="Q16" s="346" t="s">
        <v>70</v>
      </c>
      <c r="R16" s="353" t="str">
        <f ca="1">_xll.qlSchedule(,K16,L16,M16,N16,O16,P16,Q16)</f>
        <v>obj_0046e#0001</v>
      </c>
      <c r="S16" s="346" t="s">
        <v>26</v>
      </c>
      <c r="T16" s="346" t="s">
        <v>20</v>
      </c>
      <c r="U16" s="346" t="s">
        <v>21</v>
      </c>
      <c r="V16" s="346" t="s">
        <v>21</v>
      </c>
      <c r="W16" s="346" t="s">
        <v>70</v>
      </c>
      <c r="X16" s="353" t="str">
        <f ca="1">_xll.qlSchedule(,K16,L16,S16,T16,U16,V16,W16)</f>
        <v>obj_0046d#0000</v>
      </c>
      <c r="Y16" s="349" t="s">
        <v>1742</v>
      </c>
      <c r="Z16" s="354" t="s">
        <v>1740</v>
      </c>
      <c r="AA16" s="354" t="s">
        <v>1745</v>
      </c>
      <c r="AB16" s="353" t="str">
        <f ca="1">_xll.qlVanillaSwap(,,,R16,,Y16,X16,Z16,,AA16)</f>
        <v>obj_0052a#0001</v>
      </c>
      <c r="AC16" s="353" t="b">
        <f ca="1">_xll.qlInstrumentSetPricingEngine(AB16,_xll.qlDiscountingSwapEngine(,Curve!$S$16))</f>
        <v>1</v>
      </c>
      <c r="AD16" s="355">
        <f ca="1">_xll.qlVanillaSwapFairRate(AB16,AC16)</f>
        <v>2.0660951866164054E-2</v>
      </c>
      <c r="AE16" s="346" t="s">
        <v>1752</v>
      </c>
      <c r="AF16" s="347">
        <v>10000</v>
      </c>
      <c r="AG16" s="350" t="str">
        <f ca="1">_xll.qlVanillaSwap(,AE16,AF16,R16,AD16,Y16,X16,Z16,,AA16)</f>
        <v>obj_005c2#0000</v>
      </c>
      <c r="AH16" s="347" t="str">
        <f ca="1">_xll.qlEuropeanExercise(,J16)</f>
        <v>obj_0019a#0001</v>
      </c>
      <c r="AI16" s="346" t="s">
        <v>1749</v>
      </c>
      <c r="AJ16" s="356" t="str">
        <f ca="1">_xll.qlSwaption(,AG16,AH16,AI16)</f>
        <v>obj_0068b#0001</v>
      </c>
      <c r="AK16" s="357" t="str">
        <f ca="1">_xll.qlConstantSwaptionVolatility(,,H16,I16,F16)</f>
        <v>obj_00196#0001</v>
      </c>
      <c r="AL16" s="357" t="b">
        <f ca="1">_xll.qlInstrumentSetPricingEngine(AJ16,_xll.qlBachelierBlackSwaptionEngine(,Curve!$S$16,AK16))</f>
        <v>1</v>
      </c>
      <c r="AM16" s="358">
        <f ca="1">_xll.qlInstrumentNPV(AJ16,AL16)*2/_xll.qlYieldTSDiscount(Curve!$S$16,K16)</f>
        <v>158.80433256298016</v>
      </c>
      <c r="AN16" s="358">
        <f ca="1">_xll.qlInstrumentResults(AJ16,"annuity",AL16)</f>
        <v>7984.1647098932444</v>
      </c>
      <c r="AO16" s="359">
        <f ca="1">G16/2*_xll.qlYieldTSDiscount(Curve!$S$16,K16)/AN16</f>
        <v>1.0473350181357564E-2</v>
      </c>
      <c r="AP16" s="360">
        <f ca="1">_xll.qlBachelierBlackFormulaImpliedVol("Call",AD16,AD16,_xll.qlDayCounterYearFraction("Act/365 (Fixed)",C16,J16),AO16)</f>
        <v>8.2973177037058195E-3</v>
      </c>
      <c r="AQ16" s="361">
        <f ca="1">_xll.qlBlackFormulaImpliedStdDev("Call",AD16,AD16,AO16)/SQRT(_xll.qlDayCounterYearFraction("Act/365 (Fixed)",C16,J16))</f>
        <v>0.43325443039264344</v>
      </c>
      <c r="AS16" s="363">
        <v>7.2880792153330147E-3</v>
      </c>
      <c r="AT16" s="363">
        <v>8.2973177037058195E-3</v>
      </c>
      <c r="AU16" s="365">
        <f t="shared" ca="1" si="2"/>
        <v>1.1920784666985366E-5</v>
      </c>
      <c r="AV16" s="365">
        <f t="shared" ca="1" si="3"/>
        <v>-9.9731770370581948E-4</v>
      </c>
    </row>
    <row r="17" spans="2:48">
      <c r="B17" s="348" t="str">
        <f t="shared" ca="1" si="1"/>
        <v>15Yx1Y</v>
      </c>
      <c r="C17" s="345">
        <f t="shared" ca="1" si="0"/>
        <v>42254</v>
      </c>
      <c r="D17" s="346" t="s">
        <v>17</v>
      </c>
      <c r="E17" s="346" t="s">
        <v>7</v>
      </c>
      <c r="F17" s="351">
        <f ca="1">VLOOKUP(F$3&amp;$D17&amp;$E17,'Swaption Volatilities'!$V:$W,2,FALSE)%%</f>
        <v>7.0099999999999997E-3</v>
      </c>
      <c r="G17" s="352">
        <f ca="1">VLOOKUP(G$3&amp;$D17&amp;$E17,'Swaption Volatilities'!$V:$W,2,FALSE)</f>
        <v>212</v>
      </c>
      <c r="H17" s="346" t="s">
        <v>20</v>
      </c>
      <c r="I17" s="346" t="s">
        <v>21</v>
      </c>
      <c r="J17" s="345">
        <f ca="1">_xll.qlCalendarAdvance(H17,C17,D17,I17)</f>
        <v>47735</v>
      </c>
      <c r="K17" s="345">
        <f ca="1">_xll.qlCalendarAdvance(H17,J17,"2d")</f>
        <v>47737</v>
      </c>
      <c r="L17" s="345">
        <f ca="1">_xll.qlCalendarAdvance(H17,K17,E17,"unadjusted")</f>
        <v>48102</v>
      </c>
      <c r="M17" s="346" t="s">
        <v>7</v>
      </c>
      <c r="N17" s="346" t="s">
        <v>20</v>
      </c>
      <c r="O17" s="346" t="s">
        <v>21</v>
      </c>
      <c r="P17" s="346" t="s">
        <v>21</v>
      </c>
      <c r="Q17" s="346" t="s">
        <v>70</v>
      </c>
      <c r="R17" s="353" t="str">
        <f ca="1">_xll.qlSchedule(,K17,L17,M17,N17,O17,P17,Q17)</f>
        <v>obj_00603#0001</v>
      </c>
      <c r="S17" s="346" t="s">
        <v>26</v>
      </c>
      <c r="T17" s="346" t="s">
        <v>20</v>
      </c>
      <c r="U17" s="346" t="s">
        <v>21</v>
      </c>
      <c r="V17" s="346" t="s">
        <v>21</v>
      </c>
      <c r="W17" s="346" t="s">
        <v>70</v>
      </c>
      <c r="X17" s="353" t="str">
        <f ca="1">_xll.qlSchedule(,K17,L17,S17,T17,U17,V17,W17)</f>
        <v>obj_00602#0001</v>
      </c>
      <c r="Y17" s="349" t="s">
        <v>1742</v>
      </c>
      <c r="Z17" s="354" t="s">
        <v>1740</v>
      </c>
      <c r="AA17" s="354" t="s">
        <v>1745</v>
      </c>
      <c r="AB17" s="353" t="str">
        <f ca="1">_xll.qlVanillaSwap(,,,R17,,Y17,X17,Z17,,AA17)</f>
        <v>obj_00632#0001</v>
      </c>
      <c r="AC17" s="353" t="b">
        <f ca="1">_xll.qlInstrumentSetPricingEngine(AB17,_xll.qlDiscountingSwapEngine(,Curve!$S$16))</f>
        <v>1</v>
      </c>
      <c r="AD17" s="355">
        <f ca="1">_xll.qlVanillaSwapFairRate(AB17,AC17)</f>
        <v>2.1013072322321226E-2</v>
      </c>
      <c r="AE17" s="346" t="s">
        <v>1752</v>
      </c>
      <c r="AF17" s="347">
        <v>10000</v>
      </c>
      <c r="AG17" s="350" t="str">
        <f ca="1">_xll.qlVanillaSwap(,AE17,AF17,R17,AD17,Y17,X17,Z17,,AA17)</f>
        <v>obj_0063d#0000</v>
      </c>
      <c r="AH17" s="347" t="str">
        <f ca="1">_xll.qlEuropeanExercise(,J17)</f>
        <v>obj_004dd#0001</v>
      </c>
      <c r="AI17" s="346" t="s">
        <v>1749</v>
      </c>
      <c r="AJ17" s="356" t="str">
        <f ca="1">_xll.qlSwaption(,AG17,AH17,AI17)</f>
        <v>obj_0063e#0001</v>
      </c>
      <c r="AK17" s="357" t="str">
        <f ca="1">_xll.qlConstantSwaptionVolatility(,,H17,I17,F17)</f>
        <v>obj_001c2#0001</v>
      </c>
      <c r="AL17" s="357" t="b">
        <f ca="1">_xll.qlInstrumentSetPricingEngine(AJ17,_xll.qlBachelierBlackSwaptionEngine(,Curve!$S$16,AK17))</f>
        <v>1</v>
      </c>
      <c r="AM17" s="358">
        <f ca="1">_xll.qlInstrumentNPV(AJ17,AL17)*2/_xll.qlYieldTSDiscount(Curve!$S$16,K17)</f>
        <v>185.29349478054516</v>
      </c>
      <c r="AN17" s="358">
        <f ca="1">_xll.qlInstrumentResults(AJ17,"annuity",AL17)</f>
        <v>7168.0134554433462</v>
      </c>
      <c r="AO17" s="359">
        <f ca="1">G17/2*_xll.qlYieldTSDiscount(Curve!$S$16,K17)/AN17</f>
        <v>1.2399016587293539E-2</v>
      </c>
      <c r="AP17" s="360">
        <f ca="1">_xll.qlBachelierBlackFormulaImpliedVol("Call",AD17,AD17,_xll.qlDayCounterYearFraction("Act/365 (Fixed)",C17,J17),AO17)</f>
        <v>8.0203571191752136E-3</v>
      </c>
      <c r="AQ17" s="361">
        <f ca="1">_xll.qlBlackFormulaImpliedStdDev("Call",AD17,AD17,AO17)/SQRT(_xll.qlDayCounterYearFraction("Act/365 (Fixed)",C17,J17))</f>
        <v>0.42528026761321658</v>
      </c>
      <c r="AS17" s="363">
        <v>6.9950396887052619E-3</v>
      </c>
      <c r="AT17" s="363">
        <v>8.0203571191752136E-3</v>
      </c>
      <c r="AU17" s="365">
        <f t="shared" ca="1" si="2"/>
        <v>1.4960311294737877E-5</v>
      </c>
      <c r="AV17" s="365">
        <f t="shared" ca="1" si="3"/>
        <v>-1.0103571191752139E-3</v>
      </c>
    </row>
    <row r="18" spans="2:48">
      <c r="B18" s="348" t="str">
        <f t="shared" ca="1" si="1"/>
        <v>20Yx1Y</v>
      </c>
      <c r="C18" s="345">
        <f t="shared" ca="1" si="0"/>
        <v>42254</v>
      </c>
      <c r="D18" s="346" t="s">
        <v>104</v>
      </c>
      <c r="E18" s="346" t="s">
        <v>7</v>
      </c>
      <c r="F18" s="351">
        <f ca="1">VLOOKUP(F$3&amp;$D18&amp;$E18,'Swaption Volatilities'!$V:$W,2,FALSE)%%</f>
        <v>6.6900000000000006E-3</v>
      </c>
      <c r="G18" s="352">
        <f ca="1">VLOOKUP(G$3&amp;$D18&amp;$E18,'Swaption Volatilities'!$V:$W,2,FALSE)</f>
        <v>234.5</v>
      </c>
      <c r="H18" s="346" t="s">
        <v>20</v>
      </c>
      <c r="I18" s="346" t="s">
        <v>21</v>
      </c>
      <c r="J18" s="345">
        <f ca="1">_xll.qlCalendarAdvance(H18,C18,D18,I18)</f>
        <v>49559</v>
      </c>
      <c r="K18" s="345">
        <f ca="1">_xll.qlCalendarAdvance(H18,J18,"2d")</f>
        <v>49563</v>
      </c>
      <c r="L18" s="345">
        <f ca="1">_xll.qlCalendarAdvance(H18,K18,E18,"unadjusted")</f>
        <v>49929</v>
      </c>
      <c r="M18" s="346" t="s">
        <v>7</v>
      </c>
      <c r="N18" s="346" t="s">
        <v>20</v>
      </c>
      <c r="O18" s="346" t="s">
        <v>21</v>
      </c>
      <c r="P18" s="346" t="s">
        <v>21</v>
      </c>
      <c r="Q18" s="346" t="s">
        <v>70</v>
      </c>
      <c r="R18" s="353" t="str">
        <f ca="1">_xll.qlSchedule(,K18,L18,M18,N18,O18,P18,Q18)</f>
        <v>obj_005fa#0001</v>
      </c>
      <c r="S18" s="346" t="s">
        <v>26</v>
      </c>
      <c r="T18" s="346" t="s">
        <v>20</v>
      </c>
      <c r="U18" s="346" t="s">
        <v>21</v>
      </c>
      <c r="V18" s="346" t="s">
        <v>21</v>
      </c>
      <c r="W18" s="346" t="s">
        <v>70</v>
      </c>
      <c r="X18" s="353" t="str">
        <f ca="1">_xll.qlSchedule(,K18,L18,S18,T18,U18,V18,W18)</f>
        <v>obj_005f9#0001</v>
      </c>
      <c r="Y18" s="349" t="s">
        <v>1742</v>
      </c>
      <c r="Z18" s="354" t="s">
        <v>1740</v>
      </c>
      <c r="AA18" s="354" t="s">
        <v>1745</v>
      </c>
      <c r="AB18" s="353" t="str">
        <f ca="1">_xll.qlVanillaSwap(,,,R18,,Y18,X18,Z18,,AA18)</f>
        <v>obj_0062f#0001</v>
      </c>
      <c r="AC18" s="353" t="b">
        <f ca="1">_xll.qlInstrumentSetPricingEngine(AB18,_xll.qlDiscountingSwapEngine(,Curve!$S$16))</f>
        <v>1</v>
      </c>
      <c r="AD18" s="355">
        <f ca="1">_xll.qlVanillaSwapFairRate(AB18,AC18)</f>
        <v>1.7896480104408429E-2</v>
      </c>
      <c r="AE18" s="346" t="s">
        <v>1752</v>
      </c>
      <c r="AF18" s="347">
        <v>10000</v>
      </c>
      <c r="AG18" s="350" t="str">
        <f ca="1">_xll.qlVanillaSwap(,AE18,AF18,R18,AD18,Y18,X18,Z18,,AA18)</f>
        <v>obj_0063b#0000</v>
      </c>
      <c r="AH18" s="347" t="str">
        <f ca="1">_xll.qlEuropeanExercise(,J18)</f>
        <v>obj_004cf#0001</v>
      </c>
      <c r="AI18" s="346" t="s">
        <v>1749</v>
      </c>
      <c r="AJ18" s="356" t="str">
        <f ca="1">_xll.qlSwaption(,AG18,AH18,AI18)</f>
        <v>obj_006b0#0001</v>
      </c>
      <c r="AK18" s="357" t="str">
        <f ca="1">_xll.qlConstantSwaptionVolatility(,,H18,I18,F18)</f>
        <v>obj_000ce#0001</v>
      </c>
      <c r="AL18" s="357" t="b">
        <f ca="1">_xll.qlInstrumentSetPricingEngine(AJ18,_xll.qlBachelierBlackSwaptionEngine(,Curve!$S$16,AK18))</f>
        <v>1</v>
      </c>
      <c r="AM18" s="358">
        <f ca="1">_xll.qlInstrumentNPV(AJ18,AL18)*2/_xll.qlYieldTSDiscount(Curve!$S$16,K18)</f>
        <v>215.84531645566253</v>
      </c>
      <c r="AN18" s="358">
        <f ca="1">_xll.qlInstrumentResults(AJ18,"annuity",AL18)</f>
        <v>6888.7201199687961</v>
      </c>
      <c r="AO18" s="359">
        <f ca="1">G18/2*_xll.qlYieldTSDiscount(Curve!$S$16,K18)/AN18</f>
        <v>1.2971795070683948E-2</v>
      </c>
      <c r="AP18" s="360">
        <f ca="1">_xll.qlBachelierBlackFormulaImpliedVol("Call",AD18,AD18,_xll.qlDayCounterYearFraction("Act/365 (Fixed)",C18,J18),AO18)</f>
        <v>7.2681910627523704E-3</v>
      </c>
      <c r="AQ18" s="361">
        <f ca="1">_xll.qlBlackFormulaImpliedStdDev("Call",AD18,AD18,AO18)/SQRT(_xll.qlDayCounterYearFraction("Act/365 (Fixed)",C18,J18))</f>
        <v>0.48784128715857722</v>
      </c>
      <c r="AS18" s="363">
        <v>6.6843871760441653E-3</v>
      </c>
      <c r="AT18" s="363">
        <v>7.2681910627523704E-3</v>
      </c>
      <c r="AU18" s="365">
        <f t="shared" ca="1" si="2"/>
        <v>5.6128239558353096E-6</v>
      </c>
      <c r="AV18" s="365">
        <f t="shared" ca="1" si="3"/>
        <v>-5.7819106275236974E-4</v>
      </c>
    </row>
    <row r="19" spans="2:48">
      <c r="B19" s="348" t="str">
        <f t="shared" ca="1" si="1"/>
        <v>1Mx2Y</v>
      </c>
      <c r="C19" s="345">
        <f t="shared" ca="1" si="0"/>
        <v>42254</v>
      </c>
      <c r="D19" s="346" t="s">
        <v>23</v>
      </c>
      <c r="E19" s="346" t="s">
        <v>8</v>
      </c>
      <c r="F19" s="351">
        <f ca="1">VLOOKUP(F$3&amp;$D19&amp;$E19,'Swaption Volatilities'!$V:$W,2,FALSE)%%</f>
        <v>1.6200000000000001E-3</v>
      </c>
      <c r="G19" s="352">
        <f ca="1">VLOOKUP(G$3&amp;$D19&amp;$E19,'Swaption Volatilities'!$V:$W,2,FALSE)</f>
        <v>7.5</v>
      </c>
      <c r="H19" s="346" t="s">
        <v>20</v>
      </c>
      <c r="I19" s="346" t="s">
        <v>21</v>
      </c>
      <c r="J19" s="345">
        <f ca="1">_xll.qlCalendarAdvance(H19,C19,D19,I19)</f>
        <v>42284</v>
      </c>
      <c r="K19" s="345">
        <f ca="1">_xll.qlCalendarAdvance(H19,J19,"2d")</f>
        <v>42286</v>
      </c>
      <c r="L19" s="345">
        <f ca="1">_xll.qlCalendarAdvance(H19,K19,E19,"unadjusted")</f>
        <v>43017</v>
      </c>
      <c r="M19" s="346" t="s">
        <v>7</v>
      </c>
      <c r="N19" s="346" t="s">
        <v>20</v>
      </c>
      <c r="O19" s="346" t="s">
        <v>21</v>
      </c>
      <c r="P19" s="346" t="s">
        <v>21</v>
      </c>
      <c r="Q19" s="346" t="s">
        <v>70</v>
      </c>
      <c r="R19" s="353" t="str">
        <f ca="1">_xll.qlSchedule(,K19,L19,M19,N19,O19,P19,Q19)</f>
        <v>obj_004d3#0001</v>
      </c>
      <c r="S19" s="346" t="s">
        <v>19</v>
      </c>
      <c r="T19" s="346" t="s">
        <v>20</v>
      </c>
      <c r="U19" s="346" t="s">
        <v>21</v>
      </c>
      <c r="V19" s="346" t="s">
        <v>21</v>
      </c>
      <c r="W19" s="346" t="s">
        <v>70</v>
      </c>
      <c r="X19" s="353" t="str">
        <f ca="1">_xll.qlSchedule(,K19,L19,S19,T19,U19,V19,W19)</f>
        <v>obj_004d2#0001</v>
      </c>
      <c r="Y19" s="349" t="s">
        <v>1742</v>
      </c>
      <c r="Z19" s="354" t="s">
        <v>36</v>
      </c>
      <c r="AA19" s="354" t="s">
        <v>1745</v>
      </c>
      <c r="AB19" s="353" t="str">
        <f ca="1">_xll.qlVanillaSwap(,,,R19,,Y19,X19,Z19,,AA19)</f>
        <v>obj_0057d#0001</v>
      </c>
      <c r="AC19" s="353" t="b">
        <f ca="1">_xll.qlInstrumentSetPricingEngine(AB19,_xll.qlDiscountingSwapEngine(,Curve!$S$16))</f>
        <v>1</v>
      </c>
      <c r="AD19" s="355">
        <f ca="1">_xll.qlVanillaSwapFairRate(AB19,AC19)</f>
        <v>8.3952101335283791E-4</v>
      </c>
      <c r="AE19" s="346" t="s">
        <v>1752</v>
      </c>
      <c r="AF19" s="347">
        <v>10000</v>
      </c>
      <c r="AG19" s="350" t="str">
        <f ca="1">_xll.qlVanillaSwap(,AE19,AF19,R19,AD19,Y19,X19,Z19,,AA19)</f>
        <v>obj_005ff#0000</v>
      </c>
      <c r="AH19" s="347" t="str">
        <f ca="1">_xll.qlEuropeanExercise(,J19)</f>
        <v>obj_00380#0001</v>
      </c>
      <c r="AI19" s="346" t="s">
        <v>1749</v>
      </c>
      <c r="AJ19" s="356" t="str">
        <f ca="1">_xll.qlSwaption(,AG19,AH19,AI19)</f>
        <v>obj_0064a#0001</v>
      </c>
      <c r="AK19" s="357" t="str">
        <f ca="1">_xll.qlConstantSwaptionVolatility(,,H19,I19,F19)</f>
        <v>obj_003cc#0001</v>
      </c>
      <c r="AL19" s="357" t="b">
        <f ca="1">_xll.qlInstrumentSetPricingEngine(AJ19,_xll.qlBachelierBlackSwaptionEngine(,Curve!$S$16,AK19))</f>
        <v>1</v>
      </c>
      <c r="AM19" s="358">
        <f ca="1">_xll.qlInstrumentNPV(AJ19,AL19)*2/_xll.qlYieldTSDiscount(Curve!$S$16,K19)</f>
        <v>7.4006522089570943</v>
      </c>
      <c r="AN19" s="358">
        <f ca="1">_xll.qlInstrumentResults(AJ19,"annuity",AL19)</f>
        <v>19973.352533900681</v>
      </c>
      <c r="AO19" s="359">
        <f ca="1">G19/2*_xll.qlYieldTSDiscount(Curve!$S$16,K19)/AN19</f>
        <v>1.8777187532980456E-4</v>
      </c>
      <c r="AP19" s="360">
        <f ca="1">_xll.qlBachelierBlackFormulaImpliedVol("Call",AD19,AD19,_xll.qlDayCounterYearFraction("Act/365 (Fixed)",C19,J19),AO19)</f>
        <v>1.6417471942939039E-3</v>
      </c>
      <c r="AQ19" s="361">
        <f ca="1">_xll.qlBlackFormulaImpliedStdDev("Call",AD19,AD19,AO19)/SQRT(_xll.qlDayCounterYearFraction("Act/365 (Fixed)",C19,J19))</f>
        <v>1.9819171871029591</v>
      </c>
      <c r="AS19" s="363">
        <v>1.63589575293858E-3</v>
      </c>
      <c r="AT19" s="363">
        <v>1.6417471942939039E-3</v>
      </c>
      <c r="AU19" s="365">
        <f t="shared" ca="1" si="2"/>
        <v>-1.5895752938579902E-5</v>
      </c>
      <c r="AV19" s="365">
        <f t="shared" ca="1" si="3"/>
        <v>-2.1747194293903795E-5</v>
      </c>
    </row>
    <row r="20" spans="2:48">
      <c r="B20" s="348" t="str">
        <f t="shared" ca="1" si="1"/>
        <v>2Mx2Y</v>
      </c>
      <c r="C20" s="345">
        <f t="shared" ca="1" si="0"/>
        <v>42254</v>
      </c>
      <c r="D20" s="346" t="s">
        <v>398</v>
      </c>
      <c r="E20" s="346" t="s">
        <v>8</v>
      </c>
      <c r="F20" s="351">
        <f ca="1">VLOOKUP(F$3&amp;$D20&amp;$E20,'Swaption Volatilities'!$V:$W,2,FALSE)%%</f>
        <v>1.6200000000000001E-3</v>
      </c>
      <c r="G20" s="352">
        <f ca="1">VLOOKUP(G$3&amp;$D20&amp;$E20,'Swaption Volatilities'!$V:$W,2,FALSE)</f>
        <v>10.5</v>
      </c>
      <c r="H20" s="346" t="s">
        <v>20</v>
      </c>
      <c r="I20" s="346" t="s">
        <v>21</v>
      </c>
      <c r="J20" s="345">
        <f ca="1">_xll.qlCalendarAdvance(H20,C20,D20,I20)</f>
        <v>42317</v>
      </c>
      <c r="K20" s="345">
        <f ca="1">_xll.qlCalendarAdvance(H20,J20,"2d")</f>
        <v>42319</v>
      </c>
      <c r="L20" s="345">
        <f ca="1">_xll.qlCalendarAdvance(H20,K20,E20,"unadjusted")</f>
        <v>43050</v>
      </c>
      <c r="M20" s="346" t="s">
        <v>7</v>
      </c>
      <c r="N20" s="346" t="s">
        <v>20</v>
      </c>
      <c r="O20" s="346" t="s">
        <v>21</v>
      </c>
      <c r="P20" s="346" t="s">
        <v>21</v>
      </c>
      <c r="Q20" s="346" t="s">
        <v>70</v>
      </c>
      <c r="R20" s="353" t="str">
        <f ca="1">_xll.qlSchedule(,K20,L20,M20,N20,O20,P20,Q20)</f>
        <v>obj_00339#0001</v>
      </c>
      <c r="S20" s="346" t="s">
        <v>19</v>
      </c>
      <c r="T20" s="346" t="s">
        <v>20</v>
      </c>
      <c r="U20" s="346" t="s">
        <v>21</v>
      </c>
      <c r="V20" s="346" t="s">
        <v>21</v>
      </c>
      <c r="W20" s="346" t="s">
        <v>70</v>
      </c>
      <c r="X20" s="353" t="str">
        <f ca="1">_xll.qlSchedule(,K20,L20,S20,T20,U20,V20,W20)</f>
        <v>obj_003d5#0001</v>
      </c>
      <c r="Y20" s="349" t="s">
        <v>1742</v>
      </c>
      <c r="Z20" s="354" t="s">
        <v>36</v>
      </c>
      <c r="AA20" s="354" t="s">
        <v>1745</v>
      </c>
      <c r="AB20" s="353" t="str">
        <f ca="1">_xll.qlVanillaSwap(,,,R20,,Y20,X20,Z20,,AA20)</f>
        <v>obj_003d6#0000</v>
      </c>
      <c r="AC20" s="353" t="b">
        <f ca="1">_xll.qlInstrumentSetPricingEngine(AB20,_xll.qlDiscountingSwapEngine(,Curve!$S$16))</f>
        <v>1</v>
      </c>
      <c r="AD20" s="355">
        <f ca="1">_xll.qlVanillaSwapFairRate(AB20,AC20)</f>
        <v>9.1825566813519169E-4</v>
      </c>
      <c r="AE20" s="346" t="s">
        <v>1752</v>
      </c>
      <c r="AF20" s="347">
        <v>10000</v>
      </c>
      <c r="AG20" s="350" t="str">
        <f ca="1">_xll.qlVanillaSwap(,AE20,AF20,R20,AD20,Y20,X20,Z20,,AA20)</f>
        <v>obj_004f4#0000</v>
      </c>
      <c r="AH20" s="347" t="str">
        <f ca="1">_xll.qlEuropeanExercise(,J20)</f>
        <v>obj_003ce#0001</v>
      </c>
      <c r="AI20" s="346" t="s">
        <v>1749</v>
      </c>
      <c r="AJ20" s="356" t="str">
        <f ca="1">_xll.qlSwaption(,AG20,AH20,AI20)</f>
        <v>obj_006ed#0001</v>
      </c>
      <c r="AK20" s="357" t="str">
        <f ca="1">_xll.qlConstantSwaptionVolatility(,,H20,I20,F20)</f>
        <v>obj_000dd#0001</v>
      </c>
      <c r="AL20" s="357" t="b">
        <f ca="1">_xll.qlInstrumentSetPricingEngine(AJ20,_xll.qlBachelierBlackSwaptionEngine(,Curve!$S$16,AK20))</f>
        <v>1</v>
      </c>
      <c r="AM20" s="358">
        <f ca="1">_xll.qlInstrumentNPV(AJ20,AL20)*2/_xll.qlYieldTSDiscount(Curve!$S$16,K20)</f>
        <v>10.750768707204625</v>
      </c>
      <c r="AN20" s="358">
        <f ca="1">_xll.qlInstrumentResults(AJ20,"annuity",AL20)</f>
        <v>20024.620811692024</v>
      </c>
      <c r="AO20" s="359">
        <f ca="1">G20/2*_xll.qlYieldTSDiscount(Curve!$S$16,K20)/AN20</f>
        <v>2.6223985942112887E-4</v>
      </c>
      <c r="AP20" s="360">
        <f ca="1">_xll.qlBachelierBlackFormulaImpliedVol("Call",AD20,AD20,_xll.qlDayCounterYearFraction("Act/365 (Fixed)",C20,J20),AO20)</f>
        <v>1.5822124411069803E-3</v>
      </c>
      <c r="AQ20" s="361">
        <f ca="1">_xll.qlBlackFormulaImpliedStdDev("Call",AD20,AD20,AO20)/SQRT(_xll.qlDayCounterYearFraction("Act/365 (Fixed)",C20,J20))</f>
        <v>1.7616008903188649</v>
      </c>
      <c r="AS20" s="363">
        <v>1.5760894716739058E-3</v>
      </c>
      <c r="AT20" s="363">
        <v>1.5822124411069803E-3</v>
      </c>
      <c r="AU20" s="365">
        <f t="shared" ca="1" si="2"/>
        <v>4.3910528326094331E-5</v>
      </c>
      <c r="AV20" s="365">
        <f t="shared" ca="1" si="3"/>
        <v>3.7787558893019818E-5</v>
      </c>
    </row>
    <row r="21" spans="2:48">
      <c r="B21" s="348" t="str">
        <f t="shared" ca="1" si="1"/>
        <v>3Mx2Y</v>
      </c>
      <c r="C21" s="345">
        <f t="shared" ca="1" si="0"/>
        <v>42254</v>
      </c>
      <c r="D21" s="346" t="s">
        <v>26</v>
      </c>
      <c r="E21" s="346" t="s">
        <v>8</v>
      </c>
      <c r="F21" s="351">
        <f ca="1">VLOOKUP(F$3&amp;$D21&amp;$E21,'Swaption Volatilities'!$V:$W,2,FALSE)%%</f>
        <v>1.5199999999999999E-3</v>
      </c>
      <c r="G21" s="352">
        <f ca="1">VLOOKUP(G$3&amp;$D21&amp;$E21,'Swaption Volatilities'!$V:$W,2,FALSE)</f>
        <v>12</v>
      </c>
      <c r="H21" s="346" t="s">
        <v>20</v>
      </c>
      <c r="I21" s="346" t="s">
        <v>21</v>
      </c>
      <c r="J21" s="345">
        <f ca="1">_xll.qlCalendarAdvance(H21,C21,D21,I21)</f>
        <v>42345</v>
      </c>
      <c r="K21" s="345">
        <f ca="1">_xll.qlCalendarAdvance(H21,J21,"2d")</f>
        <v>42347</v>
      </c>
      <c r="L21" s="345">
        <f ca="1">_xll.qlCalendarAdvance(H21,K21,E21,"unadjusted")</f>
        <v>43078</v>
      </c>
      <c r="M21" s="346" t="s">
        <v>7</v>
      </c>
      <c r="N21" s="346" t="s">
        <v>20</v>
      </c>
      <c r="O21" s="346" t="s">
        <v>21</v>
      </c>
      <c r="P21" s="346" t="s">
        <v>21</v>
      </c>
      <c r="Q21" s="346" t="s">
        <v>70</v>
      </c>
      <c r="R21" s="353" t="str">
        <f ca="1">_xll.qlSchedule(,K21,L21,M21,N21,O21,P21,Q21)</f>
        <v>obj_001e9#0001</v>
      </c>
      <c r="S21" s="346" t="s">
        <v>19</v>
      </c>
      <c r="T21" s="346" t="s">
        <v>20</v>
      </c>
      <c r="U21" s="346" t="s">
        <v>21</v>
      </c>
      <c r="V21" s="346" t="s">
        <v>21</v>
      </c>
      <c r="W21" s="346" t="s">
        <v>70</v>
      </c>
      <c r="X21" s="353" t="str">
        <f ca="1">_xll.qlSchedule(,K21,L21,S21,T21,U21,V21,W21)</f>
        <v>obj_001b2#0001</v>
      </c>
      <c r="Y21" s="349" t="s">
        <v>1742</v>
      </c>
      <c r="Z21" s="354" t="s">
        <v>36</v>
      </c>
      <c r="AA21" s="354" t="s">
        <v>1745</v>
      </c>
      <c r="AB21" s="353" t="str">
        <f ca="1">_xll.qlVanillaSwap(,,,R21,,Y21,X21,Z21,,AA21)</f>
        <v>obj_003a8#0001</v>
      </c>
      <c r="AC21" s="353" t="b">
        <f ca="1">_xll.qlInstrumentSetPricingEngine(AB21,_xll.qlDiscountingSwapEngine(,Curve!$S$16))</f>
        <v>1</v>
      </c>
      <c r="AD21" s="355">
        <f ca="1">_xll.qlVanillaSwapFairRate(AB21,AC21)</f>
        <v>9.8851699753378652E-4</v>
      </c>
      <c r="AE21" s="346" t="s">
        <v>1752</v>
      </c>
      <c r="AF21" s="347">
        <v>10000</v>
      </c>
      <c r="AG21" s="350" t="str">
        <f ca="1">_xll.qlVanillaSwap(,AE21,AF21,R21,AD21,Y21,X21,Z21,,AA21)</f>
        <v>obj_004e5#0000</v>
      </c>
      <c r="AH21" s="347" t="str">
        <f ca="1">_xll.qlEuropeanExercise(,J21)</f>
        <v>obj_00117#0001</v>
      </c>
      <c r="AI21" s="346" t="s">
        <v>1749</v>
      </c>
      <c r="AJ21" s="356" t="str">
        <f ca="1">_xll.qlSwaption(,AG21,AH21,AI21)</f>
        <v>obj_006fa#0001</v>
      </c>
      <c r="AK21" s="357" t="str">
        <f ca="1">_xll.qlConstantSwaptionVolatility(,,H21,I21,F21)</f>
        <v>obj_0018d#0001</v>
      </c>
      <c r="AL21" s="357" t="b">
        <f ca="1">_xll.qlInstrumentSetPricingEngine(AJ21,_xll.qlBachelierBlackSwaptionEngine(,Curve!$S$16,AK21))</f>
        <v>1</v>
      </c>
      <c r="AM21" s="358">
        <f ca="1">_xll.qlInstrumentNPV(AJ21,AL21)*2/_xll.qlYieldTSDiscount(Curve!$S$16,K21)</f>
        <v>12.119571101607438</v>
      </c>
      <c r="AN21" s="358">
        <f ca="1">_xll.qlInstrumentResults(AJ21,"annuity",AL21)</f>
        <v>20020.718530867583</v>
      </c>
      <c r="AO21" s="359">
        <f ca="1">G21/2*_xll.qlYieldTSDiscount(Curve!$S$16,K21)/AN21</f>
        <v>2.9979329320829024E-4</v>
      </c>
      <c r="AP21" s="360">
        <f ca="1">_xll.qlBachelierBlackFormulaImpliedVol("Call",AD21,AD21,_xll.qlDayCounterYearFraction("Act/365 (Fixed)",C21,J21),AO21)</f>
        <v>1.5050037536048506E-3</v>
      </c>
      <c r="AQ21" s="361">
        <f ca="1">_xll.qlBlackFormulaImpliedStdDev("Call",AD21,AD21,AO21)/SQRT(_xll.qlDayCounterYearFraction("Act/365 (Fixed)",C21,J21))</f>
        <v>1.5611250109015944</v>
      </c>
      <c r="AS21" s="363">
        <v>1.4987791497540882E-3</v>
      </c>
      <c r="AT21" s="363">
        <v>1.5050037536048506E-3</v>
      </c>
      <c r="AU21" s="365">
        <f t="shared" ca="1" si="2"/>
        <v>2.1220850245911617E-5</v>
      </c>
      <c r="AV21" s="365">
        <f t="shared" ca="1" si="3"/>
        <v>1.4996246395149269E-5</v>
      </c>
    </row>
    <row r="22" spans="2:48">
      <c r="B22" s="348" t="str">
        <f t="shared" ca="1" si="1"/>
        <v>6Mx2Y</v>
      </c>
      <c r="C22" s="345">
        <f t="shared" ca="1" si="0"/>
        <v>42254</v>
      </c>
      <c r="D22" s="346" t="s">
        <v>19</v>
      </c>
      <c r="E22" s="346" t="s">
        <v>8</v>
      </c>
      <c r="F22" s="351">
        <f ca="1">VLOOKUP(F$3&amp;$D22&amp;$E22,'Swaption Volatilities'!$V:$W,2,FALSE)%%</f>
        <v>1.97E-3</v>
      </c>
      <c r="G22" s="352">
        <f ca="1">VLOOKUP(G$3&amp;$D22&amp;$E22,'Swaption Volatilities'!$V:$W,2,FALSE)</f>
        <v>22</v>
      </c>
      <c r="H22" s="346" t="s">
        <v>20</v>
      </c>
      <c r="I22" s="346" t="s">
        <v>21</v>
      </c>
      <c r="J22" s="345">
        <f ca="1">_xll.qlCalendarAdvance(H22,C22,D22,I22)</f>
        <v>42436</v>
      </c>
      <c r="K22" s="345">
        <f ca="1">_xll.qlCalendarAdvance(H22,J22,"2d")</f>
        <v>42438</v>
      </c>
      <c r="L22" s="345">
        <f ca="1">_xll.qlCalendarAdvance(H22,K22,E22,"unadjusted")</f>
        <v>43168</v>
      </c>
      <c r="M22" s="346" t="s">
        <v>7</v>
      </c>
      <c r="N22" s="346" t="s">
        <v>20</v>
      </c>
      <c r="O22" s="346" t="s">
        <v>21</v>
      </c>
      <c r="P22" s="346" t="s">
        <v>21</v>
      </c>
      <c r="Q22" s="346" t="s">
        <v>70</v>
      </c>
      <c r="R22" s="353" t="str">
        <f ca="1">_xll.qlSchedule(,K22,L22,M22,N22,O22,P22,Q22)</f>
        <v>obj_0053b#0001</v>
      </c>
      <c r="S22" s="346" t="s">
        <v>19</v>
      </c>
      <c r="T22" s="346" t="s">
        <v>20</v>
      </c>
      <c r="U22" s="346" t="s">
        <v>21</v>
      </c>
      <c r="V22" s="346" t="s">
        <v>21</v>
      </c>
      <c r="W22" s="346" t="s">
        <v>70</v>
      </c>
      <c r="X22" s="353" t="str">
        <f ca="1">_xll.qlSchedule(,K22,L22,S22,T22,U22,V22,W22)</f>
        <v>obj_0053a#0000</v>
      </c>
      <c r="Y22" s="349" t="s">
        <v>1742</v>
      </c>
      <c r="Z22" s="354" t="s">
        <v>36</v>
      </c>
      <c r="AA22" s="354" t="s">
        <v>1745</v>
      </c>
      <c r="AB22" s="353" t="str">
        <f ca="1">_xll.qlVanillaSwap(,,,R22,,Y22,X22,Z22,,AA22)</f>
        <v>obj_005d0#0001</v>
      </c>
      <c r="AC22" s="353" t="b">
        <f ca="1">_xll.qlInstrumentSetPricingEngine(AB22,_xll.qlDiscountingSwapEngine(,Curve!$S$16))</f>
        <v>1</v>
      </c>
      <c r="AD22" s="355">
        <f ca="1">_xll.qlVanillaSwapFairRate(AB22,AC22)</f>
        <v>1.2601874334409319E-3</v>
      </c>
      <c r="AE22" s="346" t="s">
        <v>1752</v>
      </c>
      <c r="AF22" s="347">
        <v>10000</v>
      </c>
      <c r="AG22" s="350" t="str">
        <f ca="1">_xll.qlVanillaSwap(,AE22,AF22,R22,AD22,Y22,X22,Z22,,AA22)</f>
        <v>obj_00622#0000</v>
      </c>
      <c r="AH22" s="347" t="str">
        <f ca="1">_xll.qlEuropeanExercise(,J22)</f>
        <v>obj_0047c#0001</v>
      </c>
      <c r="AI22" s="346" t="s">
        <v>1749</v>
      </c>
      <c r="AJ22" s="356" t="str">
        <f ca="1">_xll.qlSwaption(,AG22,AH22,AI22)</f>
        <v>obj_006b5#0001</v>
      </c>
      <c r="AK22" s="357" t="str">
        <f ca="1">_xll.qlConstantSwaptionVolatility(,,H22,I22,F22)</f>
        <v>obj_0009b#0001</v>
      </c>
      <c r="AL22" s="357" t="b">
        <f ca="1">_xll.qlInstrumentSetPricingEngine(AJ22,_xll.qlBachelierBlackSwaptionEngine(,Curve!$S$16,AK22))</f>
        <v>1</v>
      </c>
      <c r="AM22" s="358">
        <f ca="1">_xll.qlInstrumentNPV(AJ22,AL22)*2/_xll.qlYieldTSDiscount(Curve!$S$16,K22)</f>
        <v>22.126769496027276</v>
      </c>
      <c r="AN22" s="358">
        <f ca="1">_xll.qlInstrumentResults(AJ22,"annuity",AL22)</f>
        <v>19949.552002167598</v>
      </c>
      <c r="AO22" s="359">
        <f ca="1">G22/2*_xll.qlYieldTSDiscount(Curve!$S$16,K22)/AN22</f>
        <v>5.5178542270262958E-4</v>
      </c>
      <c r="AP22" s="360">
        <f ca="1">_xll.qlBachelierBlackFormulaImpliedVol("Call",AD22,AD22,_xll.qlDayCounterYearFraction("Act/365 (Fixed)",C22,J22),AO22)</f>
        <v>1.9587134040410905E-3</v>
      </c>
      <c r="AQ22" s="361">
        <f ca="1">_xll.qlBlackFormulaImpliedStdDev("Call",AD22,AD22,AO22)/SQRT(_xll.qlDayCounterYearFraction("Act/365 (Fixed)",C22,J22))</f>
        <v>1.6417922683726029</v>
      </c>
      <c r="AS22" s="363">
        <v>1.9487250867695734E-3</v>
      </c>
      <c r="AT22" s="363">
        <v>1.9587134040410905E-3</v>
      </c>
      <c r="AU22" s="365">
        <f t="shared" ca="1" si="2"/>
        <v>2.1274913230426556E-5</v>
      </c>
      <c r="AV22" s="365">
        <f t="shared" ca="1" si="3"/>
        <v>1.12865959589095E-5</v>
      </c>
    </row>
    <row r="23" spans="2:48">
      <c r="B23" s="348" t="str">
        <f t="shared" ca="1" si="1"/>
        <v>9Mx2Y</v>
      </c>
      <c r="C23" s="345">
        <f t="shared" ca="1" si="0"/>
        <v>42254</v>
      </c>
      <c r="D23" s="346" t="s">
        <v>412</v>
      </c>
      <c r="E23" s="346" t="s">
        <v>8</v>
      </c>
      <c r="F23" s="351">
        <f ca="1">VLOOKUP(F$3&amp;$D23&amp;$E23,'Swaption Volatilities'!$V:$W,2,FALSE)%%</f>
        <v>2.4499999999999999E-3</v>
      </c>
      <c r="G23" s="352">
        <f ca="1">VLOOKUP(G$3&amp;$D23&amp;$E23,'Swaption Volatilities'!$V:$W,2,FALSE)</f>
        <v>34</v>
      </c>
      <c r="H23" s="346" t="s">
        <v>20</v>
      </c>
      <c r="I23" s="346" t="s">
        <v>21</v>
      </c>
      <c r="J23" s="345">
        <f ca="1">_xll.qlCalendarAdvance(H23,C23,D23,I23)</f>
        <v>42528</v>
      </c>
      <c r="K23" s="345">
        <f ca="1">_xll.qlCalendarAdvance(H23,J23,"2d")</f>
        <v>42530</v>
      </c>
      <c r="L23" s="345">
        <f ca="1">_xll.qlCalendarAdvance(H23,K23,E23,"unadjusted")</f>
        <v>43260</v>
      </c>
      <c r="M23" s="346" t="s">
        <v>7</v>
      </c>
      <c r="N23" s="346" t="s">
        <v>20</v>
      </c>
      <c r="O23" s="346" t="s">
        <v>21</v>
      </c>
      <c r="P23" s="346" t="s">
        <v>21</v>
      </c>
      <c r="Q23" s="346" t="s">
        <v>70</v>
      </c>
      <c r="R23" s="353" t="str">
        <f ca="1">_xll.qlSchedule(,K23,L23,M23,N23,O23,P23,Q23)</f>
        <v>obj_00482#0001</v>
      </c>
      <c r="S23" s="346" t="s">
        <v>19</v>
      </c>
      <c r="T23" s="346" t="s">
        <v>20</v>
      </c>
      <c r="U23" s="346" t="s">
        <v>21</v>
      </c>
      <c r="V23" s="346" t="s">
        <v>21</v>
      </c>
      <c r="W23" s="346" t="s">
        <v>70</v>
      </c>
      <c r="X23" s="353" t="str">
        <f ca="1">_xll.qlSchedule(,K23,L23,S23,T23,U23,V23,W23)</f>
        <v>obj_00481#0001</v>
      </c>
      <c r="Y23" s="349" t="s">
        <v>1742</v>
      </c>
      <c r="Z23" s="354" t="s">
        <v>36</v>
      </c>
      <c r="AA23" s="354" t="s">
        <v>1745</v>
      </c>
      <c r="AB23" s="353" t="str">
        <f ca="1">_xll.qlVanillaSwap(,,,R23,,Y23,X23,Z23,,AA23)</f>
        <v>obj_00543#0001</v>
      </c>
      <c r="AC23" s="353" t="b">
        <f ca="1">_xll.qlInstrumentSetPricingEngine(AB23,_xll.qlDiscountingSwapEngine(,Curve!$S$16))</f>
        <v>1</v>
      </c>
      <c r="AD23" s="355">
        <f ca="1">_xll.qlVanillaSwapFairRate(AB23,AC23)</f>
        <v>1.5985246316795529E-3</v>
      </c>
      <c r="AE23" s="346" t="s">
        <v>1752</v>
      </c>
      <c r="AF23" s="347">
        <v>10000</v>
      </c>
      <c r="AG23" s="350" t="str">
        <f ca="1">_xll.qlVanillaSwap(,AE23,AF23,R23,AD23,Y23,X23,Z23,,AA23)</f>
        <v>obj_005d5#0000</v>
      </c>
      <c r="AH23" s="347" t="str">
        <f ca="1">_xll.qlEuropeanExercise(,J23)</f>
        <v>obj_000e3#0001</v>
      </c>
      <c r="AI23" s="346" t="s">
        <v>1749</v>
      </c>
      <c r="AJ23" s="356" t="str">
        <f ca="1">_xll.qlSwaption(,AG23,AH23,AI23)</f>
        <v>obj_006c0#0001</v>
      </c>
      <c r="AK23" s="357" t="str">
        <f ca="1">_xll.qlConstantSwaptionVolatility(,,H23,I23,F23)</f>
        <v>obj_000af#0001</v>
      </c>
      <c r="AL23" s="357" t="b">
        <f ca="1">_xll.qlInstrumentSetPricingEngine(AJ23,_xll.qlBachelierBlackSwaptionEngine(,Curve!$S$16,AK23))</f>
        <v>1</v>
      </c>
      <c r="AM23" s="358">
        <f ca="1">_xll.qlInstrumentNPV(AJ23,AL23)*2/_xll.qlYieldTSDiscount(Curve!$S$16,K23)</f>
        <v>33.808006607311583</v>
      </c>
      <c r="AN23" s="358">
        <f ca="1">_xll.qlInstrumentResults(AJ23,"annuity",AL23)</f>
        <v>19983.305083797695</v>
      </c>
      <c r="AO23" s="359">
        <f ca="1">G23/2*_xll.qlYieldTSDiscount(Curve!$S$16,K23)/AN23</f>
        <v>8.5165627731080811E-4</v>
      </c>
      <c r="AP23" s="360">
        <f ca="1">_xll.qlBachelierBlackFormulaImpliedVol("Call",AD23,AD23,_xll.qlDayCounterYearFraction("Act/365 (Fixed)",C23,J23),AO23)</f>
        <v>2.4639133850021967E-3</v>
      </c>
      <c r="AQ23" s="361">
        <f ca="1">_xll.qlBlackFormulaImpliedStdDev("Call",AD23,AD23,AO23)/SQRT(_xll.qlDayCounterYearFraction("Act/365 (Fixed)",C23,J23))</f>
        <v>1.6781775331444049</v>
      </c>
      <c r="AS23" s="363">
        <v>2.4484524715103341E-3</v>
      </c>
      <c r="AT23" s="363">
        <v>2.4639133850021967E-3</v>
      </c>
      <c r="AU23" s="365">
        <f t="shared" ca="1" si="2"/>
        <v>1.5475284896658385E-6</v>
      </c>
      <c r="AV23" s="365">
        <f t="shared" ca="1" si="3"/>
        <v>-1.3913385002196736E-5</v>
      </c>
    </row>
    <row r="24" spans="2:48">
      <c r="B24" s="348" t="str">
        <f t="shared" ca="1" si="1"/>
        <v>1Yx2Y</v>
      </c>
      <c r="C24" s="345">
        <f t="shared" ca="1" si="0"/>
        <v>42254</v>
      </c>
      <c r="D24" s="346" t="s">
        <v>7</v>
      </c>
      <c r="E24" s="346" t="s">
        <v>8</v>
      </c>
      <c r="F24" s="351">
        <f ca="1">VLOOKUP(F$3&amp;$D24&amp;$E24,'Swaption Volatilities'!$V:$W,2,FALSE)%%</f>
        <v>2.9299999999999999E-3</v>
      </c>
      <c r="G24" s="352">
        <f ca="1">VLOOKUP(G$3&amp;$D24&amp;$E24,'Swaption Volatilities'!$V:$W,2,FALSE)</f>
        <v>46.5</v>
      </c>
      <c r="H24" s="346" t="s">
        <v>20</v>
      </c>
      <c r="I24" s="346" t="s">
        <v>21</v>
      </c>
      <c r="J24" s="345">
        <f ca="1">_xll.qlCalendarAdvance(H24,C24,D24,I24)</f>
        <v>42620</v>
      </c>
      <c r="K24" s="345">
        <f ca="1">_xll.qlCalendarAdvance(H24,J24,"2d")</f>
        <v>42622</v>
      </c>
      <c r="L24" s="345">
        <f ca="1">_xll.qlCalendarAdvance(H24,K24,E24,"unadjusted")</f>
        <v>43352</v>
      </c>
      <c r="M24" s="346" t="s">
        <v>7</v>
      </c>
      <c r="N24" s="346" t="s">
        <v>20</v>
      </c>
      <c r="O24" s="346" t="s">
        <v>21</v>
      </c>
      <c r="P24" s="346" t="s">
        <v>21</v>
      </c>
      <c r="Q24" s="346" t="s">
        <v>70</v>
      </c>
      <c r="R24" s="353" t="str">
        <f ca="1">_xll.qlSchedule(,K24,L24,M24,N24,O24,P24,Q24)</f>
        <v>obj_00529#0001</v>
      </c>
      <c r="S24" s="346" t="s">
        <v>19</v>
      </c>
      <c r="T24" s="346" t="s">
        <v>20</v>
      </c>
      <c r="U24" s="346" t="s">
        <v>21</v>
      </c>
      <c r="V24" s="346" t="s">
        <v>21</v>
      </c>
      <c r="W24" s="346" t="s">
        <v>70</v>
      </c>
      <c r="X24" s="353" t="str">
        <f ca="1">_xll.qlSchedule(,K24,L24,S24,T24,U24,V24,W24)</f>
        <v>obj_00528#0001</v>
      </c>
      <c r="Y24" s="349" t="s">
        <v>1742</v>
      </c>
      <c r="Z24" s="354" t="s">
        <v>36</v>
      </c>
      <c r="AA24" s="354" t="s">
        <v>1745</v>
      </c>
      <c r="AB24" s="353" t="str">
        <f ca="1">_xll.qlVanillaSwap(,,,R24,,Y24,X24,Z24,,AA24)</f>
        <v>obj_005c1#0001</v>
      </c>
      <c r="AC24" s="353" t="b">
        <f ca="1">_xll.qlInstrumentSetPricingEngine(AB24,_xll.qlDiscountingSwapEngine(,Curve!$S$16))</f>
        <v>1</v>
      </c>
      <c r="AD24" s="355">
        <f ca="1">_xll.qlVanillaSwapFairRate(AB24,AC24)</f>
        <v>2.0102231907898342E-3</v>
      </c>
      <c r="AE24" s="346" t="s">
        <v>1752</v>
      </c>
      <c r="AF24" s="347">
        <v>10000</v>
      </c>
      <c r="AG24" s="350" t="str">
        <f ca="1">_xll.qlVanillaSwap(,AE24,AF24,R24,AD24,Y24,X24,Z24,,AA24)</f>
        <v>obj_0061d#0000</v>
      </c>
      <c r="AH24" s="347" t="str">
        <f ca="1">_xll.qlEuropeanExercise(,J24)</f>
        <v>obj_0046c#0001</v>
      </c>
      <c r="AI24" s="346" t="s">
        <v>1749</v>
      </c>
      <c r="AJ24" s="356" t="str">
        <f ca="1">_xll.qlSwaption(,AG24,AH24,AI24)</f>
        <v>obj_006b6#0001</v>
      </c>
      <c r="AK24" s="357" t="str">
        <f ca="1">_xll.qlConstantSwaptionVolatility(,,H24,I24,F24)</f>
        <v>obj_00111#0001</v>
      </c>
      <c r="AL24" s="357" t="b">
        <f ca="1">_xll.qlInstrumentSetPricingEngine(AJ24,_xll.qlBachelierBlackSwaptionEngine(,Curve!$S$16,AK24))</f>
        <v>1</v>
      </c>
      <c r="AM24" s="358">
        <f ca="1">_xll.qlInstrumentNPV(AJ24,AL24)*2/_xll.qlYieldTSDiscount(Curve!$S$16,K24)</f>
        <v>46.57904391732778</v>
      </c>
      <c r="AN24" s="358">
        <f ca="1">_xll.qlInstrumentResults(AJ24,"annuity",AL24)</f>
        <v>19927.18398139959</v>
      </c>
      <c r="AO24" s="359">
        <f ca="1">G24/2*_xll.qlYieldTSDiscount(Curve!$S$16,K24)/AN24</f>
        <v>1.1685146982911394E-3</v>
      </c>
      <c r="AP24" s="360">
        <f ca="1">_xll.qlBachelierBlackFormulaImpliedVol("Call",AD24,AD24,_xll.qlDayCounterYearFraction("Act/365 (Fixed)",C24,J24),AO24)</f>
        <v>2.9250278353032282E-3</v>
      </c>
      <c r="AQ24" s="361">
        <f ca="1">_xll.qlBlackFormulaImpliedStdDev("Call",AD24,AD24,AO24)/SQRT(_xll.qlDayCounterYearFraction("Act/365 (Fixed)",C24,J24))</f>
        <v>1.6150979003097394</v>
      </c>
      <c r="AS24" s="363">
        <v>2.9025629567313131E-3</v>
      </c>
      <c r="AT24" s="363">
        <v>2.9250278353032282E-3</v>
      </c>
      <c r="AU24" s="365">
        <f t="shared" ca="1" si="2"/>
        <v>2.7437043268686758E-5</v>
      </c>
      <c r="AV24" s="365">
        <f t="shared" ca="1" si="3"/>
        <v>4.9721646967716346E-6</v>
      </c>
    </row>
    <row r="25" spans="2:48">
      <c r="B25" s="348" t="str">
        <f t="shared" ca="1" si="1"/>
        <v>18Mx2Y</v>
      </c>
      <c r="C25" s="345">
        <f t="shared" ca="1" si="0"/>
        <v>42254</v>
      </c>
      <c r="D25" s="346" t="s">
        <v>154</v>
      </c>
      <c r="E25" s="346" t="s">
        <v>8</v>
      </c>
      <c r="F25" s="362">
        <f ca="1">(F24+F26)/2</f>
        <v>3.7099999999999998E-3</v>
      </c>
      <c r="G25" s="352">
        <f ca="1">VLOOKUP(G$3&amp;$D25&amp;$E25,'Swaption Volatilities'!$V:$W,2,FALSE)</f>
        <v>73</v>
      </c>
      <c r="H25" s="346" t="s">
        <v>20</v>
      </c>
      <c r="I25" s="346" t="s">
        <v>21</v>
      </c>
      <c r="J25" s="345">
        <f ca="1">_xll.qlCalendarAdvance(H25,C25,D25,I25)</f>
        <v>42801</v>
      </c>
      <c r="K25" s="345">
        <f ca="1">_xll.qlCalendarAdvance(H25,J25,"2d")</f>
        <v>42803</v>
      </c>
      <c r="L25" s="345">
        <f ca="1">_xll.qlCalendarAdvance(H25,K25,E25,"unadjusted")</f>
        <v>43533</v>
      </c>
      <c r="M25" s="346" t="s">
        <v>7</v>
      </c>
      <c r="N25" s="346" t="s">
        <v>20</v>
      </c>
      <c r="O25" s="346" t="s">
        <v>21</v>
      </c>
      <c r="P25" s="346" t="s">
        <v>21</v>
      </c>
      <c r="Q25" s="346" t="s">
        <v>70</v>
      </c>
      <c r="R25" s="353" t="str">
        <f ca="1">_xll.qlSchedule(,K25,L25,M25,N25,O25,P25,Q25)</f>
        <v>obj_0048b#0000</v>
      </c>
      <c r="S25" s="346" t="s">
        <v>19</v>
      </c>
      <c r="T25" s="346" t="s">
        <v>20</v>
      </c>
      <c r="U25" s="346" t="s">
        <v>21</v>
      </c>
      <c r="V25" s="346" t="s">
        <v>21</v>
      </c>
      <c r="W25" s="346" t="s">
        <v>70</v>
      </c>
      <c r="X25" s="353" t="str">
        <f ca="1">_xll.qlSchedule(,K25,L25,S25,T25,U25,V25,W25)</f>
        <v>obj_0048c#0001</v>
      </c>
      <c r="Y25" s="349" t="s">
        <v>1742</v>
      </c>
      <c r="Z25" s="354" t="s">
        <v>36</v>
      </c>
      <c r="AA25" s="354" t="s">
        <v>1745</v>
      </c>
      <c r="AB25" s="353" t="str">
        <f ca="1">_xll.qlVanillaSwap(,,,R25,,Y25,X25,Z25,,AA25)</f>
        <v>obj_00551#0001</v>
      </c>
      <c r="AC25" s="353" t="b">
        <f ca="1">_xll.qlInstrumentSetPricingEngine(AB25,_xll.qlDiscountingSwapEngine(,Curve!$S$16))</f>
        <v>1</v>
      </c>
      <c r="AD25" s="355">
        <f ca="1">_xll.qlVanillaSwapFairRate(AB25,AC25)</f>
        <v>3.0147231150283575E-3</v>
      </c>
      <c r="AE25" s="346" t="s">
        <v>1752</v>
      </c>
      <c r="AF25" s="347">
        <v>10000</v>
      </c>
      <c r="AG25" s="350" t="str">
        <f ca="1">_xll.qlVanillaSwap(,AE25,AF25,R25,AD25,Y25,X25,Z25,,AA25)</f>
        <v>obj_005dd#0000</v>
      </c>
      <c r="AH25" s="347" t="str">
        <f ca="1">_xll.qlEuropeanExercise(,J25)</f>
        <v>obj_00274#0001</v>
      </c>
      <c r="AI25" s="346" t="s">
        <v>1749</v>
      </c>
      <c r="AJ25" s="356" t="str">
        <f ca="1">_xll.qlSwaption(,AG25,AH25,AI25)</f>
        <v>obj_006bf#0001</v>
      </c>
      <c r="AK25" s="357" t="str">
        <f ca="1">_xll.qlConstantSwaptionVolatility(,,H25,I25,F25)</f>
        <v>obj_006af#0001</v>
      </c>
      <c r="AL25" s="357" t="b">
        <f ca="1">_xll.qlInstrumentSetPricingEngine(AJ25,_xll.qlBachelierBlackSwaptionEngine(,Curve!$S$16,AK25))</f>
        <v>1</v>
      </c>
      <c r="AM25" s="358" t="e">
        <f ca="1">_xll.qlInstrumentNPV(AJ25,AL25)*2/_xll.qlYieldTSDiscount(Curve!$S$16,K25)</f>
        <v>#NUM!</v>
      </c>
      <c r="AN25" s="358" t="e">
        <f ca="1">_xll.qlInstrumentResults(AJ25,"annuity",AL25)</f>
        <v>#NUM!</v>
      </c>
      <c r="AO25" s="359" t="e">
        <f ca="1">G25/2*_xll.qlYieldTSDiscount(Curve!$S$16,K25)/AN25</f>
        <v>#NUM!</v>
      </c>
      <c r="AP25" s="360" t="e">
        <f ca="1">_xll.qlBachelierBlackFormulaImpliedVol("Call",AD25,AD25,_xll.qlDayCounterYearFraction("Act/365 (Fixed)",C25,J25),AO25)</f>
        <v>#NUM!</v>
      </c>
      <c r="AQ25" s="361" t="e">
        <f ca="1">_xll.qlBlackFormulaImpliedStdDev("Call",AD25,AD25,AO25)/SQRT(_xll.qlDayCounterYearFraction("Act/365 (Fixed)",C25,J25))</f>
        <v>#VALUE!</v>
      </c>
      <c r="AS25" s="363">
        <v>3.7264673673195184E-3</v>
      </c>
      <c r="AT25" s="363">
        <v>3.7688497941043074E-3</v>
      </c>
      <c r="AU25" s="365">
        <f t="shared" ca="1" si="2"/>
        <v>-1.6467367319518596E-5</v>
      </c>
      <c r="AV25" s="365">
        <f t="shared" ca="1" si="3"/>
        <v>-5.8849794104307625E-5</v>
      </c>
    </row>
    <row r="26" spans="2:48">
      <c r="B26" s="348" t="str">
        <f t="shared" ca="1" si="1"/>
        <v>2Yx2Y</v>
      </c>
      <c r="C26" s="345">
        <f t="shared" ca="1" si="0"/>
        <v>42254</v>
      </c>
      <c r="D26" s="346" t="s">
        <v>8</v>
      </c>
      <c r="E26" s="346" t="s">
        <v>8</v>
      </c>
      <c r="F26" s="351">
        <f ca="1">VLOOKUP(F$3&amp;$D26&amp;$E26,'Swaption Volatilities'!$V:$W,2,FALSE)%%</f>
        <v>4.4900000000000001E-3</v>
      </c>
      <c r="G26" s="352">
        <f ca="1">VLOOKUP(G$3&amp;$D26&amp;$E26,'Swaption Volatilities'!$V:$W,2,FALSE)</f>
        <v>101</v>
      </c>
      <c r="H26" s="346" t="s">
        <v>20</v>
      </c>
      <c r="I26" s="346" t="s">
        <v>21</v>
      </c>
      <c r="J26" s="345">
        <f ca="1">_xll.qlCalendarAdvance(H26,C26,D26,I26)</f>
        <v>42985</v>
      </c>
      <c r="K26" s="345">
        <f ca="1">_xll.qlCalendarAdvance(H26,J26,"2d")</f>
        <v>42989</v>
      </c>
      <c r="L26" s="345">
        <f ca="1">_xll.qlCalendarAdvance(H26,K26,E26,"unadjusted")</f>
        <v>43719</v>
      </c>
      <c r="M26" s="346" t="s">
        <v>7</v>
      </c>
      <c r="N26" s="346" t="s">
        <v>20</v>
      </c>
      <c r="O26" s="346" t="s">
        <v>21</v>
      </c>
      <c r="P26" s="346" t="s">
        <v>21</v>
      </c>
      <c r="Q26" s="346" t="s">
        <v>70</v>
      </c>
      <c r="R26" s="353" t="str">
        <f ca="1">_xll.qlSchedule(,K26,L26,M26,N26,O26,P26,Q26)</f>
        <v>obj_005e4#0001</v>
      </c>
      <c r="S26" s="346" t="s">
        <v>19</v>
      </c>
      <c r="T26" s="346" t="s">
        <v>20</v>
      </c>
      <c r="U26" s="346" t="s">
        <v>21</v>
      </c>
      <c r="V26" s="346" t="s">
        <v>21</v>
      </c>
      <c r="W26" s="346" t="s">
        <v>70</v>
      </c>
      <c r="X26" s="353" t="str">
        <f ca="1">_xll.qlSchedule(,K26,L26,S26,T26,U26,V26,W26)</f>
        <v>obj_005e3#0001</v>
      </c>
      <c r="Y26" s="349" t="s">
        <v>1742</v>
      </c>
      <c r="Z26" s="354" t="s">
        <v>36</v>
      </c>
      <c r="AA26" s="354" t="s">
        <v>1745</v>
      </c>
      <c r="AB26" s="353" t="str">
        <f ca="1">_xll.qlVanillaSwap(,,,R26,,Y26,X26,Z26,,AA26)</f>
        <v>obj_00626#0001</v>
      </c>
      <c r="AC26" s="353" t="b">
        <f ca="1">_xll.qlInstrumentSetPricingEngine(AB26,_xll.qlDiscountingSwapEngine(,Curve!$S$16))</f>
        <v>1</v>
      </c>
      <c r="AD26" s="355">
        <f ca="1">_xll.qlVanillaSwapFairRate(AB26,AC26)</f>
        <v>4.2181970182825742E-3</v>
      </c>
      <c r="AE26" s="346" t="s">
        <v>1752</v>
      </c>
      <c r="AF26" s="347">
        <v>10000</v>
      </c>
      <c r="AG26" s="350" t="str">
        <f ca="1">_xll.qlVanillaSwap(,AE26,AF26,R26,AD26,Y26,X26,Z26,,AA26)</f>
        <v>obj_00639#0000</v>
      </c>
      <c r="AH26" s="347" t="str">
        <f ca="1">_xll.qlEuropeanExercise(,J26)</f>
        <v>obj_0049b#0001</v>
      </c>
      <c r="AI26" s="346" t="s">
        <v>1749</v>
      </c>
      <c r="AJ26" s="356" t="str">
        <f ca="1">_xll.qlSwaption(,AG26,AH26,AI26)</f>
        <v>obj_0063f#0001</v>
      </c>
      <c r="AK26" s="357" t="str">
        <f ca="1">_xll.qlConstantSwaptionVolatility(,,H26,I26,F26)</f>
        <v>obj_00333#0001</v>
      </c>
      <c r="AL26" s="357" t="b">
        <f ca="1">_xll.qlInstrumentSetPricingEngine(AJ26,_xll.qlBachelierBlackSwaptionEngine(,Curve!$S$16,AK26))</f>
        <v>1</v>
      </c>
      <c r="AM26" s="358">
        <f ca="1">_xll.qlInstrumentNPV(AJ26,AL26)*2/_xll.qlYieldTSDiscount(Curve!$S$16,K26)</f>
        <v>99.633248787749011</v>
      </c>
      <c r="AN26" s="358">
        <f ca="1">_xll.qlInstrumentResults(AJ26,"annuity",AL26)</f>
        <v>19706.629053072385</v>
      </c>
      <c r="AO26" s="359">
        <f ca="1">G26/2*_xll.qlYieldTSDiscount(Curve!$S$16,K26)/AN26</f>
        <v>2.569719647601082E-3</v>
      </c>
      <c r="AP26" s="360">
        <f ca="1">_xll.qlBachelierBlackFormulaImpliedVol("Call",AD26,AD26,_xll.qlDayCounterYearFraction("Act/365 (Fixed)",C26,J26),AO26)</f>
        <v>4.5515930225870117E-3</v>
      </c>
      <c r="AQ26" s="361">
        <f ca="1">_xll.qlBlackFormulaImpliedStdDev("Call",AD26,AD26,AO26)/SQRT(_xll.qlDayCounterYearFraction("Act/365 (Fixed)",C26,J26))</f>
        <v>1.2127980358273802</v>
      </c>
      <c r="AS26" s="363">
        <v>4.4792878194761937E-3</v>
      </c>
      <c r="AT26" s="363">
        <v>4.5515930225870117E-3</v>
      </c>
      <c r="AU26" s="365">
        <f t="shared" ca="1" si="2"/>
        <v>1.0712180523806368E-5</v>
      </c>
      <c r="AV26" s="365">
        <f t="shared" ca="1" si="3"/>
        <v>-6.1593022587011666E-5</v>
      </c>
    </row>
    <row r="27" spans="2:48">
      <c r="B27" s="348" t="str">
        <f t="shared" ca="1" si="1"/>
        <v>3Yx2Y</v>
      </c>
      <c r="C27" s="345">
        <f t="shared" ca="1" si="0"/>
        <v>42254</v>
      </c>
      <c r="D27" s="346" t="s">
        <v>9</v>
      </c>
      <c r="E27" s="346" t="s">
        <v>8</v>
      </c>
      <c r="F27" s="351">
        <f ca="1">VLOOKUP(F$3&amp;$D27&amp;$E27,'Swaption Volatilities'!$V:$W,2,FALSE)%%</f>
        <v>5.7499999999999999E-3</v>
      </c>
      <c r="G27" s="352">
        <f ca="1">VLOOKUP(G$3&amp;$D27&amp;$E27,'Swaption Volatilities'!$V:$W,2,FALSE)</f>
        <v>157</v>
      </c>
      <c r="H27" s="346" t="s">
        <v>20</v>
      </c>
      <c r="I27" s="346" t="s">
        <v>21</v>
      </c>
      <c r="J27" s="345">
        <f ca="1">_xll.qlCalendarAdvance(H27,C27,D27,I27)</f>
        <v>43350</v>
      </c>
      <c r="K27" s="345">
        <f ca="1">_xll.qlCalendarAdvance(H27,J27,"2d")</f>
        <v>43354</v>
      </c>
      <c r="L27" s="345">
        <f ca="1">_xll.qlCalendarAdvance(H27,K27,E27,"unadjusted")</f>
        <v>44085</v>
      </c>
      <c r="M27" s="346" t="s">
        <v>7</v>
      </c>
      <c r="N27" s="346" t="s">
        <v>20</v>
      </c>
      <c r="O27" s="346" t="s">
        <v>21</v>
      </c>
      <c r="P27" s="346" t="s">
        <v>21</v>
      </c>
      <c r="Q27" s="346" t="s">
        <v>70</v>
      </c>
      <c r="R27" s="353" t="str">
        <f ca="1">_xll.qlSchedule(,K27,L27,M27,N27,O27,P27,Q27)</f>
        <v>obj_001af#0001</v>
      </c>
      <c r="S27" s="346" t="s">
        <v>19</v>
      </c>
      <c r="T27" s="346" t="s">
        <v>20</v>
      </c>
      <c r="U27" s="346" t="s">
        <v>21</v>
      </c>
      <c r="V27" s="346" t="s">
        <v>21</v>
      </c>
      <c r="W27" s="346" t="s">
        <v>70</v>
      </c>
      <c r="X27" s="353" t="str">
        <f ca="1">_xll.qlSchedule(,K27,L27,S27,T27,U27,V27,W27)</f>
        <v>obj_003d8#0001</v>
      </c>
      <c r="Y27" s="349" t="s">
        <v>1742</v>
      </c>
      <c r="Z27" s="354" t="s">
        <v>36</v>
      </c>
      <c r="AA27" s="354" t="s">
        <v>1745</v>
      </c>
      <c r="AB27" s="353" t="str">
        <f ca="1">_xll.qlVanillaSwap(,,,R27,,Y27,X27,Z27,,AA27)</f>
        <v>obj_003d9#0000</v>
      </c>
      <c r="AC27" s="353" t="b">
        <f ca="1">_xll.qlInstrumentSetPricingEngine(AB27,_xll.qlDiscountingSwapEngine(,Curve!$S$16))</f>
        <v>1</v>
      </c>
      <c r="AD27" s="355">
        <f ca="1">_xll.qlVanillaSwapFairRate(AB27,AC27)</f>
        <v>6.9412078018973285E-3</v>
      </c>
      <c r="AE27" s="346" t="s">
        <v>1752</v>
      </c>
      <c r="AF27" s="347">
        <v>10000</v>
      </c>
      <c r="AG27" s="350" t="str">
        <f ca="1">_xll.qlVanillaSwap(,AE27,AF27,R27,AD27,Y27,X27,Z27,,AA27)</f>
        <v>obj_003ee#0000</v>
      </c>
      <c r="AH27" s="347" t="str">
        <f ca="1">_xll.qlEuropeanExercise(,J27)</f>
        <v>obj_0019e#0001</v>
      </c>
      <c r="AI27" s="346" t="s">
        <v>1749</v>
      </c>
      <c r="AJ27" s="356" t="str">
        <f ca="1">_xll.qlSwaption(,AG27,AH27,AI27)</f>
        <v>obj_006a2#0001</v>
      </c>
      <c r="AK27" s="357" t="str">
        <f ca="1">_xll.qlConstantSwaptionVolatility(,,H27,I27,F27)</f>
        <v>obj_002cd#0001</v>
      </c>
      <c r="AL27" s="357" t="b">
        <f ca="1">_xll.qlInstrumentSetPricingEngine(AJ27,_xll.qlBachelierBlackSwaptionEngine(,Curve!$S$16,AK27))</f>
        <v>1</v>
      </c>
      <c r="AM27" s="358">
        <f ca="1">_xll.qlInstrumentNPV(AJ27,AL27)*2/_xll.qlYieldTSDiscount(Curve!$S$16,K27)</f>
        <v>153.7209627287084</v>
      </c>
      <c r="AN27" s="358">
        <f ca="1">_xll.qlInstrumentResults(AJ27,"annuity",AL27)</f>
        <v>19385.664858696262</v>
      </c>
      <c r="AO27" s="359">
        <f ca="1">G27/2*_xll.qlYieldTSDiscount(Curve!$S$16,K27)/AN27</f>
        <v>4.0597875934727697E-3</v>
      </c>
      <c r="AP27" s="360">
        <f ca="1">_xll.qlBachelierBlackFormulaImpliedVol("Call",AD27,AD27,_xll.qlDayCounterYearFraction("Act/365 (Fixed)",C27,J27),AO27)</f>
        <v>5.8726538266170008E-3</v>
      </c>
      <c r="AQ27" s="361">
        <f ca="1">_xll.qlBlackFormulaImpliedStdDev("Call",AD27,AD27,AO27)/SQRT(_xll.qlDayCounterYearFraction("Act/365 (Fixed)",C27,J27))</f>
        <v>0.9405594184231002</v>
      </c>
      <c r="AS27" s="363">
        <v>5.7084214982653031E-3</v>
      </c>
      <c r="AT27" s="363">
        <v>5.8726538266170008E-3</v>
      </c>
      <c r="AU27" s="365">
        <f t="shared" ca="1" si="2"/>
        <v>4.1578501734696773E-5</v>
      </c>
      <c r="AV27" s="365">
        <f t="shared" ca="1" si="3"/>
        <v>-1.2265382661700089E-4</v>
      </c>
    </row>
    <row r="28" spans="2:48">
      <c r="B28" s="348" t="str">
        <f t="shared" ca="1" si="1"/>
        <v>4Yx2Y</v>
      </c>
      <c r="C28" s="345">
        <f t="shared" ca="1" si="0"/>
        <v>42254</v>
      </c>
      <c r="D28" s="346" t="s">
        <v>10</v>
      </c>
      <c r="E28" s="346" t="s">
        <v>8</v>
      </c>
      <c r="F28" s="351">
        <f ca="1">VLOOKUP(F$3&amp;$D28&amp;$E28,'Swaption Volatilities'!$V:$W,2,FALSE)%%</f>
        <v>6.5400000000000007E-3</v>
      </c>
      <c r="G28" s="352">
        <f ca="1">VLOOKUP(G$3&amp;$D28&amp;$E28,'Swaption Volatilities'!$V:$W,2,FALSE)</f>
        <v>206</v>
      </c>
      <c r="H28" s="346" t="s">
        <v>20</v>
      </c>
      <c r="I28" s="346" t="s">
        <v>21</v>
      </c>
      <c r="J28" s="345">
        <f ca="1">_xll.qlCalendarAdvance(H28,C28,D28,I28)</f>
        <v>43717</v>
      </c>
      <c r="K28" s="345">
        <f ca="1">_xll.qlCalendarAdvance(H28,J28,"2d")</f>
        <v>43719</v>
      </c>
      <c r="L28" s="345">
        <f ca="1">_xll.qlCalendarAdvance(H28,K28,E28,"unadjusted")</f>
        <v>44450</v>
      </c>
      <c r="M28" s="346" t="s">
        <v>7</v>
      </c>
      <c r="N28" s="346" t="s">
        <v>20</v>
      </c>
      <c r="O28" s="346" t="s">
        <v>21</v>
      </c>
      <c r="P28" s="346" t="s">
        <v>21</v>
      </c>
      <c r="Q28" s="346" t="s">
        <v>70</v>
      </c>
      <c r="R28" s="353" t="str">
        <f ca="1">_xll.qlSchedule(,K28,L28,M28,N28,O28,P28,Q28)</f>
        <v>obj_001e7#0001</v>
      </c>
      <c r="S28" s="346" t="s">
        <v>19</v>
      </c>
      <c r="T28" s="346" t="s">
        <v>20</v>
      </c>
      <c r="U28" s="346" t="s">
        <v>21</v>
      </c>
      <c r="V28" s="346" t="s">
        <v>21</v>
      </c>
      <c r="W28" s="346" t="s">
        <v>70</v>
      </c>
      <c r="X28" s="353" t="str">
        <f ca="1">_xll.qlSchedule(,K28,L28,S28,T28,U28,V28,W28)</f>
        <v>obj_0027e#0001</v>
      </c>
      <c r="Y28" s="349" t="s">
        <v>1742</v>
      </c>
      <c r="Z28" s="354" t="s">
        <v>36</v>
      </c>
      <c r="AA28" s="354" t="s">
        <v>1745</v>
      </c>
      <c r="AB28" s="353" t="str">
        <f ca="1">_xll.qlVanillaSwap(,,,R28,,Y28,X28,Z28,,AA28)</f>
        <v>obj_002ed#0001</v>
      </c>
      <c r="AC28" s="353" t="b">
        <f ca="1">_xll.qlInstrumentSetPricingEngine(AB28,_xll.qlDiscountingSwapEngine(,Curve!$S$16))</f>
        <v>1</v>
      </c>
      <c r="AD28" s="355">
        <f ca="1">_xll.qlVanillaSwapFairRate(AB28,AC28)</f>
        <v>1.0014835418351515E-2</v>
      </c>
      <c r="AE28" s="346" t="s">
        <v>1752</v>
      </c>
      <c r="AF28" s="347">
        <v>10000</v>
      </c>
      <c r="AG28" s="350" t="str">
        <f ca="1">_xll.qlVanillaSwap(,AE28,AF28,R28,AD28,Y28,X28,Z28,,AA28)</f>
        <v>obj_003ad#0000</v>
      </c>
      <c r="AH28" s="347" t="str">
        <f ca="1">_xll.qlEuropeanExercise(,J28)</f>
        <v>obj_002d6#0001</v>
      </c>
      <c r="AI28" s="346" t="s">
        <v>1749</v>
      </c>
      <c r="AJ28" s="356" t="str">
        <f ca="1">_xll.qlSwaption(,AG28,AH28,AI28)</f>
        <v>obj_0066c#0001</v>
      </c>
      <c r="AK28" s="357" t="str">
        <f ca="1">_xll.qlConstantSwaptionVolatility(,,H28,I28,F28)</f>
        <v>obj_001cb#0001</v>
      </c>
      <c r="AL28" s="357" t="b">
        <f ca="1">_xll.qlInstrumentSetPricingEngine(AJ28,_xll.qlBachelierBlackSwaptionEngine(,Curve!$S$16,AK28))</f>
        <v>1</v>
      </c>
      <c r="AM28" s="358">
        <f ca="1">_xll.qlInstrumentNPV(AJ28,AL28)*2/_xll.qlYieldTSDiscount(Curve!$S$16,K28)</f>
        <v>198.33823187880239</v>
      </c>
      <c r="AN28" s="358">
        <f ca="1">_xll.qlInstrumentResults(AJ28,"annuity",AL28)</f>
        <v>18983.285162474269</v>
      </c>
      <c r="AO28" s="359">
        <f ca="1">G28/2*_xll.qlYieldTSDiscount(Curve!$S$16,K28)/AN28</f>
        <v>5.4253071191646789E-3</v>
      </c>
      <c r="AP28" s="360">
        <f ca="1">_xll.qlBachelierBlackFormulaImpliedVol("Call",AD28,AD28,_xll.qlDayCounterYearFraction("Act/365 (Fixed)",C28,J28),AO28)</f>
        <v>6.7926389543657905E-3</v>
      </c>
      <c r="AQ28" s="361">
        <f ca="1">_xll.qlBlackFormulaImpliedStdDev("Call",AD28,AD28,AO28)/SQRT(_xll.qlDayCounterYearFraction("Act/365 (Fixed)",C28,J28))</f>
        <v>0.7409328169010192</v>
      </c>
      <c r="AS28" s="363">
        <v>6.4949345255159536E-3</v>
      </c>
      <c r="AT28" s="363">
        <v>6.7926389543657905E-3</v>
      </c>
      <c r="AU28" s="365">
        <f t="shared" ca="1" si="2"/>
        <v>4.5065474484047054E-5</v>
      </c>
      <c r="AV28" s="365">
        <f t="shared" ca="1" si="3"/>
        <v>-2.5263895436578986E-4</v>
      </c>
    </row>
    <row r="29" spans="2:48">
      <c r="B29" s="348" t="str">
        <f t="shared" ca="1" si="1"/>
        <v>5Yx2Y</v>
      </c>
      <c r="C29" s="345">
        <f t="shared" ca="1" si="0"/>
        <v>42254</v>
      </c>
      <c r="D29" s="346" t="s">
        <v>11</v>
      </c>
      <c r="E29" s="346" t="s">
        <v>8</v>
      </c>
      <c r="F29" s="351">
        <f ca="1">VLOOKUP(F$3&amp;$D29&amp;$E29,'Swaption Volatilities'!$V:$W,2,FALSE)%%</f>
        <v>6.9999999999999993E-3</v>
      </c>
      <c r="G29" s="352">
        <f ca="1">VLOOKUP(G$3&amp;$D29&amp;$E29,'Swaption Volatilities'!$V:$W,2,FALSE)</f>
        <v>245</v>
      </c>
      <c r="H29" s="346" t="s">
        <v>20</v>
      </c>
      <c r="I29" s="346" t="s">
        <v>21</v>
      </c>
      <c r="J29" s="345">
        <f ca="1">_xll.qlCalendarAdvance(H29,C29,D29,I29)</f>
        <v>44081</v>
      </c>
      <c r="K29" s="345">
        <f ca="1">_xll.qlCalendarAdvance(H29,J29,"2d")</f>
        <v>44083</v>
      </c>
      <c r="L29" s="345">
        <f ca="1">_xll.qlCalendarAdvance(H29,K29,E29,"unadjusted")</f>
        <v>44813</v>
      </c>
      <c r="M29" s="346" t="s">
        <v>7</v>
      </c>
      <c r="N29" s="346" t="s">
        <v>20</v>
      </c>
      <c r="O29" s="346" t="s">
        <v>21</v>
      </c>
      <c r="P29" s="346" t="s">
        <v>21</v>
      </c>
      <c r="Q29" s="346" t="s">
        <v>70</v>
      </c>
      <c r="R29" s="353" t="str">
        <f ca="1">_xll.qlSchedule(,K29,L29,M29,N29,O29,P29,Q29)</f>
        <v>obj_00550#0001</v>
      </c>
      <c r="S29" s="346" t="s">
        <v>19</v>
      </c>
      <c r="T29" s="346" t="s">
        <v>20</v>
      </c>
      <c r="U29" s="346" t="s">
        <v>21</v>
      </c>
      <c r="V29" s="346" t="s">
        <v>21</v>
      </c>
      <c r="W29" s="346" t="s">
        <v>70</v>
      </c>
      <c r="X29" s="353" t="str">
        <f ca="1">_xll.qlSchedule(,K29,L29,S29,T29,U29,V29,W29)</f>
        <v>obj_0054f#0001</v>
      </c>
      <c r="Y29" s="349" t="s">
        <v>1742</v>
      </c>
      <c r="Z29" s="354" t="s">
        <v>36</v>
      </c>
      <c r="AA29" s="354" t="s">
        <v>1745</v>
      </c>
      <c r="AB29" s="353" t="str">
        <f ca="1">_xll.qlVanillaSwap(,,,R29,,Y29,X29,Z29,,AA29)</f>
        <v>obj_005dc#0001</v>
      </c>
      <c r="AC29" s="353" t="b">
        <f ca="1">_xll.qlInstrumentSetPricingEngine(AB29,_xll.qlDiscountingSwapEngine(,Curve!$S$16))</f>
        <v>1</v>
      </c>
      <c r="AD29" s="355">
        <f ca="1">_xll.qlVanillaSwapFairRate(AB29,AC29)</f>
        <v>1.3171482058451971E-2</v>
      </c>
      <c r="AE29" s="346" t="s">
        <v>1752</v>
      </c>
      <c r="AF29" s="347">
        <v>10000</v>
      </c>
      <c r="AG29" s="350" t="str">
        <f ca="1">_xll.qlVanillaSwap(,AE29,AF29,R29,AD29,Y29,X29,Z29,,AA29)</f>
        <v>obj_00625#0000</v>
      </c>
      <c r="AH29" s="347" t="str">
        <f ca="1">_xll.qlEuropeanExercise(,J29)</f>
        <v>obj_0048a#0001</v>
      </c>
      <c r="AI29" s="346" t="s">
        <v>1749</v>
      </c>
      <c r="AJ29" s="356" t="str">
        <f ca="1">_xll.qlSwaption(,AG29,AH29,AI29)</f>
        <v>obj_006e5#0001</v>
      </c>
      <c r="AK29" s="357" t="str">
        <f ca="1">_xll.qlConstantSwaptionVolatility(,,H29,I29,F29)</f>
        <v>obj_00105#0001</v>
      </c>
      <c r="AL29" s="357" t="b">
        <f ca="1">_xll.qlInstrumentSetPricingEngine(AJ29,_xll.qlBachelierBlackSwaptionEngine(,Curve!$S$16,AK29))</f>
        <v>1</v>
      </c>
      <c r="AM29" s="358">
        <f ca="1">_xll.qlInstrumentNPV(AJ29,AL29)*2/_xll.qlYieldTSDiscount(Curve!$S$16,K29)</f>
        <v>230.80006150625783</v>
      </c>
      <c r="AN29" s="358">
        <f ca="1">_xll.qlInstrumentResults(AJ29,"annuity",AL29)</f>
        <v>18368.280291135052</v>
      </c>
      <c r="AO29" s="359">
        <f ca="1">G29/2*_xll.qlYieldTSDiscount(Curve!$S$16,K29)/AN29</f>
        <v>6.6322534058325094E-3</v>
      </c>
      <c r="AP29" s="360">
        <f ca="1">_xll.qlBachelierBlackFormulaImpliedVol("Call",AD29,AD29,_xll.qlDayCounterYearFraction("Act/365 (Fixed)",C29,J29),AO29)</f>
        <v>7.4306739296666618E-3</v>
      </c>
      <c r="AQ29" s="361">
        <f ca="1">_xll.qlBlackFormulaImpliedStdDev("Call",AD29,AD29,AO29)/SQRT(_xll.qlDayCounterYearFraction("Act/365 (Fixed)",C29,J29))</f>
        <v>0.60792797770967089</v>
      </c>
      <c r="AS29" s="363">
        <v>6.9667636020082002E-3</v>
      </c>
      <c r="AT29" s="363">
        <v>7.4306739296666618E-3</v>
      </c>
      <c r="AU29" s="365">
        <f t="shared" ca="1" si="2"/>
        <v>3.3236397991799095E-5</v>
      </c>
      <c r="AV29" s="365">
        <f t="shared" ca="1" si="3"/>
        <v>-4.3067392966666257E-4</v>
      </c>
    </row>
    <row r="30" spans="2:48">
      <c r="B30" s="348" t="str">
        <f t="shared" ca="1" si="1"/>
        <v>7Yx2Y</v>
      </c>
      <c r="C30" s="345">
        <f t="shared" ca="1" si="0"/>
        <v>42254</v>
      </c>
      <c r="D30" s="346" t="s">
        <v>13</v>
      </c>
      <c r="E30" s="346" t="s">
        <v>8</v>
      </c>
      <c r="F30" s="351">
        <f ca="1">VLOOKUP(F$3&amp;$D30&amp;$E30,'Swaption Volatilities'!$V:$W,2,FALSE)%%</f>
        <v>7.2699999999999996E-3</v>
      </c>
      <c r="G30" s="352">
        <f ca="1">VLOOKUP(G$3&amp;$D30&amp;$E30,'Swaption Volatilities'!$V:$W,2,FALSE)</f>
        <v>299</v>
      </c>
      <c r="H30" s="346" t="s">
        <v>20</v>
      </c>
      <c r="I30" s="346" t="s">
        <v>21</v>
      </c>
      <c r="J30" s="345">
        <f ca="1">_xll.qlCalendarAdvance(H30,C30,D30,I30)</f>
        <v>44811</v>
      </c>
      <c r="K30" s="345">
        <f ca="1">_xll.qlCalendarAdvance(H30,J30,"2d")</f>
        <v>44813</v>
      </c>
      <c r="L30" s="345">
        <f ca="1">_xll.qlCalendarAdvance(H30,K30,E30,"unadjusted")</f>
        <v>45544</v>
      </c>
      <c r="M30" s="346" t="s">
        <v>7</v>
      </c>
      <c r="N30" s="346" t="s">
        <v>20</v>
      </c>
      <c r="O30" s="346" t="s">
        <v>21</v>
      </c>
      <c r="P30" s="346" t="s">
        <v>21</v>
      </c>
      <c r="Q30" s="346" t="s">
        <v>70</v>
      </c>
      <c r="R30" s="353" t="str">
        <f ca="1">_xll.qlSchedule(,K30,L30,M30,N30,O30,P30,Q30)</f>
        <v>obj_004ab#0001</v>
      </c>
      <c r="S30" s="346" t="s">
        <v>19</v>
      </c>
      <c r="T30" s="346" t="s">
        <v>20</v>
      </c>
      <c r="U30" s="346" t="s">
        <v>21</v>
      </c>
      <c r="V30" s="346" t="s">
        <v>21</v>
      </c>
      <c r="W30" s="346" t="s">
        <v>70</v>
      </c>
      <c r="X30" s="353" t="str">
        <f ca="1">_xll.qlSchedule(,K30,L30,S30,T30,U30,V30,W30)</f>
        <v>obj_004aa#0001</v>
      </c>
      <c r="Y30" s="349" t="s">
        <v>1742</v>
      </c>
      <c r="Z30" s="354" t="s">
        <v>36</v>
      </c>
      <c r="AA30" s="354" t="s">
        <v>1745</v>
      </c>
      <c r="AB30" s="353" t="str">
        <f ca="1">_xll.qlVanillaSwap(,,,R30,,Y30,X30,Z30,,AA30)</f>
        <v>obj_0056c#0001</v>
      </c>
      <c r="AC30" s="353" t="b">
        <f ca="1">_xll.qlInstrumentSetPricingEngine(AB30,_xll.qlDiscountingSwapEngine(,Curve!$S$16))</f>
        <v>1</v>
      </c>
      <c r="AD30" s="355">
        <f ca="1">_xll.qlVanillaSwapFairRate(AB30,AC30)</f>
        <v>1.8067925997849343E-2</v>
      </c>
      <c r="AE30" s="346" t="s">
        <v>1752</v>
      </c>
      <c r="AF30" s="347">
        <v>10000</v>
      </c>
      <c r="AG30" s="350" t="str">
        <f ca="1">_xll.qlVanillaSwap(,AE30,AF30,R30,AD30,Y30,X30,Z30,,AA30)</f>
        <v>obj_005ec#0000</v>
      </c>
      <c r="AH30" s="347" t="str">
        <f ca="1">_xll.qlEuropeanExercise(,J30)</f>
        <v>obj_002d7#0001</v>
      </c>
      <c r="AI30" s="346" t="s">
        <v>1749</v>
      </c>
      <c r="AJ30" s="356" t="str">
        <f ca="1">_xll.qlSwaption(,AG30,AH30,AI30)</f>
        <v>obj_00685#0001</v>
      </c>
      <c r="AK30" s="357" t="str">
        <f ca="1">_xll.qlConstantSwaptionVolatility(,,H30,I30,F30)</f>
        <v>obj_000ae#0001</v>
      </c>
      <c r="AL30" s="357" t="b">
        <f ca="1">_xll.qlInstrumentSetPricingEngine(AJ30,_xll.qlBachelierBlackSwaptionEngine(,Curve!$S$16,AK30))</f>
        <v>1</v>
      </c>
      <c r="AM30" s="358">
        <f ca="1">_xll.qlInstrumentNPV(AJ30,AL30)*2/_xll.qlYieldTSDiscount(Curve!$S$16,K30)</f>
        <v>270.84285564578516</v>
      </c>
      <c r="AN30" s="358">
        <f ca="1">_xll.qlInstrumentResults(AJ30,"annuity",AL30)</f>
        <v>17175.186596198306</v>
      </c>
      <c r="AO30" s="359">
        <f ca="1">G30/2*_xll.qlYieldTSDiscount(Curve!$S$16,K30)/AN30</f>
        <v>8.4745610495398846E-3</v>
      </c>
      <c r="AP30" s="360">
        <f ca="1">_xll.qlBachelierBlackFormulaImpliedVol("Call",AD30,AD30,_xll.qlDayCounterYearFraction("Act/365 (Fixed)",C30,J30),AO30)</f>
        <v>8.0257978185064392E-3</v>
      </c>
      <c r="AQ30" s="361">
        <f ca="1">_xll.qlBlackFormulaImpliedStdDev("Call",AD30,AD30,AO30)/SQRT(_xll.qlDayCounterYearFraction("Act/365 (Fixed)",C30,J30))</f>
        <v>0.4734341837675064</v>
      </c>
      <c r="AS30" s="363">
        <v>7.2441422259883924E-3</v>
      </c>
      <c r="AT30" s="363">
        <v>8.0257978185064392E-3</v>
      </c>
      <c r="AU30" s="365">
        <f t="shared" ca="1" si="2"/>
        <v>2.5857774011607201E-5</v>
      </c>
      <c r="AV30" s="365">
        <f t="shared" ca="1" si="3"/>
        <v>-7.557978185064396E-4</v>
      </c>
    </row>
    <row r="31" spans="2:48">
      <c r="B31" s="348" t="str">
        <f t="shared" ca="1" si="1"/>
        <v>10Yx2Y</v>
      </c>
      <c r="C31" s="345">
        <f t="shared" ca="1" si="0"/>
        <v>42254</v>
      </c>
      <c r="D31" s="346" t="s">
        <v>16</v>
      </c>
      <c r="E31" s="346" t="s">
        <v>8</v>
      </c>
      <c r="F31" s="351">
        <f ca="1">VLOOKUP(F$3&amp;$D31&amp;$E31,'Swaption Volatilities'!$V:$W,2,FALSE)%%</f>
        <v>7.3499999999999998E-3</v>
      </c>
      <c r="G31" s="352">
        <f ca="1">VLOOKUP(G$3&amp;$D31&amp;$E31,'Swaption Volatilities'!$V:$W,2,FALSE)</f>
        <v>359</v>
      </c>
      <c r="H31" s="346" t="s">
        <v>20</v>
      </c>
      <c r="I31" s="346" t="s">
        <v>21</v>
      </c>
      <c r="J31" s="345">
        <f ca="1">_xll.qlCalendarAdvance(H31,C31,D31,I31)</f>
        <v>45908</v>
      </c>
      <c r="K31" s="345">
        <f ca="1">_xll.qlCalendarAdvance(H31,J31,"2d")</f>
        <v>45910</v>
      </c>
      <c r="L31" s="345">
        <f ca="1">_xll.qlCalendarAdvance(H31,K31,E31,"unadjusted")</f>
        <v>46640</v>
      </c>
      <c r="M31" s="346" t="s">
        <v>7</v>
      </c>
      <c r="N31" s="346" t="s">
        <v>20</v>
      </c>
      <c r="O31" s="346" t="s">
        <v>21</v>
      </c>
      <c r="P31" s="346" t="s">
        <v>21</v>
      </c>
      <c r="Q31" s="346" t="s">
        <v>70</v>
      </c>
      <c r="R31" s="353" t="str">
        <f ca="1">_xll.qlSchedule(,K31,L31,M31,N31,O31,P31,Q31)</f>
        <v>obj_004f6#0001</v>
      </c>
      <c r="S31" s="346" t="s">
        <v>19</v>
      </c>
      <c r="T31" s="346" t="s">
        <v>20</v>
      </c>
      <c r="U31" s="346" t="s">
        <v>21</v>
      </c>
      <c r="V31" s="346" t="s">
        <v>21</v>
      </c>
      <c r="W31" s="346" t="s">
        <v>70</v>
      </c>
      <c r="X31" s="353" t="str">
        <f ca="1">_xll.qlSchedule(,K31,L31,S31,T31,U31,V31,W31)</f>
        <v>obj_004f5#0001</v>
      </c>
      <c r="Y31" s="349" t="s">
        <v>1742</v>
      </c>
      <c r="Z31" s="354" t="s">
        <v>36</v>
      </c>
      <c r="AA31" s="354" t="s">
        <v>1745</v>
      </c>
      <c r="AB31" s="353" t="str">
        <f ca="1">_xll.qlVanillaSwap(,,,R31,,Y31,X31,Z31,,AA31)</f>
        <v>obj_0059f#0001</v>
      </c>
      <c r="AC31" s="353" t="b">
        <f ca="1">_xll.qlInstrumentSetPricingEngine(AB31,_xll.qlDiscountingSwapEngine(,Curve!$S$16))</f>
        <v>1</v>
      </c>
      <c r="AD31" s="355">
        <f ca="1">_xll.qlVanillaSwapFairRate(AB31,AC31)</f>
        <v>2.1361905913933988E-2</v>
      </c>
      <c r="AE31" s="346" t="s">
        <v>1752</v>
      </c>
      <c r="AF31" s="347">
        <v>10000</v>
      </c>
      <c r="AG31" s="350" t="str">
        <f ca="1">_xll.qlVanillaSwap(,AE31,AF31,R31,AD31,Y31,X31,Z31,,AA31)</f>
        <v>obj_00611#0000</v>
      </c>
      <c r="AH31" s="347" t="str">
        <f ca="1">_xll.qlEuropeanExercise(,J31)</f>
        <v>obj_000b6#0001</v>
      </c>
      <c r="AI31" s="346" t="s">
        <v>1749</v>
      </c>
      <c r="AJ31" s="356" t="str">
        <f ca="1">_xll.qlSwaption(,AG31,AH31,AI31)</f>
        <v>obj_006b8#0001</v>
      </c>
      <c r="AK31" s="357" t="str">
        <f ca="1">_xll.qlConstantSwaptionVolatility(,,H31,I31,F31)</f>
        <v>obj_000cd#0001</v>
      </c>
      <c r="AL31" s="357" t="b">
        <f ca="1">_xll.qlInstrumentSetPricingEngine(AJ31,_xll.qlBachelierBlackSwaptionEngine(,Curve!$S$16,AK31))</f>
        <v>1</v>
      </c>
      <c r="AM31" s="358">
        <f ca="1">_xll.qlInstrumentNPV(AJ31,AL31)*2/_xll.qlYieldTSDiscount(Curve!$S$16,K31)</f>
        <v>314.05741257325974</v>
      </c>
      <c r="AN31" s="358">
        <f ca="1">_xll.qlInstrumentResults(AJ31,"annuity",AL31)</f>
        <v>15682.370509118939</v>
      </c>
      <c r="AO31" s="359">
        <f ca="1">G31/2*_xll.qlYieldTSDiscount(Curve!$S$16,K31)/AN31</f>
        <v>1.0605243497676713E-2</v>
      </c>
      <c r="AP31" s="360">
        <f ca="1">_xll.qlBachelierBlackFormulaImpliedVol("Call",AD31,AD31,_xll.qlDayCounterYearFraction("Act/365 (Fixed)",C31,J31),AO31)</f>
        <v>8.4018077407565523E-3</v>
      </c>
      <c r="AQ31" s="361">
        <f ca="1">_xll.qlBlackFormulaImpliedStdDev("Call",AD31,AD31,AO31)/SQRT(_xll.qlDayCounterYearFraction("Act/365 (Fixed)",C31,J31))</f>
        <v>0.42283288557976106</v>
      </c>
      <c r="AS31" s="363">
        <v>7.3198185607162968E-3</v>
      </c>
      <c r="AT31" s="363">
        <v>8.4018077407565523E-3</v>
      </c>
      <c r="AU31" s="365">
        <f t="shared" ca="1" si="2"/>
        <v>3.0181439283702947E-5</v>
      </c>
      <c r="AV31" s="365">
        <f t="shared" ca="1" si="3"/>
        <v>-1.0518077407565525E-3</v>
      </c>
    </row>
    <row r="32" spans="2:48">
      <c r="B32" s="348" t="str">
        <f t="shared" ca="1" si="1"/>
        <v>15Yx2Y</v>
      </c>
      <c r="C32" s="345">
        <f t="shared" ca="1" si="0"/>
        <v>42254</v>
      </c>
      <c r="D32" s="346" t="s">
        <v>17</v>
      </c>
      <c r="E32" s="346" t="s">
        <v>8</v>
      </c>
      <c r="F32" s="351">
        <f ca="1">VLOOKUP(F$3&amp;$D32&amp;$E32,'Swaption Volatilities'!$V:$W,2,FALSE)%%</f>
        <v>7.0799999999999995E-3</v>
      </c>
      <c r="G32" s="352">
        <f ca="1">VLOOKUP(G$3&amp;$D32&amp;$E32,'Swaption Volatilities'!$V:$W,2,FALSE)</f>
        <v>424</v>
      </c>
      <c r="H32" s="346" t="s">
        <v>20</v>
      </c>
      <c r="I32" s="346" t="s">
        <v>21</v>
      </c>
      <c r="J32" s="345">
        <f ca="1">_xll.qlCalendarAdvance(H32,C32,D32,I32)</f>
        <v>47735</v>
      </c>
      <c r="K32" s="345">
        <f ca="1">_xll.qlCalendarAdvance(H32,J32,"2d")</f>
        <v>47737</v>
      </c>
      <c r="L32" s="345">
        <f ca="1">_xll.qlCalendarAdvance(H32,K32,E32,"unadjusted")</f>
        <v>48468</v>
      </c>
      <c r="M32" s="346" t="s">
        <v>7</v>
      </c>
      <c r="N32" s="346" t="s">
        <v>20</v>
      </c>
      <c r="O32" s="346" t="s">
        <v>21</v>
      </c>
      <c r="P32" s="346" t="s">
        <v>21</v>
      </c>
      <c r="Q32" s="346" t="s">
        <v>70</v>
      </c>
      <c r="R32" s="353" t="str">
        <f ca="1">_xll.qlSchedule(,K32,L32,M32,N32,O32,P32,Q32)</f>
        <v>obj_00538#0000</v>
      </c>
      <c r="S32" s="346" t="s">
        <v>19</v>
      </c>
      <c r="T32" s="346" t="s">
        <v>20</v>
      </c>
      <c r="U32" s="346" t="s">
        <v>21</v>
      </c>
      <c r="V32" s="346" t="s">
        <v>21</v>
      </c>
      <c r="W32" s="346" t="s">
        <v>70</v>
      </c>
      <c r="X32" s="353" t="str">
        <f ca="1">_xll.qlSchedule(,K32,L32,S32,T32,U32,V32,W32)</f>
        <v>obj_00539#0001</v>
      </c>
      <c r="Y32" s="349" t="s">
        <v>1742</v>
      </c>
      <c r="Z32" s="354" t="s">
        <v>36</v>
      </c>
      <c r="AA32" s="354" t="s">
        <v>1745</v>
      </c>
      <c r="AB32" s="353" t="str">
        <f ca="1">_xll.qlVanillaSwap(,,,R32,,Y32,X32,Z32,,AA32)</f>
        <v>obj_005cf#0001</v>
      </c>
      <c r="AC32" s="353" t="b">
        <f ca="1">_xll.qlInstrumentSetPricingEngine(AB32,_xll.qlDiscountingSwapEngine(,Curve!$S$16))</f>
        <v>1</v>
      </c>
      <c r="AD32" s="355">
        <f ca="1">_xll.qlVanillaSwapFairRate(AB32,AC32)</f>
        <v>2.1027645622763848E-2</v>
      </c>
      <c r="AE32" s="346" t="s">
        <v>1752</v>
      </c>
      <c r="AF32" s="347">
        <v>10000</v>
      </c>
      <c r="AG32" s="350" t="str">
        <f ca="1">_xll.qlVanillaSwap(,AE32,AF32,R32,AD32,Y32,X32,Z32,,AA32)</f>
        <v>obj_00621#0000</v>
      </c>
      <c r="AH32" s="347" t="str">
        <f ca="1">_xll.qlEuropeanExercise(,J32)</f>
        <v>obj_0047b#0001</v>
      </c>
      <c r="AI32" s="346" t="s">
        <v>1749</v>
      </c>
      <c r="AJ32" s="356" t="str">
        <f ca="1">_xll.qlSwaption(,AG32,AH32,AI32)</f>
        <v>obj_006f6#0001</v>
      </c>
      <c r="AK32" s="357" t="str">
        <f ca="1">_xll.qlConstantSwaptionVolatility(,,H32,I32,F32)</f>
        <v>obj_000dc#0001</v>
      </c>
      <c r="AL32" s="357" t="b">
        <f ca="1">_xll.qlInstrumentSetPricingEngine(AJ32,_xll.qlBachelierBlackSwaptionEngine(,Curve!$S$16,AK32))</f>
        <v>1</v>
      </c>
      <c r="AM32" s="358">
        <f ca="1">_xll.qlInstrumentNPV(AJ32,AL32)*2/_xll.qlYieldTSDiscount(Curve!$S$16,K32)</f>
        <v>371.34551908588179</v>
      </c>
      <c r="AN32" s="358">
        <f ca="1">_xll.qlInstrumentResults(AJ32,"annuity",AL32)</f>
        <v>14223.339859979395</v>
      </c>
      <c r="AO32" s="359">
        <f ca="1">G32/2*_xll.qlYieldTSDiscount(Curve!$S$16,K32)/AN32</f>
        <v>1.2497250098348432E-2</v>
      </c>
      <c r="AP32" s="360">
        <f ca="1">_xll.qlBachelierBlackFormulaImpliedVol("Call",AD32,AD32,_xll.qlDayCounterYearFraction("Act/365 (Fixed)",C32,J32),AO32)</f>
        <v>8.0838998876023565E-3</v>
      </c>
      <c r="AQ32" s="361">
        <f ca="1">_xll.qlBlackFormulaImpliedStdDev("Call",AD32,AD32,AO32)/SQRT(_xll.qlDayCounterYearFraction("Act/365 (Fixed)",C32,J32))</f>
        <v>0.42916426599611146</v>
      </c>
      <c r="AS32" s="363">
        <v>7.0448726567464374E-3</v>
      </c>
      <c r="AT32" s="363">
        <v>8.0838998876023565E-3</v>
      </c>
      <c r="AU32" s="365">
        <f t="shared" ca="1" si="2"/>
        <v>3.5127343253562107E-5</v>
      </c>
      <c r="AV32" s="365">
        <f t="shared" ca="1" si="3"/>
        <v>-1.003899887602357E-3</v>
      </c>
    </row>
    <row r="33" spans="2:48">
      <c r="B33" s="348" t="str">
        <f t="shared" ca="1" si="1"/>
        <v>20Yx2Y</v>
      </c>
      <c r="C33" s="345">
        <f t="shared" ca="1" si="0"/>
        <v>42254</v>
      </c>
      <c r="D33" s="346" t="s">
        <v>104</v>
      </c>
      <c r="E33" s="346" t="s">
        <v>8</v>
      </c>
      <c r="F33" s="351">
        <f ca="1">VLOOKUP(F$3&amp;$D33&amp;$E33,'Swaption Volatilities'!$V:$W,2,FALSE)%%</f>
        <v>6.7700000000000008E-3</v>
      </c>
      <c r="G33" s="352">
        <f ca="1">VLOOKUP(G$3&amp;$D33&amp;$E33,'Swaption Volatilities'!$V:$W,2,FALSE)</f>
        <v>470</v>
      </c>
      <c r="H33" s="346" t="s">
        <v>20</v>
      </c>
      <c r="I33" s="346" t="s">
        <v>21</v>
      </c>
      <c r="J33" s="345">
        <f ca="1">_xll.qlCalendarAdvance(H33,C33,D33,I33)</f>
        <v>49559</v>
      </c>
      <c r="K33" s="345">
        <f ca="1">_xll.qlCalendarAdvance(H33,J33,"2d")</f>
        <v>49563</v>
      </c>
      <c r="L33" s="345">
        <f ca="1">_xll.qlCalendarAdvance(H33,K33,E33,"unadjusted")</f>
        <v>50294</v>
      </c>
      <c r="M33" s="346" t="s">
        <v>7</v>
      </c>
      <c r="N33" s="346" t="s">
        <v>20</v>
      </c>
      <c r="O33" s="346" t="s">
        <v>21</v>
      </c>
      <c r="P33" s="346" t="s">
        <v>21</v>
      </c>
      <c r="Q33" s="346" t="s">
        <v>70</v>
      </c>
      <c r="R33" s="353" t="str">
        <f ca="1">_xll.qlSchedule(,K33,L33,M33,N33,O33,P33,Q33)</f>
        <v>obj_005c0#0001</v>
      </c>
      <c r="S33" s="346" t="s">
        <v>19</v>
      </c>
      <c r="T33" s="346" t="s">
        <v>20</v>
      </c>
      <c r="U33" s="346" t="s">
        <v>21</v>
      </c>
      <c r="V33" s="346" t="s">
        <v>21</v>
      </c>
      <c r="W33" s="346" t="s">
        <v>70</v>
      </c>
      <c r="X33" s="353" t="str">
        <f ca="1">_xll.qlSchedule(,K33,L33,S33,T33,U33,V33,W33)</f>
        <v>obj_005bf#0001</v>
      </c>
      <c r="Y33" s="349" t="s">
        <v>1742</v>
      </c>
      <c r="Z33" s="354" t="s">
        <v>36</v>
      </c>
      <c r="AA33" s="354" t="s">
        <v>1745</v>
      </c>
      <c r="AB33" s="353" t="str">
        <f ca="1">_xll.qlVanillaSwap(,,,R33,,Y33,X33,Z33,,AA33)</f>
        <v>obj_0061c#0001</v>
      </c>
      <c r="AC33" s="353" t="b">
        <f ca="1">_xll.qlInstrumentSetPricingEngine(AB33,_xll.qlDiscountingSwapEngine(,Curve!$S$16))</f>
        <v>1</v>
      </c>
      <c r="AD33" s="355">
        <f ca="1">_xll.qlVanillaSwapFairRate(AB33,AC33)</f>
        <v>1.7681957483273992E-2</v>
      </c>
      <c r="AE33" s="346" t="s">
        <v>1752</v>
      </c>
      <c r="AF33" s="347">
        <v>10000</v>
      </c>
      <c r="AG33" s="350" t="str">
        <f ca="1">_xll.qlVanillaSwap(,AE33,AF33,R33,AD33,Y33,X33,Z33,,AA33)</f>
        <v>obj_00637#0000</v>
      </c>
      <c r="AH33" s="347" t="str">
        <f ca="1">_xll.qlEuropeanExercise(,J33)</f>
        <v>obj_0046b#0001</v>
      </c>
      <c r="AI33" s="346" t="s">
        <v>1749</v>
      </c>
      <c r="AJ33" s="356" t="str">
        <f ca="1">_xll.qlSwaption(,AG33,AH33,AI33)</f>
        <v>obj_006b1#0001</v>
      </c>
      <c r="AK33" s="357" t="str">
        <f ca="1">_xll.qlConstantSwaptionVolatility(,,H33,I33,F33)</f>
        <v>obj_0009a#0001</v>
      </c>
      <c r="AL33" s="357" t="b">
        <f ca="1">_xll.qlInstrumentSetPricingEngine(AJ33,_xll.qlBachelierBlackSwaptionEngine(,Curve!$S$16,AK33))</f>
        <v>1</v>
      </c>
      <c r="AM33" s="358">
        <f ca="1">_xll.qlInstrumentNPV(AJ33,AL33)*2/_xll.qlYieldTSDiscount(Curve!$S$16,K33)</f>
        <v>434.97983359028188</v>
      </c>
      <c r="AN33" s="358">
        <f ca="1">_xll.qlInstrumentResults(AJ33,"annuity",AL33)</f>
        <v>13718.369069407989</v>
      </c>
      <c r="AO33" s="359">
        <f ca="1">G33/2*_xll.qlYieldTSDiscount(Curve!$S$16,K33)/AN33</f>
        <v>1.3055429008999121E-2</v>
      </c>
      <c r="AP33" s="360">
        <f ca="1">_xll.qlBachelierBlackFormulaImpliedVol("Call",AD33,AD33,_xll.qlDayCounterYearFraction("Act/365 (Fixed)",C33,J33),AO33)</f>
        <v>7.3150517662781992E-3</v>
      </c>
      <c r="AQ33" s="361">
        <f ca="1">_xll.qlBlackFormulaImpliedStdDev("Call",AD33,AD33,AO33)/SQRT(_xll.qlDayCounterYearFraction("Act/365 (Fixed)",C33,J33))</f>
        <v>0.50182269940053459</v>
      </c>
      <c r="AS33" s="363">
        <v>6.7543911839698422E-3</v>
      </c>
      <c r="AT33" s="363">
        <v>7.3150517662781992E-3</v>
      </c>
      <c r="AU33" s="365">
        <f t="shared" ca="1" si="2"/>
        <v>1.5608816030158665E-5</v>
      </c>
      <c r="AV33" s="365">
        <f t="shared" ca="1" si="3"/>
        <v>-5.450517662781984E-4</v>
      </c>
    </row>
    <row r="34" spans="2:48">
      <c r="B34" s="348" t="str">
        <f t="shared" ca="1" si="1"/>
        <v>1Mx3Y</v>
      </c>
      <c r="C34" s="345">
        <f t="shared" ca="1" si="0"/>
        <v>42254</v>
      </c>
      <c r="D34" s="346" t="s">
        <v>23</v>
      </c>
      <c r="E34" s="346" t="s">
        <v>9</v>
      </c>
      <c r="F34" s="351">
        <f ca="1">VLOOKUP(F$3&amp;$D34&amp;$E34,'Swaption Volatilities'!$V:$W,2,FALSE)%%</f>
        <v>2.0800000000000003E-3</v>
      </c>
      <c r="G34" s="352">
        <f ca="1">VLOOKUP(G$3&amp;$D34&amp;$E34,'Swaption Volatilities'!$V:$W,2,FALSE)</f>
        <v>14</v>
      </c>
      <c r="H34" s="346" t="s">
        <v>20</v>
      </c>
      <c r="I34" s="346" t="s">
        <v>21</v>
      </c>
      <c r="J34" s="345">
        <f ca="1">_xll.qlCalendarAdvance(H34,C34,D34,I34)</f>
        <v>42284</v>
      </c>
      <c r="K34" s="345">
        <f ca="1">_xll.qlCalendarAdvance(H34,J34,"2d")</f>
        <v>42286</v>
      </c>
      <c r="L34" s="345">
        <f ca="1">_xll.qlCalendarAdvance(H34,K34,E34,"unadjusted")</f>
        <v>43382</v>
      </c>
      <c r="M34" s="346" t="s">
        <v>7</v>
      </c>
      <c r="N34" s="346" t="s">
        <v>20</v>
      </c>
      <c r="O34" s="346" t="s">
        <v>21</v>
      </c>
      <c r="P34" s="346" t="s">
        <v>21</v>
      </c>
      <c r="Q34" s="346" t="s">
        <v>70</v>
      </c>
      <c r="R34" s="353" t="str">
        <f ca="1">_xll.qlSchedule(,K34,L34,M34,N34,O34,P34,Q34)</f>
        <v>obj_0048e#0001</v>
      </c>
      <c r="S34" s="346" t="s">
        <v>19</v>
      </c>
      <c r="T34" s="346" t="s">
        <v>20</v>
      </c>
      <c r="U34" s="346" t="s">
        <v>21</v>
      </c>
      <c r="V34" s="346" t="s">
        <v>21</v>
      </c>
      <c r="W34" s="346" t="s">
        <v>70</v>
      </c>
      <c r="X34" s="353" t="str">
        <f ca="1">_xll.qlSchedule(,K34,L34,S34,T34,U34,V34,W34)</f>
        <v>obj_0048d#0000</v>
      </c>
      <c r="Y34" s="349" t="s">
        <v>1742</v>
      </c>
      <c r="Z34" s="354" t="s">
        <v>36</v>
      </c>
      <c r="AA34" s="354" t="s">
        <v>1745</v>
      </c>
      <c r="AB34" s="353" t="str">
        <f ca="1">_xll.qlVanillaSwap(,,,R34,,Y34,X34,Z34,,AA34)</f>
        <v>obj_00552#0001</v>
      </c>
      <c r="AC34" s="353" t="b">
        <f ca="1">_xll.qlInstrumentSetPricingEngine(AB34,_xll.qlDiscountingSwapEngine(,Curve!$S$16))</f>
        <v>1</v>
      </c>
      <c r="AD34" s="355">
        <f ca="1">_xll.qlVanillaSwapFairRate(AB34,AC34)</f>
        <v>1.5802598679114752E-3</v>
      </c>
      <c r="AE34" s="346" t="s">
        <v>1752</v>
      </c>
      <c r="AF34" s="347">
        <v>10000</v>
      </c>
      <c r="AG34" s="350" t="str">
        <f ca="1">_xll.qlVanillaSwap(,AE34,AF34,R34,AD34,Y34,X34,Z34,,AA34)</f>
        <v>obj_005de#0000</v>
      </c>
      <c r="AH34" s="347" t="str">
        <f ca="1">_xll.qlEuropeanExercise(,J34)</f>
        <v>obj_00271#0001</v>
      </c>
      <c r="AI34" s="346" t="s">
        <v>1749</v>
      </c>
      <c r="AJ34" s="356" t="str">
        <f ca="1">_xll.qlSwaption(,AG34,AH34,AI34)</f>
        <v>obj_00687#0001</v>
      </c>
      <c r="AK34" s="357" t="str">
        <f ca="1">_xll.qlConstantSwaptionVolatility(,,H34,I34,F34)</f>
        <v>obj_00266#0001</v>
      </c>
      <c r="AL34" s="357" t="b">
        <f ca="1">_xll.qlInstrumentSetPricingEngine(AJ34,_xll.qlBachelierBlackSwaptionEngine(,Curve!$S$16,AK34))</f>
        <v>1</v>
      </c>
      <c r="AM34" s="358">
        <f ca="1">_xll.qlInstrumentNPV(AJ34,AL34)*2/_xll.qlYieldTSDiscount(Curve!$S$16,K34)</f>
        <v>14.225138139618148</v>
      </c>
      <c r="AN34" s="358">
        <f ca="1">_xll.qlInstrumentResults(AJ34,"annuity",AL34)</f>
        <v>29901.236250734102</v>
      </c>
      <c r="AO34" s="359">
        <f ca="1">G34/2*_xll.qlYieldTSDiscount(Curve!$S$16,K34)/AN34</f>
        <v>2.3413111808715317E-4</v>
      </c>
      <c r="AP34" s="360">
        <f ca="1">_xll.qlBachelierBlackFormulaImpliedVol("Call",AD34,AD34,_xll.qlDayCounterYearFraction("Act/365 (Fixed)",C34,J34),AO34)</f>
        <v>2.0470802964572942E-3</v>
      </c>
      <c r="AQ34" s="361">
        <f ca="1">_xll.qlBlackFormulaImpliedStdDev("Call",AD34,AD34,AO34)/SQRT(_xll.qlDayCounterYearFraction("Act/365 (Fixed)",C34,J34))</f>
        <v>1.3029430969501614</v>
      </c>
      <c r="AS34" s="363">
        <v>2.0356337152542289E-3</v>
      </c>
      <c r="AT34" s="363">
        <v>2.0470802964572942E-3</v>
      </c>
      <c r="AU34" s="365">
        <f t="shared" ca="1" si="2"/>
        <v>4.4366284745771343E-5</v>
      </c>
      <c r="AV34" s="365">
        <f t="shared" ca="1" si="3"/>
        <v>3.2919703542706041E-5</v>
      </c>
    </row>
    <row r="35" spans="2:48">
      <c r="B35" s="348" t="str">
        <f t="shared" ca="1" si="1"/>
        <v>2Mx3Y</v>
      </c>
      <c r="C35" s="345">
        <f t="shared" ca="1" si="0"/>
        <v>42254</v>
      </c>
      <c r="D35" s="346" t="s">
        <v>398</v>
      </c>
      <c r="E35" s="346" t="s">
        <v>9</v>
      </c>
      <c r="F35" s="351">
        <f ca="1">VLOOKUP(F$3&amp;$D35&amp;$E35,'Swaption Volatilities'!$V:$W,2,FALSE)%%</f>
        <v>2.14E-3</v>
      </c>
      <c r="G35" s="352">
        <f ca="1">VLOOKUP(G$3&amp;$D35&amp;$E35,'Swaption Volatilities'!$V:$W,2,FALSE)</f>
        <v>21</v>
      </c>
      <c r="H35" s="346" t="s">
        <v>20</v>
      </c>
      <c r="I35" s="346" t="s">
        <v>21</v>
      </c>
      <c r="J35" s="345">
        <f ca="1">_xll.qlCalendarAdvance(H35,C35,D35,I35)</f>
        <v>42317</v>
      </c>
      <c r="K35" s="345">
        <f ca="1">_xll.qlCalendarAdvance(H35,J35,"2d")</f>
        <v>42319</v>
      </c>
      <c r="L35" s="345">
        <f ca="1">_xll.qlCalendarAdvance(H35,K35,E35,"unadjusted")</f>
        <v>43415</v>
      </c>
      <c r="M35" s="346" t="s">
        <v>7</v>
      </c>
      <c r="N35" s="346" t="s">
        <v>20</v>
      </c>
      <c r="O35" s="346" t="s">
        <v>21</v>
      </c>
      <c r="P35" s="346" t="s">
        <v>21</v>
      </c>
      <c r="Q35" s="346" t="s">
        <v>70</v>
      </c>
      <c r="R35" s="353" t="str">
        <f ca="1">_xll.qlSchedule(,K35,L35,M35,N35,O35,P35,Q35)</f>
        <v>obj_00472#0001</v>
      </c>
      <c r="S35" s="346" t="s">
        <v>19</v>
      </c>
      <c r="T35" s="346" t="s">
        <v>20</v>
      </c>
      <c r="U35" s="346" t="s">
        <v>21</v>
      </c>
      <c r="V35" s="346" t="s">
        <v>21</v>
      </c>
      <c r="W35" s="346" t="s">
        <v>70</v>
      </c>
      <c r="X35" s="353" t="str">
        <f ca="1">_xll.qlSchedule(,K35,L35,S35,T35,U35,V35,W35)</f>
        <v>obj_00471#0001</v>
      </c>
      <c r="Y35" s="349" t="s">
        <v>1742</v>
      </c>
      <c r="Z35" s="354" t="s">
        <v>36</v>
      </c>
      <c r="AA35" s="354" t="s">
        <v>1745</v>
      </c>
      <c r="AB35" s="353" t="str">
        <f ca="1">_xll.qlVanillaSwap(,,,R35,,Y35,X35,Z35,,AA35)</f>
        <v>obj_0052b#0001</v>
      </c>
      <c r="AC35" s="353" t="b">
        <f ca="1">_xll.qlInstrumentSetPricingEngine(AB35,_xll.qlDiscountingSwapEngine(,Curve!$S$16))</f>
        <v>1</v>
      </c>
      <c r="AD35" s="355">
        <f ca="1">_xll.qlVanillaSwapFairRate(AB35,AC35)</f>
        <v>1.7041354554779213E-3</v>
      </c>
      <c r="AE35" s="346" t="s">
        <v>1752</v>
      </c>
      <c r="AF35" s="347">
        <v>10000</v>
      </c>
      <c r="AG35" s="350" t="str">
        <f ca="1">_xll.qlVanillaSwap(,AE35,AF35,R35,AD35,Y35,X35,Z35,,AA35)</f>
        <v>obj_005c7#0000</v>
      </c>
      <c r="AH35" s="347" t="str">
        <f ca="1">_xll.qlEuropeanExercise(,J35)</f>
        <v>obj_001d1#0001</v>
      </c>
      <c r="AI35" s="346" t="s">
        <v>1749</v>
      </c>
      <c r="AJ35" s="356" t="str">
        <f ca="1">_xll.qlSwaption(,AG35,AH35,AI35)</f>
        <v>obj_00651#0001</v>
      </c>
      <c r="AK35" s="357" t="str">
        <f ca="1">_xll.qlConstantSwaptionVolatility(,,H35,I35,F35)</f>
        <v>obj_001c1#0001</v>
      </c>
      <c r="AL35" s="357" t="b">
        <f ca="1">_xll.qlInstrumentSetPricingEngine(AJ35,_xll.qlBachelierBlackSwaptionEngine(,Curve!$S$16,AK35))</f>
        <v>1</v>
      </c>
      <c r="AM35" s="358">
        <f ca="1">_xll.qlInstrumentNPV(AJ35,AL35)*2/_xll.qlYieldTSDiscount(Curve!$S$16,K35)</f>
        <v>21.217090136046753</v>
      </c>
      <c r="AN35" s="358">
        <f ca="1">_xll.qlInstrumentResults(AJ35,"annuity",AL35)</f>
        <v>29916.573156028157</v>
      </c>
      <c r="AO35" s="359">
        <f ca="1">G35/2*_xll.qlYieldTSDiscount(Curve!$S$16,K35)/AN35</f>
        <v>3.5105984360119842E-4</v>
      </c>
      <c r="AP35" s="360">
        <f ca="1">_xll.qlBachelierBlackFormulaImpliedVol("Call",AD35,AD35,_xll.qlDayCounterYearFraction("Act/365 (Fixed)",C35,J35),AO35)</f>
        <v>2.118103835721221E-3</v>
      </c>
      <c r="AQ35" s="361">
        <f ca="1">_xll.qlBlackFormulaImpliedStdDev("Call",AD35,AD35,AO35)/SQRT(_xll.qlDayCounterYearFraction("Act/365 (Fixed)",C35,J35))</f>
        <v>1.2570607653313191</v>
      </c>
      <c r="AS35" s="363">
        <v>2.1053649134929082E-3</v>
      </c>
      <c r="AT35" s="363">
        <v>2.118103835721221E-3</v>
      </c>
      <c r="AU35" s="365">
        <f t="shared" ca="1" si="2"/>
        <v>3.4635086507091729E-5</v>
      </c>
      <c r="AV35" s="365">
        <f t="shared" ca="1" si="3"/>
        <v>2.189616427877893E-5</v>
      </c>
    </row>
    <row r="36" spans="2:48">
      <c r="B36" s="348" t="str">
        <f t="shared" ca="1" si="1"/>
        <v>3Mx3Y</v>
      </c>
      <c r="C36" s="345">
        <f t="shared" ca="1" si="0"/>
        <v>42254</v>
      </c>
      <c r="D36" s="346" t="s">
        <v>26</v>
      </c>
      <c r="E36" s="346" t="s">
        <v>9</v>
      </c>
      <c r="F36" s="351">
        <f ca="1">VLOOKUP(F$3&amp;$D36&amp;$E36,'Swaption Volatilities'!$V:$W,2,FALSE)%%</f>
        <v>2.14E-3</v>
      </c>
      <c r="G36" s="352">
        <f ca="1">VLOOKUP(G$3&amp;$D36&amp;$E36,'Swaption Volatilities'!$V:$W,2,FALSE)</f>
        <v>25.5</v>
      </c>
      <c r="H36" s="346" t="s">
        <v>20</v>
      </c>
      <c r="I36" s="346" t="s">
        <v>21</v>
      </c>
      <c r="J36" s="345">
        <f ca="1">_xll.qlCalendarAdvance(H36,C36,D36,I36)</f>
        <v>42345</v>
      </c>
      <c r="K36" s="345">
        <f ca="1">_xll.qlCalendarAdvance(H36,J36,"2d")</f>
        <v>42347</v>
      </c>
      <c r="L36" s="345">
        <f ca="1">_xll.qlCalendarAdvance(H36,K36,E36,"unadjusted")</f>
        <v>43443</v>
      </c>
      <c r="M36" s="346" t="s">
        <v>7</v>
      </c>
      <c r="N36" s="346" t="s">
        <v>20</v>
      </c>
      <c r="O36" s="346" t="s">
        <v>21</v>
      </c>
      <c r="P36" s="346" t="s">
        <v>21</v>
      </c>
      <c r="Q36" s="346" t="s">
        <v>70</v>
      </c>
      <c r="R36" s="353" t="str">
        <f ca="1">_xll.qlSchedule(,K36,L36,M36,N36,O36,P36,Q36)</f>
        <v>obj_004a3#0001</v>
      </c>
      <c r="S36" s="346" t="s">
        <v>19</v>
      </c>
      <c r="T36" s="346" t="s">
        <v>20</v>
      </c>
      <c r="U36" s="346" t="s">
        <v>21</v>
      </c>
      <c r="V36" s="346" t="s">
        <v>21</v>
      </c>
      <c r="W36" s="346" t="s">
        <v>70</v>
      </c>
      <c r="X36" s="353" t="str">
        <f ca="1">_xll.qlSchedule(,K36,L36,S36,T36,U36,V36,W36)</f>
        <v>obj_004a2#0000</v>
      </c>
      <c r="Y36" s="349" t="s">
        <v>1742</v>
      </c>
      <c r="Z36" s="354" t="s">
        <v>36</v>
      </c>
      <c r="AA36" s="354" t="s">
        <v>1745</v>
      </c>
      <c r="AB36" s="353" t="str">
        <f ca="1">_xll.qlVanillaSwap(,,,R36,,Y36,X36,Z36,,AA36)</f>
        <v>obj_00566#0001</v>
      </c>
      <c r="AC36" s="353" t="b">
        <f ca="1">_xll.qlInstrumentSetPricingEngine(AB36,_xll.qlDiscountingSwapEngine(,Curve!$S$16))</f>
        <v>1</v>
      </c>
      <c r="AD36" s="355">
        <f ca="1">_xll.qlVanillaSwapFairRate(AB36,AC36)</f>
        <v>1.8142516360095289E-3</v>
      </c>
      <c r="AE36" s="346" t="s">
        <v>1752</v>
      </c>
      <c r="AF36" s="347">
        <v>10000</v>
      </c>
      <c r="AG36" s="350" t="str">
        <f ca="1">_xll.qlVanillaSwap(,AE36,AF36,R36,AD36,Y36,X36,Z36,,AA36)</f>
        <v>obj_005ea#0000</v>
      </c>
      <c r="AH36" s="347" t="str">
        <f ca="1">_xll.qlEuropeanExercise(,J36)</f>
        <v>obj_000e0#0001</v>
      </c>
      <c r="AI36" s="346" t="s">
        <v>1749</v>
      </c>
      <c r="AJ36" s="356" t="str">
        <f ca="1">_xll.qlSwaption(,AG36,AH36,AI36)</f>
        <v>obj_006f8#0001</v>
      </c>
      <c r="AK36" s="357" t="str">
        <f ca="1">_xll.qlConstantSwaptionVolatility(,,H36,I36,F36)</f>
        <v>obj_0018c#0001</v>
      </c>
      <c r="AL36" s="357" t="b">
        <f ca="1">_xll.qlInstrumentSetPricingEngine(AJ36,_xll.qlBachelierBlackSwaptionEngine(,Curve!$S$16,AK36))</f>
        <v>1</v>
      </c>
      <c r="AM36" s="358">
        <f ca="1">_xll.qlInstrumentNPV(AJ36,AL36)*2/_xll.qlYieldTSDiscount(Curve!$S$16,K36)</f>
        <v>25.487333218495831</v>
      </c>
      <c r="AN36" s="358">
        <f ca="1">_xll.qlInstrumentResults(AJ36,"annuity",AL36)</f>
        <v>29905.193757668691</v>
      </c>
      <c r="AO36" s="359">
        <f ca="1">G36/2*_xll.qlYieldTSDiscount(Curve!$S$16,K36)/AN36</f>
        <v>4.2649494356996242E-4</v>
      </c>
      <c r="AP36" s="360">
        <f ca="1">_xll.qlBachelierBlackFormulaImpliedVol("Call",AD36,AD36,_xll.qlDayCounterYearFraction("Act/365 (Fixed)",C36,J36),AO36)</f>
        <v>2.1410635444746918E-3</v>
      </c>
      <c r="AQ36" s="361">
        <f ca="1">_xll.qlBlackFormulaImpliedStdDev("Call",AD36,AD36,AO36)/SQRT(_xll.qlDayCounterYearFraction("Act/365 (Fixed)",C36,J36))</f>
        <v>1.1977488982798166</v>
      </c>
      <c r="AS36" s="363">
        <v>2.1273772775605186E-3</v>
      </c>
      <c r="AT36" s="363">
        <v>2.1410635444746918E-3</v>
      </c>
      <c r="AU36" s="365">
        <f t="shared" ca="1" si="2"/>
        <v>1.2622722439481395E-5</v>
      </c>
      <c r="AV36" s="365">
        <f t="shared" ca="1" si="3"/>
        <v>-1.0635444746918271E-6</v>
      </c>
    </row>
    <row r="37" spans="2:48">
      <c r="B37" s="348" t="str">
        <f t="shared" ca="1" si="1"/>
        <v>6Mx3Y</v>
      </c>
      <c r="C37" s="345">
        <f t="shared" ca="1" si="0"/>
        <v>42254</v>
      </c>
      <c r="D37" s="346" t="s">
        <v>19</v>
      </c>
      <c r="E37" s="346" t="s">
        <v>9</v>
      </c>
      <c r="F37" s="351">
        <f ca="1">VLOOKUP(F$3&amp;$D37&amp;$E37,'Swaption Volatilities'!$V:$W,2,FALSE)%%</f>
        <v>2.63E-3</v>
      </c>
      <c r="G37" s="352">
        <f ca="1">VLOOKUP(G$3&amp;$D37&amp;$E37,'Swaption Volatilities'!$V:$W,2,FALSE)</f>
        <v>44.5</v>
      </c>
      <c r="H37" s="346" t="s">
        <v>20</v>
      </c>
      <c r="I37" s="346" t="s">
        <v>21</v>
      </c>
      <c r="J37" s="345">
        <f ca="1">_xll.qlCalendarAdvance(H37,C37,D37,I37)</f>
        <v>42436</v>
      </c>
      <c r="K37" s="345">
        <f ca="1">_xll.qlCalendarAdvance(H37,J37,"2d")</f>
        <v>42438</v>
      </c>
      <c r="L37" s="345">
        <f ca="1">_xll.qlCalendarAdvance(H37,K37,E37,"unadjusted")</f>
        <v>43533</v>
      </c>
      <c r="M37" s="346" t="s">
        <v>7</v>
      </c>
      <c r="N37" s="346" t="s">
        <v>20</v>
      </c>
      <c r="O37" s="346" t="s">
        <v>21</v>
      </c>
      <c r="P37" s="346" t="s">
        <v>21</v>
      </c>
      <c r="Q37" s="346" t="s">
        <v>70</v>
      </c>
      <c r="R37" s="353" t="str">
        <f ca="1">_xll.qlSchedule(,K37,L37,M37,N37,O37,P37,Q37)</f>
        <v>obj_005b6#0001</v>
      </c>
      <c r="S37" s="346" t="s">
        <v>19</v>
      </c>
      <c r="T37" s="346" t="s">
        <v>20</v>
      </c>
      <c r="U37" s="346" t="s">
        <v>21</v>
      </c>
      <c r="V37" s="346" t="s">
        <v>21</v>
      </c>
      <c r="W37" s="346" t="s">
        <v>70</v>
      </c>
      <c r="X37" s="353" t="str">
        <f ca="1">_xll.qlSchedule(,K37,L37,S37,T37,U37,V37,W37)</f>
        <v>obj_005b7#0001</v>
      </c>
      <c r="Y37" s="349" t="s">
        <v>1742</v>
      </c>
      <c r="Z37" s="354" t="s">
        <v>36</v>
      </c>
      <c r="AA37" s="354" t="s">
        <v>1745</v>
      </c>
      <c r="AB37" s="353" t="str">
        <f ca="1">_xll.qlVanillaSwap(,,,R37,,Y37,X37,Z37,,AA37)</f>
        <v>obj_00619#0001</v>
      </c>
      <c r="AC37" s="353" t="b">
        <f ca="1">_xll.qlInstrumentSetPricingEngine(AB37,_xll.qlDiscountingSwapEngine(,Curve!$S$16))</f>
        <v>1</v>
      </c>
      <c r="AD37" s="355">
        <f ca="1">_xll.qlVanillaSwapFairRate(AB37,AC37)</f>
        <v>2.2186005316148002E-3</v>
      </c>
      <c r="AE37" s="346" t="s">
        <v>1752</v>
      </c>
      <c r="AF37" s="347">
        <v>10000</v>
      </c>
      <c r="AG37" s="350" t="str">
        <f ca="1">_xll.qlVanillaSwap(,AE37,AF37,R37,AD37,Y37,X37,Z37,,AA37)</f>
        <v>obj_00636#0000</v>
      </c>
      <c r="AH37" s="347" t="str">
        <f ca="1">_xll.qlEuropeanExercise(,J37)</f>
        <v>obj_003cb#0000</v>
      </c>
      <c r="AI37" s="346" t="s">
        <v>1749</v>
      </c>
      <c r="AJ37" s="356" t="str">
        <f ca="1">_xll.qlSwaption(,AG37,AH37,AI37)</f>
        <v>obj_006f5#0001</v>
      </c>
      <c r="AK37" s="357" t="str">
        <f ca="1">_xll.qlConstantSwaptionVolatility(,,H37,I37,F37)</f>
        <v>obj_00099#0001</v>
      </c>
      <c r="AL37" s="357" t="b">
        <f ca="1">_xll.qlInstrumentSetPricingEngine(AJ37,_xll.qlBachelierBlackSwaptionEngine(,Curve!$S$16,AK37))</f>
        <v>1</v>
      </c>
      <c r="AM37" s="358">
        <f ca="1">_xll.qlInstrumentNPV(AJ37,AL37)*2/_xll.qlYieldTSDiscount(Curve!$S$16,K37)</f>
        <v>44.257288284121209</v>
      </c>
      <c r="AN37" s="358">
        <f ca="1">_xll.qlInstrumentResults(AJ37,"annuity",AL37)</f>
        <v>29888.933163512047</v>
      </c>
      <c r="AO37" s="359">
        <f ca="1">G37/2*_xll.qlYieldTSDiscount(Curve!$S$16,K37)/AN37</f>
        <v>7.4495542398291404E-4</v>
      </c>
      <c r="AP37" s="360">
        <f ca="1">_xll.qlBachelierBlackFormulaImpliedVol("Call",AD37,AD37,_xll.qlDayCounterYearFraction("Act/365 (Fixed)",C37,J37),AO37)</f>
        <v>2.6444232020874188E-3</v>
      </c>
      <c r="AQ37" s="361">
        <f ca="1">_xll.qlBlackFormulaImpliedStdDev("Call",AD37,AD37,AO37)/SQRT(_xll.qlDayCounterYearFraction("Act/365 (Fixed)",C37,J37))</f>
        <v>1.2294783316367826</v>
      </c>
      <c r="AS37" s="363">
        <v>2.6238586076044379E-3</v>
      </c>
      <c r="AT37" s="363">
        <v>2.6444232020874188E-3</v>
      </c>
      <c r="AU37" s="365">
        <f t="shared" ca="1" si="2"/>
        <v>6.141392395562096E-6</v>
      </c>
      <c r="AV37" s="365">
        <f t="shared" ca="1" si="3"/>
        <v>-1.4423202087418801E-5</v>
      </c>
    </row>
    <row r="38" spans="2:48">
      <c r="B38" s="348" t="str">
        <f t="shared" ca="1" si="1"/>
        <v>9Mx3Y</v>
      </c>
      <c r="C38" s="345">
        <f t="shared" ca="1" si="0"/>
        <v>42254</v>
      </c>
      <c r="D38" s="346" t="s">
        <v>412</v>
      </c>
      <c r="E38" s="346" t="s">
        <v>9</v>
      </c>
      <c r="F38" s="351">
        <f ca="1">VLOOKUP(F$3&amp;$D38&amp;$E38,'Swaption Volatilities'!$V:$W,2,FALSE)%%</f>
        <v>3.0799999999999998E-3</v>
      </c>
      <c r="G38" s="352">
        <f ca="1">VLOOKUP(G$3&amp;$D38&amp;$E38,'Swaption Volatilities'!$V:$W,2,FALSE)</f>
        <v>63.5</v>
      </c>
      <c r="H38" s="346" t="s">
        <v>20</v>
      </c>
      <c r="I38" s="346" t="s">
        <v>21</v>
      </c>
      <c r="J38" s="345">
        <f ca="1">_xll.qlCalendarAdvance(H38,C38,D38,I38)</f>
        <v>42528</v>
      </c>
      <c r="K38" s="345">
        <f ca="1">_xll.qlCalendarAdvance(H38,J38,"2d")</f>
        <v>42530</v>
      </c>
      <c r="L38" s="345">
        <f ca="1">_xll.qlCalendarAdvance(H38,K38,E38,"unadjusted")</f>
        <v>43625</v>
      </c>
      <c r="M38" s="346" t="s">
        <v>7</v>
      </c>
      <c r="N38" s="346" t="s">
        <v>20</v>
      </c>
      <c r="O38" s="346" t="s">
        <v>21</v>
      </c>
      <c r="P38" s="346" t="s">
        <v>21</v>
      </c>
      <c r="Q38" s="346" t="s">
        <v>70</v>
      </c>
      <c r="R38" s="353" t="str">
        <f ca="1">_xll.qlSchedule(,K38,L38,M38,N38,O38,P38,Q38)</f>
        <v>obj_005f3#0001</v>
      </c>
      <c r="S38" s="346" t="s">
        <v>19</v>
      </c>
      <c r="T38" s="346" t="s">
        <v>20</v>
      </c>
      <c r="U38" s="346" t="s">
        <v>21</v>
      </c>
      <c r="V38" s="346" t="s">
        <v>21</v>
      </c>
      <c r="W38" s="346" t="s">
        <v>70</v>
      </c>
      <c r="X38" s="353" t="str">
        <f ca="1">_xll.qlSchedule(,K38,L38,S38,T38,U38,V38,W38)</f>
        <v>obj_005f2#0001</v>
      </c>
      <c r="Y38" s="349" t="s">
        <v>1742</v>
      </c>
      <c r="Z38" s="354" t="s">
        <v>36</v>
      </c>
      <c r="AA38" s="354" t="s">
        <v>1745</v>
      </c>
      <c r="AB38" s="353" t="str">
        <f ca="1">_xll.qlVanillaSwap(,,,R38,,Y38,X38,Z38,,AA38)</f>
        <v>obj_0062c#0001</v>
      </c>
      <c r="AC38" s="353" t="b">
        <f ca="1">_xll.qlInstrumentSetPricingEngine(AB38,_xll.qlDiscountingSwapEngine(,Curve!$S$16))</f>
        <v>1</v>
      </c>
      <c r="AD38" s="355">
        <f ca="1">_xll.qlVanillaSwapFairRate(AB38,AC38)</f>
        <v>2.6731010645722679E-3</v>
      </c>
      <c r="AE38" s="346" t="s">
        <v>1752</v>
      </c>
      <c r="AF38" s="347">
        <v>10000</v>
      </c>
      <c r="AG38" s="350" t="str">
        <f ca="1">_xll.qlVanillaSwap(,AE38,AF38,R38,AD38,Y38,X38,Z38,,AA38)</f>
        <v>obj_0063a#0000</v>
      </c>
      <c r="AH38" s="347" t="str">
        <f ca="1">_xll.qlEuropeanExercise(,J38)</f>
        <v>obj_006fd#0001</v>
      </c>
      <c r="AI38" s="346" t="s">
        <v>1749</v>
      </c>
      <c r="AJ38" s="356" t="str">
        <f ca="1">_xll.qlSwaption(,AG38,AH38,AI38)</f>
        <v>obj_006fe#0000</v>
      </c>
      <c r="AK38" s="357" t="str">
        <f ca="1">_xll.qlConstantSwaptionVolatility(,,H38,I38,F38)</f>
        <v>obj_000b4#0001</v>
      </c>
      <c r="AL38" s="357" t="b">
        <f ca="1">_xll.qlInstrumentSetPricingEngine(AJ38,_xll.qlBachelierBlackSwaptionEngine(,Curve!$S$16,AK38))</f>
        <v>1</v>
      </c>
      <c r="AM38" s="358">
        <f ca="1">_xll.qlInstrumentNPV(AJ38,AL38)*2/_xll.qlYieldTSDiscount(Curve!$S$16,K38)</f>
        <v>63.396350370025679</v>
      </c>
      <c r="AN38" s="358">
        <f ca="1">_xll.qlInstrumentResults(AJ38,"annuity",AL38)</f>
        <v>29807.625351448536</v>
      </c>
      <c r="AO38" s="359">
        <f ca="1">G38/2*_xll.qlYieldTSDiscount(Curve!$S$16,K38)/AN38</f>
        <v>1.0663483464935081E-3</v>
      </c>
      <c r="AP38" s="360">
        <f ca="1">_xll.qlBachelierBlackFormulaImpliedVol("Call",AD38,AD38,_xll.qlDayCounterYearFraction("Act/365 (Fixed)",C38,J38),AO38)</f>
        <v>3.0850356346771349E-3</v>
      </c>
      <c r="AQ38" s="361">
        <f ca="1">_xll.qlBlackFormulaImpliedStdDev("Call",AD38,AD38,AO38)/SQRT(_xll.qlDayCounterYearFraction("Act/365 (Fixed)",C38,J38))</f>
        <v>1.2069085030166935</v>
      </c>
      <c r="AS38" s="363">
        <v>3.0560854014337374E-3</v>
      </c>
      <c r="AT38" s="363">
        <v>3.0850356346771349E-3</v>
      </c>
      <c r="AU38" s="365">
        <f t="shared" ca="1" si="2"/>
        <v>2.3914598566262407E-5</v>
      </c>
      <c r="AV38" s="365">
        <f t="shared" ca="1" si="3"/>
        <v>-5.0356346771350882E-6</v>
      </c>
    </row>
    <row r="39" spans="2:48">
      <c r="B39" s="348" t="str">
        <f t="shared" ca="1" si="1"/>
        <v>1Yx3Y</v>
      </c>
      <c r="C39" s="345">
        <f t="shared" ca="1" si="0"/>
        <v>42254</v>
      </c>
      <c r="D39" s="346" t="s">
        <v>7</v>
      </c>
      <c r="E39" s="346" t="s">
        <v>9</v>
      </c>
      <c r="F39" s="351">
        <f ca="1">VLOOKUP(F$3&amp;$D39&amp;$E39,'Swaption Volatilities'!$V:$W,2,FALSE)%%</f>
        <v>3.5100000000000005E-3</v>
      </c>
      <c r="G39" s="352">
        <f ca="1">VLOOKUP(G$3&amp;$D39&amp;$E39,'Swaption Volatilities'!$V:$W,2,FALSE)</f>
        <v>83.5</v>
      </c>
      <c r="H39" s="346" t="s">
        <v>20</v>
      </c>
      <c r="I39" s="346" t="s">
        <v>21</v>
      </c>
      <c r="J39" s="345">
        <f ca="1">_xll.qlCalendarAdvance(H39,C39,D39,I39)</f>
        <v>42620</v>
      </c>
      <c r="K39" s="345">
        <f ca="1">_xll.qlCalendarAdvance(H39,J39,"2d")</f>
        <v>42622</v>
      </c>
      <c r="L39" s="345">
        <f ca="1">_xll.qlCalendarAdvance(H39,K39,E39,"unadjusted")</f>
        <v>43717</v>
      </c>
      <c r="M39" s="346" t="s">
        <v>7</v>
      </c>
      <c r="N39" s="346" t="s">
        <v>20</v>
      </c>
      <c r="O39" s="346" t="s">
        <v>21</v>
      </c>
      <c r="P39" s="346" t="s">
        <v>21</v>
      </c>
      <c r="Q39" s="346" t="s">
        <v>70</v>
      </c>
      <c r="R39" s="353" t="str">
        <f ca="1">_xll.qlSchedule(,K39,L39,M39,N39,O39,P39,Q39)</f>
        <v>obj_00579#0001</v>
      </c>
      <c r="S39" s="346" t="s">
        <v>19</v>
      </c>
      <c r="T39" s="346" t="s">
        <v>20</v>
      </c>
      <c r="U39" s="346" t="s">
        <v>21</v>
      </c>
      <c r="V39" s="346" t="s">
        <v>21</v>
      </c>
      <c r="W39" s="346" t="s">
        <v>70</v>
      </c>
      <c r="X39" s="353" t="str">
        <f ca="1">_xll.qlSchedule(,K39,L39,S39,T39,U39,V39,W39)</f>
        <v>obj_0057a#0001</v>
      </c>
      <c r="Y39" s="349" t="s">
        <v>1742</v>
      </c>
      <c r="Z39" s="354" t="s">
        <v>36</v>
      </c>
      <c r="AA39" s="354" t="s">
        <v>1745</v>
      </c>
      <c r="AB39" s="353" t="str">
        <f ca="1">_xll.qlVanillaSwap(,,,R39,,Y39,X39,Z39,,AA39)</f>
        <v>obj_005f8#0001</v>
      </c>
      <c r="AC39" s="353" t="b">
        <f ca="1">_xll.qlInstrumentSetPricingEngine(AB39,_xll.qlDiscountingSwapEngine(,Curve!$S$16))</f>
        <v>1</v>
      </c>
      <c r="AD39" s="355">
        <f ca="1">_xll.qlVanillaSwapFairRate(AB39,AC39)</f>
        <v>3.180879306141045E-3</v>
      </c>
      <c r="AE39" s="346" t="s">
        <v>1752</v>
      </c>
      <c r="AF39" s="347">
        <v>10000</v>
      </c>
      <c r="AG39" s="350" t="str">
        <f ca="1">_xll.qlVanillaSwap(,AE39,AF39,R39,AD39,Y39,X39,Z39,,AA39)</f>
        <v>obj_0062e#0000</v>
      </c>
      <c r="AH39" s="347" t="str">
        <f ca="1">_xll.qlEuropeanExercise(,J39)</f>
        <v>obj_003d7#0001</v>
      </c>
      <c r="AI39" s="346" t="s">
        <v>1749</v>
      </c>
      <c r="AJ39" s="356" t="str">
        <f ca="1">_xll.qlSwaption(,AG39,AH39,AI39)</f>
        <v>obj_00641#0001</v>
      </c>
      <c r="AK39" s="357" t="str">
        <f ca="1">_xll.qlConstantSwaptionVolatility(,,H39,I39,F39)</f>
        <v>obj_000b9#0001</v>
      </c>
      <c r="AL39" s="357" t="b">
        <f ca="1">_xll.qlInstrumentSetPricingEngine(AJ39,_xll.qlBachelierBlackSwaptionEngine(,Curve!$S$16,AK39))</f>
        <v>1</v>
      </c>
      <c r="AM39" s="358">
        <f ca="1">_xll.qlInstrumentNPV(AJ39,AL39)*2/_xll.qlYieldTSDiscount(Curve!$S$16,K39)</f>
        <v>83.207300704592015</v>
      </c>
      <c r="AN39" s="358">
        <f ca="1">_xll.qlInstrumentResults(AJ39,"annuity",AL39)</f>
        <v>29715.106965276726</v>
      </c>
      <c r="AO39" s="359">
        <f ca="1">G39/2*_xll.qlYieldTSDiscount(Curve!$S$16,K39)/AN39</f>
        <v>1.4071368445467585E-3</v>
      </c>
      <c r="AP39" s="360">
        <f ca="1">_xll.qlBachelierBlackFormulaImpliedVol("Call",AD39,AD39,_xll.qlDayCounterYearFraction("Act/365 (Fixed)",C39,J39),AO39)</f>
        <v>3.5223471680751821E-3</v>
      </c>
      <c r="AQ39" s="361">
        <f ca="1">_xll.qlBlackFormulaImpliedStdDev("Call",AD39,AD39,AO39)/SQRT(_xll.qlDayCounterYearFraction("Act/365 (Fixed)",C39,J39))</f>
        <v>1.1711381133111931</v>
      </c>
      <c r="AS39" s="363">
        <v>3.4827563381816737E-3</v>
      </c>
      <c r="AT39" s="363">
        <v>3.5223471680751821E-3</v>
      </c>
      <c r="AU39" s="365">
        <f t="shared" ca="1" si="2"/>
        <v>2.724366181832685E-5</v>
      </c>
      <c r="AV39" s="365">
        <f t="shared" ca="1" si="3"/>
        <v>-1.2347168075181603E-5</v>
      </c>
    </row>
    <row r="40" spans="2:48">
      <c r="B40" s="348" t="str">
        <f t="shared" ca="1" si="1"/>
        <v>18Mx3Y</v>
      </c>
      <c r="C40" s="345">
        <f t="shared" ca="1" si="0"/>
        <v>42254</v>
      </c>
      <c r="D40" s="346" t="s">
        <v>154</v>
      </c>
      <c r="E40" s="346" t="s">
        <v>9</v>
      </c>
      <c r="F40" s="362">
        <f ca="1">(F39+F41)/2</f>
        <v>4.2599999999999999E-3</v>
      </c>
      <c r="G40" s="352">
        <f ca="1">VLOOKUP(G$3&amp;$D40&amp;$E40,'Swaption Volatilities'!$V:$W,2,FALSE)</f>
        <v>126</v>
      </c>
      <c r="H40" s="346" t="s">
        <v>20</v>
      </c>
      <c r="I40" s="346" t="s">
        <v>21</v>
      </c>
      <c r="J40" s="345">
        <f ca="1">_xll.qlCalendarAdvance(H40,C40,D40,I40)</f>
        <v>42801</v>
      </c>
      <c r="K40" s="345">
        <f ca="1">_xll.qlCalendarAdvance(H40,J40,"2d")</f>
        <v>42803</v>
      </c>
      <c r="L40" s="345">
        <f ca="1">_xll.qlCalendarAdvance(H40,K40,E40,"unadjusted")</f>
        <v>43899</v>
      </c>
      <c r="M40" s="346" t="s">
        <v>7</v>
      </c>
      <c r="N40" s="346" t="s">
        <v>20</v>
      </c>
      <c r="O40" s="346" t="s">
        <v>21</v>
      </c>
      <c r="P40" s="346" t="s">
        <v>21</v>
      </c>
      <c r="Q40" s="346" t="s">
        <v>70</v>
      </c>
      <c r="R40" s="353" t="str">
        <f ca="1">_xll.qlSchedule(,K40,L40,M40,N40,O40,P40,Q40)</f>
        <v>obj_006f0#0001</v>
      </c>
      <c r="S40" s="346" t="s">
        <v>19</v>
      </c>
      <c r="T40" s="346" t="s">
        <v>20</v>
      </c>
      <c r="U40" s="346" t="s">
        <v>21</v>
      </c>
      <c r="V40" s="346" t="s">
        <v>21</v>
      </c>
      <c r="W40" s="346" t="s">
        <v>70</v>
      </c>
      <c r="X40" s="353" t="str">
        <f ca="1">_xll.qlSchedule(,K40,L40,S40,T40,U40,V40,W40)</f>
        <v>obj_003a7#0001</v>
      </c>
      <c r="Y40" s="349" t="s">
        <v>1742</v>
      </c>
      <c r="Z40" s="354" t="s">
        <v>36</v>
      </c>
      <c r="AA40" s="354" t="s">
        <v>1745</v>
      </c>
      <c r="AB40" s="353" t="str">
        <f ca="1">_xll.qlVanillaSwap(,,,R40,,Y40,X40,Z40,,AA40)</f>
        <v>obj_00712#0001</v>
      </c>
      <c r="AC40" s="353" t="b">
        <f ca="1">_xll.qlInstrumentSetPricingEngine(AB40,_xll.qlDiscountingSwapEngine(,Curve!$S$16))</f>
        <v>1</v>
      </c>
      <c r="AD40" s="355" t="e">
        <f ca="1">_xll.qlVanillaSwapFairRate(AB40,AC40)</f>
        <v>#NUM!</v>
      </c>
      <c r="AE40" s="346" t="s">
        <v>1752</v>
      </c>
      <c r="AF40" s="347">
        <v>10000</v>
      </c>
      <c r="AG40" s="350" t="e">
        <f ca="1">_xll.qlVanillaSwap(,AE40,AF40,R40,AD40,Y40,X40,Z40,,AA40)</f>
        <v>#NUM!</v>
      </c>
      <c r="AH40" s="347" t="str">
        <f ca="1">_xll.qlEuropeanExercise(,J40)</f>
        <v>obj_001a9#0001</v>
      </c>
      <c r="AI40" s="346" t="s">
        <v>1749</v>
      </c>
      <c r="AJ40" s="356" t="e">
        <f ca="1">_xll.qlSwaption(,AG40,AH40,AI40)</f>
        <v>#VALUE!</v>
      </c>
      <c r="AK40" s="357" t="str">
        <f ca="1">_xll.qlConstantSwaptionVolatility(,,H40,I40,F40)</f>
        <v>obj_006e4#0001</v>
      </c>
      <c r="AL40" s="357" t="e">
        <f ca="1">_xll.qlInstrumentSetPricingEngine(AJ40,_xll.qlBachelierBlackSwaptionEngine(,Curve!$S$16,AK40))</f>
        <v>#VALUE!</v>
      </c>
      <c r="AM40" s="358" t="e">
        <f ca="1">_xll.qlInstrumentNPV(AJ40,AL40)*2/_xll.qlYieldTSDiscount(Curve!$S$16,K40)</f>
        <v>#VALUE!</v>
      </c>
      <c r="AN40" s="358" t="e">
        <f ca="1">_xll.qlInstrumentResults(AJ40,"annuity",AL40)</f>
        <v>#VALUE!</v>
      </c>
      <c r="AO40" s="359" t="e">
        <f ca="1">G40/2*_xll.qlYieldTSDiscount(Curve!$S$16,K40)/AN40</f>
        <v>#VALUE!</v>
      </c>
      <c r="AP40" s="360" t="e">
        <f ca="1">_xll.qlBachelierBlackFormulaImpliedVol("Call",AD40,AD40,_xll.qlDayCounterYearFraction("Act/365 (Fixed)",C40,J40),AO40)</f>
        <v>#VALUE!</v>
      </c>
      <c r="AQ40" s="361" t="e">
        <f ca="1">_xll.qlBlackFormulaImpliedStdDev("Call",AD40,AD40,AO40)/SQRT(_xll.qlDayCounterYearFraction("Act/365 (Fixed)",C40,J40))</f>
        <v>#VALUE!</v>
      </c>
      <c r="AS40" s="363">
        <v>4.3065058936553654E-3</v>
      </c>
      <c r="AT40" s="363">
        <v>4.3748347527734844E-3</v>
      </c>
      <c r="AU40" s="365">
        <f t="shared" ca="1" si="2"/>
        <v>-4.6505893655365491E-5</v>
      </c>
      <c r="AV40" s="365">
        <f t="shared" ca="1" si="3"/>
        <v>-1.1483475277348446E-4</v>
      </c>
    </row>
    <row r="41" spans="2:48">
      <c r="B41" s="348" t="str">
        <f t="shared" ca="1" si="1"/>
        <v>2Yx3Y</v>
      </c>
      <c r="C41" s="345">
        <f t="shared" ca="1" si="0"/>
        <v>42254</v>
      </c>
      <c r="D41" s="346" t="s">
        <v>8</v>
      </c>
      <c r="E41" s="346" t="s">
        <v>9</v>
      </c>
      <c r="F41" s="351">
        <f ca="1">VLOOKUP(F$3&amp;$D41&amp;$E41,'Swaption Volatilities'!$V:$W,2,FALSE)%%</f>
        <v>5.0099999999999997E-3</v>
      </c>
      <c r="G41" s="352">
        <f ca="1">VLOOKUP(G$3&amp;$D41&amp;$E41,'Swaption Volatilities'!$V:$W,2,FALSE)</f>
        <v>168</v>
      </c>
      <c r="H41" s="346" t="s">
        <v>20</v>
      </c>
      <c r="I41" s="346" t="s">
        <v>21</v>
      </c>
      <c r="J41" s="345">
        <f ca="1">_xll.qlCalendarAdvance(H41,C41,D41,I41)</f>
        <v>42985</v>
      </c>
      <c r="K41" s="345">
        <f ca="1">_xll.qlCalendarAdvance(H41,J41,"2d")</f>
        <v>42989</v>
      </c>
      <c r="L41" s="345">
        <f ca="1">_xll.qlCalendarAdvance(H41,K41,E41,"unadjusted")</f>
        <v>44085</v>
      </c>
      <c r="M41" s="346" t="s">
        <v>7</v>
      </c>
      <c r="N41" s="346" t="s">
        <v>20</v>
      </c>
      <c r="O41" s="346" t="s">
        <v>21</v>
      </c>
      <c r="P41" s="346" t="s">
        <v>21</v>
      </c>
      <c r="Q41" s="346" t="s">
        <v>70</v>
      </c>
      <c r="R41" s="353" t="str">
        <f ca="1">_xll.qlSchedule(,K41,L41,M41,N41,O41,P41,Q41)</f>
        <v>obj_00546#0001</v>
      </c>
      <c r="S41" s="346" t="s">
        <v>19</v>
      </c>
      <c r="T41" s="346" t="s">
        <v>20</v>
      </c>
      <c r="U41" s="346" t="s">
        <v>21</v>
      </c>
      <c r="V41" s="346" t="s">
        <v>21</v>
      </c>
      <c r="W41" s="346" t="s">
        <v>70</v>
      </c>
      <c r="X41" s="353" t="str">
        <f ca="1">_xll.qlSchedule(,K41,L41,S41,T41,U41,V41,W41)</f>
        <v>obj_00545#0001</v>
      </c>
      <c r="Y41" s="349" t="s">
        <v>1742</v>
      </c>
      <c r="Z41" s="354" t="s">
        <v>36</v>
      </c>
      <c r="AA41" s="354" t="s">
        <v>1745</v>
      </c>
      <c r="AB41" s="353" t="str">
        <f ca="1">_xll.qlVanillaSwap(,,,R41,,Y41,X41,Z41,,AA41)</f>
        <v>obj_005d6#0001</v>
      </c>
      <c r="AC41" s="353" t="b">
        <f ca="1">_xll.qlInstrumentSetPricingEngine(AB41,_xll.qlDiscountingSwapEngine(,Curve!$S$16))</f>
        <v>1</v>
      </c>
      <c r="AD41" s="355" t="e">
        <f ca="1">_xll.qlVanillaSwapFairRate(AB41,AC41)</f>
        <v>#NUM!</v>
      </c>
      <c r="AE41" s="346" t="s">
        <v>1752</v>
      </c>
      <c r="AF41" s="347">
        <v>10000</v>
      </c>
      <c r="AG41" s="350" t="str">
        <f ca="1">_xll.qlVanillaSwap(,AE41,AF41,R41,AD41,Y41,X41,Z41,,AA41)</f>
        <v>obj_00688#0000</v>
      </c>
      <c r="AH41" s="347" t="str">
        <f ca="1">_xll.qlEuropeanExercise(,J41)</f>
        <v>obj_00123#0001</v>
      </c>
      <c r="AI41" s="346" t="s">
        <v>1749</v>
      </c>
      <c r="AJ41" s="356" t="str">
        <f ca="1">_xll.qlSwaption(,AG41,AH41,AI41)</f>
        <v>obj_00792#0001</v>
      </c>
      <c r="AK41" s="357" t="str">
        <f ca="1">_xll.qlConstantSwaptionVolatility(,,H41,I41,F41)</f>
        <v>obj_00104#0001</v>
      </c>
      <c r="AL41" s="357" t="b">
        <f ca="1">_xll.qlInstrumentSetPricingEngine(AJ41,_xll.qlBachelierBlackSwaptionEngine(,Curve!$S$16,AK41))</f>
        <v>1</v>
      </c>
      <c r="AM41" s="358">
        <f ca="1">_xll.qlInstrumentNPV(AJ41,AL41)*2/_xll.qlYieldTSDiscount(Curve!$S$16,K41)</f>
        <v>165.50273018279168</v>
      </c>
      <c r="AN41" s="358">
        <f ca="1">_xll.qlInstrumentResults(AJ41,"annuity",AL41)</f>
        <v>29337.413864530765</v>
      </c>
      <c r="AO41" s="359">
        <f ca="1">G41/2*_xll.qlYieldTSDiscount(Curve!$S$16,K41)/AN41</f>
        <v>2.8712047727249244E-3</v>
      </c>
      <c r="AP41" s="360" t="e">
        <f ca="1">_xll.qlBachelierBlackFormulaImpliedVol("Call",AD41,AD41,_xll.qlDayCounterYearFraction("Act/365 (Fixed)",C41,J41),AO41)</f>
        <v>#VALUE!</v>
      </c>
      <c r="AQ41" s="361" t="e">
        <f ca="1">_xll.qlBlackFormulaImpliedStdDev("Call",AD41,AD41,AO41)/SQRT(_xll.qlDayCounterYearFraction("Act/365 (Fixed)",C41,J41))</f>
        <v>#VALUE!</v>
      </c>
      <c r="AS41" s="363">
        <v>4.9784044480034075E-3</v>
      </c>
      <c r="AT41" s="363">
        <v>5.0855958634060412E-3</v>
      </c>
      <c r="AU41" s="365">
        <f t="shared" ca="1" si="2"/>
        <v>3.1595551996592246E-5</v>
      </c>
      <c r="AV41" s="365">
        <f t="shared" ca="1" si="3"/>
        <v>-7.5595863406041457E-5</v>
      </c>
    </row>
    <row r="42" spans="2:48">
      <c r="B42" s="348" t="str">
        <f t="shared" ca="1" si="1"/>
        <v>3Yx3Y</v>
      </c>
      <c r="C42" s="345">
        <f t="shared" ca="1" si="0"/>
        <v>42254</v>
      </c>
      <c r="D42" s="346" t="s">
        <v>9</v>
      </c>
      <c r="E42" s="346" t="s">
        <v>9</v>
      </c>
      <c r="F42" s="351">
        <f ca="1">VLOOKUP(F$3&amp;$D42&amp;$E42,'Swaption Volatilities'!$V:$W,2,FALSE)%%</f>
        <v>6.0699999999999999E-3</v>
      </c>
      <c r="G42" s="352">
        <f ca="1">VLOOKUP(G$3&amp;$D42&amp;$E42,'Swaption Volatilities'!$V:$W,2,FALSE)</f>
        <v>248</v>
      </c>
      <c r="H42" s="346" t="s">
        <v>20</v>
      </c>
      <c r="I42" s="346" t="s">
        <v>21</v>
      </c>
      <c r="J42" s="345">
        <f ca="1">_xll.qlCalendarAdvance(H42,C42,D42,I42)</f>
        <v>43350</v>
      </c>
      <c r="K42" s="345">
        <f ca="1">_xll.qlCalendarAdvance(H42,J42,"2d")</f>
        <v>43354</v>
      </c>
      <c r="L42" s="345">
        <f ca="1">_xll.qlCalendarAdvance(H42,K42,E42,"unadjusted")</f>
        <v>44450</v>
      </c>
      <c r="M42" s="346" t="s">
        <v>7</v>
      </c>
      <c r="N42" s="346" t="s">
        <v>20</v>
      </c>
      <c r="O42" s="346" t="s">
        <v>21</v>
      </c>
      <c r="P42" s="346" t="s">
        <v>21</v>
      </c>
      <c r="Q42" s="346" t="s">
        <v>70</v>
      </c>
      <c r="R42" s="353" t="str">
        <f ca="1">_xll.qlSchedule(,K42,L42,M42,N42,O42,P42,Q42)</f>
        <v>obj_00287#0000</v>
      </c>
      <c r="S42" s="346" t="s">
        <v>19</v>
      </c>
      <c r="T42" s="346" t="s">
        <v>20</v>
      </c>
      <c r="U42" s="346" t="s">
        <v>21</v>
      </c>
      <c r="V42" s="346" t="s">
        <v>21</v>
      </c>
      <c r="W42" s="346" t="s">
        <v>70</v>
      </c>
      <c r="X42" s="353" t="str">
        <f ca="1">_xll.qlSchedule(,K42,L42,S42,T42,U42,V42,W42)</f>
        <v>obj_0029b#0001</v>
      </c>
      <c r="Y42" s="349" t="s">
        <v>1742</v>
      </c>
      <c r="Z42" s="354" t="s">
        <v>36</v>
      </c>
      <c r="AA42" s="354" t="s">
        <v>1745</v>
      </c>
      <c r="AB42" s="353" t="str">
        <f ca="1">_xll.qlVanillaSwap(,,,R42,,Y42,X42,Z42,,AA42)</f>
        <v>obj_0030b#0001</v>
      </c>
      <c r="AC42" s="353" t="b">
        <f ca="1">_xll.qlInstrumentSetPricingEngine(AB42,_xll.qlDiscountingSwapEngine(,Curve!$S$16))</f>
        <v>1</v>
      </c>
      <c r="AD42" s="355">
        <f ca="1">_xll.qlVanillaSwapFairRate(AB42,AC42)</f>
        <v>8.519164878368882E-3</v>
      </c>
      <c r="AE42" s="346" t="s">
        <v>1752</v>
      </c>
      <c r="AF42" s="347">
        <v>10000</v>
      </c>
      <c r="AG42" s="350" t="str">
        <f ca="1">_xll.qlVanillaSwap(,AE42,AF42,R42,AD42,Y42,X42,Z42,,AA42)</f>
        <v>obj_004bb#0000</v>
      </c>
      <c r="AH42" s="347" t="str">
        <f ca="1">_xll.qlEuropeanExercise(,J42)</f>
        <v>obj_0027b#0001</v>
      </c>
      <c r="AI42" s="346" t="s">
        <v>1749</v>
      </c>
      <c r="AJ42" s="356" t="str">
        <f ca="1">_xll.qlSwaption(,AG42,AH42,AI42)</f>
        <v>obj_00663#0001</v>
      </c>
      <c r="AK42" s="357" t="str">
        <f ca="1">_xll.qlConstantSwaptionVolatility(,,H42,I42,F42)</f>
        <v>obj_000e4#0001</v>
      </c>
      <c r="AL42" s="357" t="b">
        <f ca="1">_xll.qlInstrumentSetPricingEngine(AJ42,_xll.qlBachelierBlackSwaptionEngine(,Curve!$S$16,AK42))</f>
        <v>1</v>
      </c>
      <c r="AM42" s="358">
        <f ca="1">_xll.qlInstrumentNPV(AJ42,AL42)*2/_xll.qlYieldTSDiscount(Curve!$S$16,K42)</f>
        <v>241.11993435546273</v>
      </c>
      <c r="AN42" s="358">
        <f ca="1">_xll.qlInstrumentResults(AJ42,"annuity",AL42)</f>
        <v>28804.469092862208</v>
      </c>
      <c r="AO42" s="359">
        <f ca="1">G42/2*_xll.qlYieldTSDiscount(Curve!$S$16,K42)/AN42</f>
        <v>4.3159476255232223E-3</v>
      </c>
      <c r="AP42" s="360">
        <f ca="1">_xll.qlBachelierBlackFormulaImpliedVol("Call",AD42,AD42,_xll.qlDayCounterYearFraction("Act/365 (Fixed)",C42,J42),AO42)</f>
        <v>6.2432001071332692E-3</v>
      </c>
      <c r="AQ42" s="361">
        <f ca="1">_xll.qlBlackFormulaImpliedStdDev("Call",AD42,AD42,AO42)/SQRT(_xll.qlDayCounterYearFraction("Act/365 (Fixed)",C42,J42))</f>
        <v>0.79053615160282575</v>
      </c>
      <c r="AS42" s="363">
        <v>6.0240294226973565E-3</v>
      </c>
      <c r="AT42" s="363">
        <v>6.2432001071332692E-3</v>
      </c>
      <c r="AU42" s="365">
        <f t="shared" ca="1" si="2"/>
        <v>4.5970577302643402E-5</v>
      </c>
      <c r="AV42" s="365">
        <f t="shared" ca="1" si="3"/>
        <v>-1.7320010713326936E-4</v>
      </c>
    </row>
    <row r="43" spans="2:48">
      <c r="B43" s="348" t="str">
        <f t="shared" ca="1" si="1"/>
        <v>4Yx3Y</v>
      </c>
      <c r="C43" s="345">
        <f t="shared" ca="1" si="0"/>
        <v>42254</v>
      </c>
      <c r="D43" s="346" t="s">
        <v>10</v>
      </c>
      <c r="E43" s="346" t="s">
        <v>9</v>
      </c>
      <c r="F43" s="351">
        <f ca="1">VLOOKUP(F$3&amp;$D43&amp;$E43,'Swaption Volatilities'!$V:$W,2,FALSE)%%</f>
        <v>6.6500000000000005E-3</v>
      </c>
      <c r="G43" s="352">
        <f ca="1">VLOOKUP(G$3&amp;$D43&amp;$E43,'Swaption Volatilities'!$V:$W,2,FALSE)</f>
        <v>311</v>
      </c>
      <c r="H43" s="346" t="s">
        <v>20</v>
      </c>
      <c r="I43" s="346" t="s">
        <v>21</v>
      </c>
      <c r="J43" s="345">
        <f ca="1">_xll.qlCalendarAdvance(H43,C43,D43,I43)</f>
        <v>43717</v>
      </c>
      <c r="K43" s="345">
        <f ca="1">_xll.qlCalendarAdvance(H43,J43,"2d")</f>
        <v>43719</v>
      </c>
      <c r="L43" s="345">
        <f ca="1">_xll.qlCalendarAdvance(H43,K43,E43,"unadjusted")</f>
        <v>44815</v>
      </c>
      <c r="M43" s="346" t="s">
        <v>7</v>
      </c>
      <c r="N43" s="346" t="s">
        <v>20</v>
      </c>
      <c r="O43" s="346" t="s">
        <v>21</v>
      </c>
      <c r="P43" s="346" t="s">
        <v>21</v>
      </c>
      <c r="Q43" s="346" t="s">
        <v>70</v>
      </c>
      <c r="R43" s="353" t="str">
        <f ca="1">_xll.qlSchedule(,K43,L43,M43,N43,O43,P43,Q43)</f>
        <v>obj_001fb#0001</v>
      </c>
      <c r="S43" s="346" t="s">
        <v>19</v>
      </c>
      <c r="T43" s="346" t="s">
        <v>20</v>
      </c>
      <c r="U43" s="346" t="s">
        <v>21</v>
      </c>
      <c r="V43" s="346" t="s">
        <v>21</v>
      </c>
      <c r="W43" s="346" t="s">
        <v>70</v>
      </c>
      <c r="X43" s="353" t="str">
        <f ca="1">_xll.qlSchedule(,K43,L43,S43,T43,U43,V43,W43)</f>
        <v>obj_003df#0001</v>
      </c>
      <c r="Y43" s="349" t="s">
        <v>1742</v>
      </c>
      <c r="Z43" s="354" t="s">
        <v>36</v>
      </c>
      <c r="AA43" s="354" t="s">
        <v>1745</v>
      </c>
      <c r="AB43" s="353" t="str">
        <f ca="1">_xll.qlVanillaSwap(,,,R43,,Y43,X43,Z43,,AA43)</f>
        <v>obj_003e0#0000</v>
      </c>
      <c r="AC43" s="353" t="b">
        <f ca="1">_xll.qlInstrumentSetPricingEngine(AB43,_xll.qlDiscountingSwapEngine(,Curve!$S$16))</f>
        <v>1</v>
      </c>
      <c r="AD43" s="355" t="e">
        <f ca="1">_xll.qlVanillaSwapFairRate(AB43,AC43)</f>
        <v>#NUM!</v>
      </c>
      <c r="AE43" s="346" t="s">
        <v>1752</v>
      </c>
      <c r="AF43" s="347">
        <v>10000</v>
      </c>
      <c r="AG43" s="350" t="e">
        <f ca="1">_xll.qlVanillaSwap(,AE43,AF43,R43,AD43,Y43,X43,Z43,,AA43)</f>
        <v>#NUM!</v>
      </c>
      <c r="AH43" s="347" t="str">
        <f ca="1">_xll.qlEuropeanExercise(,J43)</f>
        <v>obj_001e6#0001</v>
      </c>
      <c r="AI43" s="346" t="s">
        <v>1749</v>
      </c>
      <c r="AJ43" s="356" t="e">
        <f ca="1">_xll.qlSwaption(,AG43,AH43,AI43)</f>
        <v>#VALUE!</v>
      </c>
      <c r="AK43" s="357" t="str">
        <f ca="1">_xll.qlConstantSwaptionVolatility(,,H43,I43,F43)</f>
        <v>obj_00116#0001</v>
      </c>
      <c r="AL43" s="357" t="e">
        <f ca="1">_xll.qlInstrumentSetPricingEngine(AJ43,_xll.qlBachelierBlackSwaptionEngine(,Curve!$S$16,AK43))</f>
        <v>#VALUE!</v>
      </c>
      <c r="AM43" s="358" t="e">
        <f ca="1">_xll.qlInstrumentNPV(AJ43,AL43)*2/_xll.qlYieldTSDiscount(Curve!$S$16,K43)</f>
        <v>#VALUE!</v>
      </c>
      <c r="AN43" s="358" t="e">
        <f ca="1">_xll.qlInstrumentResults(AJ43,"annuity",AL43)</f>
        <v>#VALUE!</v>
      </c>
      <c r="AO43" s="359" t="e">
        <f ca="1">G43/2*_xll.qlYieldTSDiscount(Curve!$S$16,K43)/AN43</f>
        <v>#VALUE!</v>
      </c>
      <c r="AP43" s="360" t="e">
        <f ca="1">_xll.qlBachelierBlackFormulaImpliedVol("Call",AD43,AD43,_xll.qlDayCounterYearFraction("Act/365 (Fixed)",C43,J43),AO43)</f>
        <v>#VALUE!</v>
      </c>
      <c r="AQ43" s="361" t="e">
        <f ca="1">_xll.qlBlackFormulaImpliedStdDev("Call",AD43,AD43,AO43)/SQRT(_xll.qlDayCounterYearFraction("Act/365 (Fixed)",C43,J43))</f>
        <v>#VALUE!</v>
      </c>
      <c r="AS43" s="363">
        <v>6.5853787078366107E-3</v>
      </c>
      <c r="AT43" s="363">
        <v>6.946644463351621E-3</v>
      </c>
      <c r="AU43" s="365">
        <f t="shared" ca="1" si="2"/>
        <v>6.4621292163389785E-5</v>
      </c>
      <c r="AV43" s="365">
        <f t="shared" ca="1" si="3"/>
        <v>-2.9664446335162051E-4</v>
      </c>
    </row>
    <row r="44" spans="2:48">
      <c r="B44" s="348" t="str">
        <f t="shared" ca="1" si="1"/>
        <v>5Yx3Y</v>
      </c>
      <c r="C44" s="345">
        <f t="shared" ca="1" si="0"/>
        <v>42254</v>
      </c>
      <c r="D44" s="346" t="s">
        <v>11</v>
      </c>
      <c r="E44" s="346" t="s">
        <v>9</v>
      </c>
      <c r="F44" s="351">
        <f ca="1">VLOOKUP(F$3&amp;$D44&amp;$E44,'Swaption Volatilities'!$V:$W,2,FALSE)%%</f>
        <v>7.0900000000000008E-3</v>
      </c>
      <c r="G44" s="352">
        <f ca="1">VLOOKUP(G$3&amp;$D44&amp;$E44,'Swaption Volatilities'!$V:$W,2,FALSE)</f>
        <v>369</v>
      </c>
      <c r="H44" s="346" t="s">
        <v>20</v>
      </c>
      <c r="I44" s="346" t="s">
        <v>21</v>
      </c>
      <c r="J44" s="345">
        <f ca="1">_xll.qlCalendarAdvance(H44,C44,D44,I44)</f>
        <v>44081</v>
      </c>
      <c r="K44" s="345">
        <f ca="1">_xll.qlCalendarAdvance(H44,J44,"2d")</f>
        <v>44083</v>
      </c>
      <c r="L44" s="345">
        <f ca="1">_xll.qlCalendarAdvance(H44,K44,E44,"unadjusted")</f>
        <v>45178</v>
      </c>
      <c r="M44" s="346" t="s">
        <v>7</v>
      </c>
      <c r="N44" s="346" t="s">
        <v>20</v>
      </c>
      <c r="O44" s="346" t="s">
        <v>21</v>
      </c>
      <c r="P44" s="346" t="s">
        <v>21</v>
      </c>
      <c r="Q44" s="346" t="s">
        <v>70</v>
      </c>
      <c r="R44" s="353" t="str">
        <f ca="1">_xll.qlSchedule(,K44,L44,M44,N44,O44,P44,Q44)</f>
        <v>obj_006a9#0001</v>
      </c>
      <c r="S44" s="346" t="s">
        <v>19</v>
      </c>
      <c r="T44" s="346" t="s">
        <v>20</v>
      </c>
      <c r="U44" s="346" t="s">
        <v>21</v>
      </c>
      <c r="V44" s="346" t="s">
        <v>21</v>
      </c>
      <c r="W44" s="346" t="s">
        <v>70</v>
      </c>
      <c r="X44" s="353" t="str">
        <f ca="1">_xll.qlSchedule(,K44,L44,S44,T44,U44,V44,W44)</f>
        <v>obj_004b4#0001</v>
      </c>
      <c r="Y44" s="349" t="s">
        <v>1742</v>
      </c>
      <c r="Z44" s="354" t="s">
        <v>36</v>
      </c>
      <c r="AA44" s="354" t="s">
        <v>1745</v>
      </c>
      <c r="AB44" s="353" t="str">
        <f ca="1">_xll.qlVanillaSwap(,,,R44,,Y44,X44,Z44,,AA44)</f>
        <v>obj_00709#0001</v>
      </c>
      <c r="AC44" s="353" t="b">
        <f ca="1">_xll.qlInstrumentSetPricingEngine(AB44,_xll.qlDiscountingSwapEngine(,Curve!$S$16))</f>
        <v>1</v>
      </c>
      <c r="AD44" s="355" t="e">
        <f ca="1">_xll.qlVanillaSwapFairRate(AB44,AC44)</f>
        <v>#NUM!</v>
      </c>
      <c r="AE44" s="346" t="s">
        <v>1752</v>
      </c>
      <c r="AF44" s="347">
        <v>10000</v>
      </c>
      <c r="AG44" s="350" t="e">
        <f ca="1">_xll.qlVanillaSwap(,AE44,AF44,R44,AD44,Y44,X44,Z44,,AA44)</f>
        <v>#NUM!</v>
      </c>
      <c r="AH44" s="347" t="str">
        <f ca="1">_xll.qlEuropeanExercise(,J44)</f>
        <v>obj_001c9#0000</v>
      </c>
      <c r="AI44" s="346" t="s">
        <v>1749</v>
      </c>
      <c r="AJ44" s="356" t="e">
        <f ca="1">_xll.qlSwaption(,AG44,AH44,AI44)</f>
        <v>#VALUE!</v>
      </c>
      <c r="AK44" s="357" t="str">
        <f ca="1">_xll.qlConstantSwaptionVolatility(,,H44,I44,F44)</f>
        <v>obj_000da#0001</v>
      </c>
      <c r="AL44" s="357" t="e">
        <f ca="1">_xll.qlInstrumentSetPricingEngine(AJ44,_xll.qlBachelierBlackSwaptionEngine(,Curve!$S$16,AK44))</f>
        <v>#VALUE!</v>
      </c>
      <c r="AM44" s="358" t="e">
        <f ca="1">_xll.qlInstrumentNPV(AJ44,AL44)*2/_xll.qlYieldTSDiscount(Curve!$S$16,K44)</f>
        <v>#VALUE!</v>
      </c>
      <c r="AN44" s="358" t="e">
        <f ca="1">_xll.qlInstrumentResults(AJ44,"annuity",AL44)</f>
        <v>#VALUE!</v>
      </c>
      <c r="AO44" s="359" t="e">
        <f ca="1">G44/2*_xll.qlYieldTSDiscount(Curve!$S$16,K44)/AN44</f>
        <v>#VALUE!</v>
      </c>
      <c r="AP44" s="360" t="e">
        <f ca="1">_xll.qlBachelierBlackFormulaImpliedVol("Call",AD44,AD44,_xll.qlDayCounterYearFraction("Act/365 (Fixed)",C44,J44),AO44)</f>
        <v>#VALUE!</v>
      </c>
      <c r="AQ44" s="361" t="e">
        <f ca="1">_xll.qlBlackFormulaImpliedStdDev("Call",AD44,AD44,AO44)/SQRT(_xll.qlDayCounterYearFraction("Act/365 (Fixed)",C44,J44))</f>
        <v>#VALUE!</v>
      </c>
      <c r="AS44" s="363">
        <v>7.0308930435960997E-3</v>
      </c>
      <c r="AT44" s="363">
        <v>7.5648595232297991E-3</v>
      </c>
      <c r="AU44" s="365">
        <f t="shared" ca="1" si="2"/>
        <v>5.910695640390113E-5</v>
      </c>
      <c r="AV44" s="365">
        <f t="shared" ca="1" si="3"/>
        <v>-4.7485952322979825E-4</v>
      </c>
    </row>
    <row r="45" spans="2:48">
      <c r="B45" s="348" t="str">
        <f t="shared" ca="1" si="1"/>
        <v>7Yx3Y</v>
      </c>
      <c r="C45" s="345">
        <f t="shared" ca="1" si="0"/>
        <v>42254</v>
      </c>
      <c r="D45" s="346" t="s">
        <v>13</v>
      </c>
      <c r="E45" s="346" t="s">
        <v>9</v>
      </c>
      <c r="F45" s="351">
        <f ca="1">VLOOKUP(F$3&amp;$D45&amp;$E45,'Swaption Volatilities'!$V:$W,2,FALSE)%%</f>
        <v>7.3200000000000001E-3</v>
      </c>
      <c r="G45" s="352">
        <f ca="1">VLOOKUP(G$3&amp;$D45&amp;$E45,'Swaption Volatilities'!$V:$W,2,FALSE)</f>
        <v>447</v>
      </c>
      <c r="H45" s="346" t="s">
        <v>20</v>
      </c>
      <c r="I45" s="346" t="s">
        <v>21</v>
      </c>
      <c r="J45" s="345">
        <f ca="1">_xll.qlCalendarAdvance(H45,C45,D45,I45)</f>
        <v>44811</v>
      </c>
      <c r="K45" s="345">
        <f ca="1">_xll.qlCalendarAdvance(H45,J45,"2d")</f>
        <v>44813</v>
      </c>
      <c r="L45" s="345">
        <f ca="1">_xll.qlCalendarAdvance(H45,K45,E45,"unadjusted")</f>
        <v>45909</v>
      </c>
      <c r="M45" s="346" t="s">
        <v>7</v>
      </c>
      <c r="N45" s="346" t="s">
        <v>20</v>
      </c>
      <c r="O45" s="346" t="s">
        <v>21</v>
      </c>
      <c r="P45" s="346" t="s">
        <v>21</v>
      </c>
      <c r="Q45" s="346" t="s">
        <v>70</v>
      </c>
      <c r="R45" s="353" t="str">
        <f ca="1">_xll.qlSchedule(,K45,L45,M45,N45,O45,P45,Q45)</f>
        <v>obj_00591#0000</v>
      </c>
      <c r="S45" s="346" t="s">
        <v>19</v>
      </c>
      <c r="T45" s="346" t="s">
        <v>20</v>
      </c>
      <c r="U45" s="346" t="s">
        <v>21</v>
      </c>
      <c r="V45" s="346" t="s">
        <v>21</v>
      </c>
      <c r="W45" s="346" t="s">
        <v>70</v>
      </c>
      <c r="X45" s="353" t="str">
        <f ca="1">_xll.qlSchedule(,K45,L45,S45,T45,U45,V45,W45)</f>
        <v>obj_00592#0001</v>
      </c>
      <c r="Y45" s="349" t="s">
        <v>1742</v>
      </c>
      <c r="Z45" s="354" t="s">
        <v>36</v>
      </c>
      <c r="AA45" s="354" t="s">
        <v>1745</v>
      </c>
      <c r="AB45" s="353" t="str">
        <f ca="1">_xll.qlVanillaSwap(,,,R45,,Y45,X45,Z45,,AA45)</f>
        <v>obj_00609#0001</v>
      </c>
      <c r="AC45" s="353" t="b">
        <f ca="1">_xll.qlInstrumentSetPricingEngine(AB45,_xll.qlDiscountingSwapEngine(,Curve!$S$16))</f>
        <v>1</v>
      </c>
      <c r="AD45" s="355" t="e">
        <f ca="1">_xll.qlVanillaSwapFairRate(AB45,AC45)</f>
        <v>#NUM!</v>
      </c>
      <c r="AE45" s="346" t="s">
        <v>1752</v>
      </c>
      <c r="AF45" s="347">
        <v>10000</v>
      </c>
      <c r="AG45" s="350" t="str">
        <f ca="1">_xll.qlVanillaSwap(,AE45,AF45,R45,AD45,Y45,X45,Z45,,AA45)</f>
        <v>obj_006ba#0000</v>
      </c>
      <c r="AH45" s="347" t="str">
        <f ca="1">_xll.qlEuropeanExercise(,J45)</f>
        <v>obj_004eb#0001</v>
      </c>
      <c r="AI45" s="346" t="s">
        <v>1749</v>
      </c>
      <c r="AJ45" s="356" t="str">
        <f ca="1">_xll.qlSwaption(,AG45,AH45,AI45)</f>
        <v>obj_0078c#0001</v>
      </c>
      <c r="AK45" s="357" t="str">
        <f ca="1">_xll.qlConstantSwaptionVolatility(,,H45,I45,F45)</f>
        <v>obj_00098#0001</v>
      </c>
      <c r="AL45" s="357" t="b">
        <f ca="1">_xll.qlInstrumentSetPricingEngine(AJ45,_xll.qlBachelierBlackSwaptionEngine(,Curve!$S$16,AK45))</f>
        <v>1</v>
      </c>
      <c r="AM45" s="358">
        <f ca="1">_xll.qlInstrumentNPV(AJ45,AL45)*2/_xll.qlYieldTSDiscount(Curve!$S$16,K45)</f>
        <v>403.24601389963226</v>
      </c>
      <c r="AN45" s="358">
        <f ca="1">_xll.qlInstrumentResults(AJ45,"annuity",AL45)</f>
        <v>25396.711923762312</v>
      </c>
      <c r="AO45" s="359">
        <f ca="1">G45/2*_xll.qlYieldTSDiscount(Curve!$S$16,K45)/AN45</f>
        <v>8.5679617445683087E-3</v>
      </c>
      <c r="AP45" s="360" t="e">
        <f ca="1">_xll.qlBachelierBlackFormulaImpliedVol("Call",AD45,AD45,_xll.qlDayCounterYearFraction("Act/365 (Fixed)",C45,J45),AO45)</f>
        <v>#VALUE!</v>
      </c>
      <c r="AQ45" s="361" t="e">
        <f ca="1">_xll.qlBlackFormulaImpliedStdDev("Call",AD45,AD45,AO45)/SQRT(_xll.qlDayCounterYearFraction("Act/365 (Fixed)",C45,J45))</f>
        <v>#VALUE!</v>
      </c>
      <c r="AS45" s="363">
        <v>7.283262659406411E-3</v>
      </c>
      <c r="AT45" s="363">
        <v>8.1142525585247201E-3</v>
      </c>
      <c r="AU45" s="365">
        <f t="shared" ca="1" si="2"/>
        <v>3.673734059358915E-5</v>
      </c>
      <c r="AV45" s="365">
        <f t="shared" ca="1" si="3"/>
        <v>-7.9425255852472003E-4</v>
      </c>
    </row>
    <row r="46" spans="2:48">
      <c r="B46" s="348" t="str">
        <f t="shared" ca="1" si="1"/>
        <v>10Yx3Y</v>
      </c>
      <c r="C46" s="345">
        <f t="shared" ca="1" si="0"/>
        <v>42254</v>
      </c>
      <c r="D46" s="346" t="s">
        <v>16</v>
      </c>
      <c r="E46" s="346" t="s">
        <v>9</v>
      </c>
      <c r="F46" s="351">
        <f ca="1">VLOOKUP(F$3&amp;$D46&amp;$E46,'Swaption Volatilities'!$V:$W,2,FALSE)%%</f>
        <v>7.3800000000000003E-3</v>
      </c>
      <c r="G46" s="352">
        <f ca="1">VLOOKUP(G$3&amp;$D46&amp;$E46,'Swaption Volatilities'!$V:$W,2,FALSE)</f>
        <v>536</v>
      </c>
      <c r="H46" s="346" t="s">
        <v>20</v>
      </c>
      <c r="I46" s="346" t="s">
        <v>21</v>
      </c>
      <c r="J46" s="345">
        <f ca="1">_xll.qlCalendarAdvance(H46,C46,D46,I46)</f>
        <v>45908</v>
      </c>
      <c r="K46" s="345">
        <f ca="1">_xll.qlCalendarAdvance(H46,J46,"2d")</f>
        <v>45910</v>
      </c>
      <c r="L46" s="345">
        <f ca="1">_xll.qlCalendarAdvance(H46,K46,E46,"unadjusted")</f>
        <v>47006</v>
      </c>
      <c r="M46" s="346" t="s">
        <v>7</v>
      </c>
      <c r="N46" s="346" t="s">
        <v>20</v>
      </c>
      <c r="O46" s="346" t="s">
        <v>21</v>
      </c>
      <c r="P46" s="346" t="s">
        <v>21</v>
      </c>
      <c r="Q46" s="346" t="s">
        <v>70</v>
      </c>
      <c r="R46" s="353" t="str">
        <f ca="1">_xll.qlSchedule(,K46,L46,M46,N46,O46,P46,Q46)</f>
        <v>obj_005fe#0001</v>
      </c>
      <c r="S46" s="346" t="s">
        <v>19</v>
      </c>
      <c r="T46" s="346" t="s">
        <v>20</v>
      </c>
      <c r="U46" s="346" t="s">
        <v>21</v>
      </c>
      <c r="V46" s="346" t="s">
        <v>21</v>
      </c>
      <c r="W46" s="346" t="s">
        <v>70</v>
      </c>
      <c r="X46" s="353" t="str">
        <f ca="1">_xll.qlSchedule(,K46,L46,S46,T46,U46,V46,W46)</f>
        <v>obj_005fd#0001</v>
      </c>
      <c r="Y46" s="349" t="s">
        <v>1742</v>
      </c>
      <c r="Z46" s="354" t="s">
        <v>36</v>
      </c>
      <c r="AA46" s="354" t="s">
        <v>1745</v>
      </c>
      <c r="AB46" s="353" t="str">
        <f ca="1">_xll.qlVanillaSwap(,,,R46,,Y46,X46,Z46,,AA46)</f>
        <v>obj_00631#0001</v>
      </c>
      <c r="AC46" s="353" t="b">
        <f ca="1">_xll.qlInstrumentSetPricingEngine(AB46,_xll.qlDiscountingSwapEngine(,Curve!$S$16))</f>
        <v>1</v>
      </c>
      <c r="AD46" s="355">
        <f ca="1">_xll.qlVanillaSwapFairRate(AB46,AC46)</f>
        <v>2.1493099763182859E-2</v>
      </c>
      <c r="AE46" s="346" t="s">
        <v>1752</v>
      </c>
      <c r="AF46" s="347">
        <v>10000</v>
      </c>
      <c r="AG46" s="350" t="str">
        <f ca="1">_xll.qlVanillaSwap(,AE46,AF46,R46,AD46,Y46,X46,Z46,,AA46)</f>
        <v>obj_0063c#0000</v>
      </c>
      <c r="AH46" s="347" t="str">
        <f ca="1">_xll.qlEuropeanExercise(,J46)</f>
        <v>obj_004d1#0001</v>
      </c>
      <c r="AI46" s="346" t="s">
        <v>1749</v>
      </c>
      <c r="AJ46" s="356" t="str">
        <f ca="1">_xll.qlSwaption(,AG46,AH46,AI46)</f>
        <v>obj_00678#0001</v>
      </c>
      <c r="AK46" s="357" t="str">
        <f ca="1">_xll.qlConstantSwaptionVolatility(,,H46,I46,F46)</f>
        <v>obj_000df#0001</v>
      </c>
      <c r="AL46" s="357" t="b">
        <f ca="1">_xll.qlInstrumentSetPricingEngine(AJ46,_xll.qlBachelierBlackSwaptionEngine(,Curve!$S$16,AK46))</f>
        <v>1</v>
      </c>
      <c r="AM46" s="358">
        <f ca="1">_xll.qlInstrumentNPV(AJ46,AL46)*2/_xll.qlYieldTSDiscount(Curve!$S$16,K46)</f>
        <v>467.77381672830256</v>
      </c>
      <c r="AN46" s="358">
        <f ca="1">_xll.qlInstrumentResults(AJ46,"annuity",AL46)</f>
        <v>23263.205010665602</v>
      </c>
      <c r="AO46" s="359">
        <f ca="1">G46/2*_xll.qlYieldTSDiscount(Curve!$S$16,K46)/AN46</f>
        <v>1.0674146221372138E-2</v>
      </c>
      <c r="AP46" s="360">
        <f ca="1">_xll.qlBachelierBlackFormulaImpliedVol("Call",AD46,AD46,_xll.qlDayCounterYearFraction("Act/365 (Fixed)",C46,J46),AO46)</f>
        <v>8.4563946474532498E-3</v>
      </c>
      <c r="AQ46" s="361">
        <f ca="1">_xll.qlBlackFormulaImpliedStdDev("Call",AD46,AD46,AO46)/SQRT(_xll.qlDayCounterYearFraction("Act/365 (Fixed)",C46,J46))</f>
        <v>0.42300674060460014</v>
      </c>
      <c r="AS46" s="363">
        <v>7.3524450070990011E-3</v>
      </c>
      <c r="AT46" s="363">
        <v>8.4563946474532498E-3</v>
      </c>
      <c r="AU46" s="365">
        <f t="shared" ca="1" si="2"/>
        <v>2.7554992900999213E-5</v>
      </c>
      <c r="AV46" s="365">
        <f t="shared" ca="1" si="3"/>
        <v>-1.0763946474532495E-3</v>
      </c>
    </row>
    <row r="47" spans="2:48">
      <c r="B47" s="348" t="str">
        <f t="shared" ca="1" si="1"/>
        <v>15Yx3Y</v>
      </c>
      <c r="C47" s="345">
        <f t="shared" ca="1" si="0"/>
        <v>42254</v>
      </c>
      <c r="D47" s="346" t="s">
        <v>17</v>
      </c>
      <c r="E47" s="346" t="s">
        <v>9</v>
      </c>
      <c r="F47" s="351">
        <f ca="1">VLOOKUP(F$3&amp;$D47&amp;$E47,'Swaption Volatilities'!$V:$W,2,FALSE)%%</f>
        <v>7.0799999999999995E-3</v>
      </c>
      <c r="G47" s="352">
        <f ca="1">VLOOKUP(G$3&amp;$D47&amp;$E47,'Swaption Volatilities'!$V:$W,2,FALSE)</f>
        <v>630</v>
      </c>
      <c r="H47" s="346" t="s">
        <v>20</v>
      </c>
      <c r="I47" s="346" t="s">
        <v>21</v>
      </c>
      <c r="J47" s="345">
        <f ca="1">_xll.qlCalendarAdvance(H47,C47,D47,I47)</f>
        <v>47735</v>
      </c>
      <c r="K47" s="345">
        <f ca="1">_xll.qlCalendarAdvance(H47,J47,"2d")</f>
        <v>47737</v>
      </c>
      <c r="L47" s="345">
        <f ca="1">_xll.qlCalendarAdvance(H47,K47,E47,"unadjusted")</f>
        <v>48833</v>
      </c>
      <c r="M47" s="346" t="s">
        <v>7</v>
      </c>
      <c r="N47" s="346" t="s">
        <v>20</v>
      </c>
      <c r="O47" s="346" t="s">
        <v>21</v>
      </c>
      <c r="P47" s="346" t="s">
        <v>21</v>
      </c>
      <c r="Q47" s="346" t="s">
        <v>70</v>
      </c>
      <c r="R47" s="353" t="str">
        <f ca="1">_xll.qlSchedule(,K47,L47,M47,N47,O47,P47,Q47)</f>
        <v>obj_002ec#0001</v>
      </c>
      <c r="S47" s="346" t="s">
        <v>19</v>
      </c>
      <c r="T47" s="346" t="s">
        <v>20</v>
      </c>
      <c r="U47" s="346" t="s">
        <v>21</v>
      </c>
      <c r="V47" s="346" t="s">
        <v>21</v>
      </c>
      <c r="W47" s="346" t="s">
        <v>70</v>
      </c>
      <c r="X47" s="353" t="str">
        <f ca="1">_xll.qlSchedule(,K47,L47,S47,T47,U47,V47,W47)</f>
        <v>obj_00288#0001</v>
      </c>
      <c r="Y47" s="349" t="s">
        <v>1742</v>
      </c>
      <c r="Z47" s="354" t="s">
        <v>36</v>
      </c>
      <c r="AA47" s="354" t="s">
        <v>1745</v>
      </c>
      <c r="AB47" s="353" t="str">
        <f ca="1">_xll.qlVanillaSwap(,,,R47,,Y47,X47,Z47,,AA47)</f>
        <v>obj_0034f#0001</v>
      </c>
      <c r="AC47" s="353" t="b">
        <f ca="1">_xll.qlInstrumentSetPricingEngine(AB47,_xll.qlDiscountingSwapEngine(,Curve!$S$16))</f>
        <v>1</v>
      </c>
      <c r="AD47" s="355">
        <f ca="1">_xll.qlVanillaSwapFairRate(AB47,AC47)</f>
        <v>2.0797464972225482E-2</v>
      </c>
      <c r="AE47" s="346" t="s">
        <v>1752</v>
      </c>
      <c r="AF47" s="347">
        <v>10000</v>
      </c>
      <c r="AG47" s="350" t="str">
        <f ca="1">_xll.qlVanillaSwap(,AE47,AF47,R47,AD47,Y47,X47,Z47,,AA47)</f>
        <v>obj_004cb#0000</v>
      </c>
      <c r="AH47" s="347" t="str">
        <f ca="1">_xll.qlEuropeanExercise(,J47)</f>
        <v>obj_000ef#0001</v>
      </c>
      <c r="AI47" s="346" t="s">
        <v>1749</v>
      </c>
      <c r="AJ47" s="356" t="str">
        <f ca="1">_xll.qlSwaption(,AG47,AH47,AI47)</f>
        <v>obj_0069b#0001</v>
      </c>
      <c r="AK47" s="357" t="str">
        <f ca="1">_xll.qlConstantSwaptionVolatility(,,H47,I47,F47)</f>
        <v>obj_000b5#0001</v>
      </c>
      <c r="AL47" s="357" t="b">
        <f ca="1">_xll.qlInstrumentSetPricingEngine(AJ47,_xll.qlBachelierBlackSwaptionEngine(,Curve!$S$16,AK47))</f>
        <v>1</v>
      </c>
      <c r="AM47" s="358">
        <f ca="1">_xll.qlInstrumentNPV(AJ47,AL47)*2/_xll.qlYieldTSDiscount(Curve!$S$16,K47)</f>
        <v>552.42371422508063</v>
      </c>
      <c r="AN47" s="358">
        <f ca="1">_xll.qlInstrumentResults(AJ47,"annuity",AL47)</f>
        <v>21159.027994944787</v>
      </c>
      <c r="AO47" s="359">
        <f ca="1">G47/2*_xll.qlYieldTSDiscount(Curve!$S$16,K47)/AN47</f>
        <v>1.248231184230561E-2</v>
      </c>
      <c r="AP47" s="360">
        <f ca="1">_xll.qlBachelierBlackFormulaImpliedVol("Call",AD47,AD47,_xll.qlDayCounterYearFraction("Act/365 (Fixed)",C47,J47),AO47)</f>
        <v>8.0742370125382254E-3</v>
      </c>
      <c r="AQ47" s="361">
        <f ca="1">_xll.qlBlackFormulaImpliedStdDev("Call",AD47,AD47,AO47)/SQRT(_xll.qlDayCounterYearFraction("Act/365 (Fixed)",C47,J47))</f>
        <v>0.43454328729576142</v>
      </c>
      <c r="AS47" s="363">
        <v>7.058412732069066E-3</v>
      </c>
      <c r="AT47" s="363">
        <v>8.0742370125382254E-3</v>
      </c>
      <c r="AU47" s="365">
        <f t="shared" ca="1" si="2"/>
        <v>2.1587267930933511E-5</v>
      </c>
      <c r="AV47" s="365">
        <f t="shared" ca="1" si="3"/>
        <v>-9.9423701253822591E-4</v>
      </c>
    </row>
    <row r="48" spans="2:48">
      <c r="B48" s="348" t="str">
        <f t="shared" ca="1" si="1"/>
        <v>20Yx3Y</v>
      </c>
      <c r="C48" s="345">
        <f t="shared" ca="1" si="0"/>
        <v>42254</v>
      </c>
      <c r="D48" s="346" t="s">
        <v>104</v>
      </c>
      <c r="E48" s="346" t="s">
        <v>9</v>
      </c>
      <c r="F48" s="351">
        <f ca="1">VLOOKUP(F$3&amp;$D48&amp;$E48,'Swaption Volatilities'!$V:$W,2,FALSE)%%</f>
        <v>6.7200000000000003E-3</v>
      </c>
      <c r="G48" s="352">
        <f ca="1">VLOOKUP(G$3&amp;$D48&amp;$E48,'Swaption Volatilities'!$V:$W,2,FALSE)</f>
        <v>695</v>
      </c>
      <c r="H48" s="346" t="s">
        <v>20</v>
      </c>
      <c r="I48" s="346" t="s">
        <v>21</v>
      </c>
      <c r="J48" s="345">
        <f ca="1">_xll.qlCalendarAdvance(H48,C48,D48,I48)</f>
        <v>49559</v>
      </c>
      <c r="K48" s="345">
        <f ca="1">_xll.qlCalendarAdvance(H48,J48,"2d")</f>
        <v>49563</v>
      </c>
      <c r="L48" s="345">
        <f ca="1">_xll.qlCalendarAdvance(H48,K48,E48,"unadjusted")</f>
        <v>50659</v>
      </c>
      <c r="M48" s="346" t="s">
        <v>7</v>
      </c>
      <c r="N48" s="346" t="s">
        <v>20</v>
      </c>
      <c r="O48" s="346" t="s">
        <v>21</v>
      </c>
      <c r="P48" s="346" t="s">
        <v>21</v>
      </c>
      <c r="Q48" s="346" t="s">
        <v>70</v>
      </c>
      <c r="R48" s="353" t="str">
        <f ca="1">_xll.qlSchedule(,K48,L48,M48,N48,O48,P48,Q48)</f>
        <v>obj_00283#0001</v>
      </c>
      <c r="S48" s="346" t="s">
        <v>19</v>
      </c>
      <c r="T48" s="346" t="s">
        <v>20</v>
      </c>
      <c r="U48" s="346" t="s">
        <v>21</v>
      </c>
      <c r="V48" s="346" t="s">
        <v>21</v>
      </c>
      <c r="W48" s="346" t="s">
        <v>70</v>
      </c>
      <c r="X48" s="353" t="str">
        <f ca="1">_xll.qlSchedule(,K48,L48,S48,T48,U48,V48,W48)</f>
        <v>obj_001f5#0001</v>
      </c>
      <c r="Y48" s="349" t="s">
        <v>1742</v>
      </c>
      <c r="Z48" s="354" t="s">
        <v>36</v>
      </c>
      <c r="AA48" s="354" t="s">
        <v>1745</v>
      </c>
      <c r="AB48" s="353" t="str">
        <f ca="1">_xll.qlVanillaSwap(,,,R48,,Y48,X48,Z48,,AA48)</f>
        <v>obj_00389#0001</v>
      </c>
      <c r="AC48" s="353" t="b">
        <f ca="1">_xll.qlInstrumentSetPricingEngine(AB48,_xll.qlDiscountingSwapEngine(,Curve!$S$16))</f>
        <v>1</v>
      </c>
      <c r="AD48" s="355" t="e">
        <f ca="1">_xll.qlVanillaSwapFairRate(AB48,AC48)</f>
        <v>#NUM!</v>
      </c>
      <c r="AE48" s="346" t="s">
        <v>1752</v>
      </c>
      <c r="AF48" s="347">
        <v>10000</v>
      </c>
      <c r="AG48" s="350" t="str">
        <f ca="1">_xll.qlVanillaSwap(,AE48,AF48,R48,AD48,Y48,X48,Z48,,AA48)</f>
        <v>obj_006dc#0000</v>
      </c>
      <c r="AH48" s="347" t="str">
        <f ca="1">_xll.qlEuropeanExercise(,J48)</f>
        <v>obj_00126#0001</v>
      </c>
      <c r="AI48" s="346" t="s">
        <v>1749</v>
      </c>
      <c r="AJ48" s="356" t="str">
        <f ca="1">_xll.qlSwaption(,AG48,AH48,AI48)</f>
        <v>obj_00763#0001</v>
      </c>
      <c r="AK48" s="357" t="str">
        <f ca="1">_xll.qlConstantSwaptionVolatility(,,H48,I48,F48)</f>
        <v>obj_000ad#0001</v>
      </c>
      <c r="AL48" s="357" t="b">
        <f ca="1">_xll.qlInstrumentSetPricingEngine(AJ48,_xll.qlBachelierBlackSwaptionEngine(,Curve!$S$16,AK48))</f>
        <v>1</v>
      </c>
      <c r="AM48" s="358">
        <f ca="1">_xll.qlInstrumentNPV(AJ48,AL48)*2/_xll.qlYieldTSDiscount(Curve!$S$16,K48)</f>
        <v>647.80275555002891</v>
      </c>
      <c r="AN48" s="358">
        <f ca="1">_xll.qlInstrumentResults(AJ48,"annuity",AL48)</f>
        <v>20582.377841578193</v>
      </c>
      <c r="AO48" s="359">
        <f ca="1">G48/2*_xll.qlYieldTSDiscount(Curve!$S$16,K48)/AN48</f>
        <v>1.2867229003247604E-2</v>
      </c>
      <c r="AP48" s="360" t="e">
        <f ca="1">_xll.qlBachelierBlackFormulaImpliedVol("Call",AD48,AD48,_xll.qlDayCounterYearFraction("Act/365 (Fixed)",C48,J48),AO48)</f>
        <v>#VALUE!</v>
      </c>
      <c r="AQ48" s="361" t="e">
        <f ca="1">_xll.qlBlackFormulaImpliedStdDev("Call",AD48,AD48,AO48)/SQRT(_xll.qlDayCounterYearFraction("Act/365 (Fixed)",C48,J48))</f>
        <v>#VALUE!</v>
      </c>
      <c r="AS48" s="363">
        <v>6.7007090542300189E-3</v>
      </c>
      <c r="AT48" s="363">
        <v>7.2096019351361321E-3</v>
      </c>
      <c r="AU48" s="365">
        <f t="shared" ca="1" si="2"/>
        <v>1.929094576998136E-5</v>
      </c>
      <c r="AV48" s="365">
        <f t="shared" ca="1" si="3"/>
        <v>-4.8960193513613182E-4</v>
      </c>
    </row>
    <row r="49" spans="2:48">
      <c r="B49" s="348" t="str">
        <f t="shared" ca="1" si="1"/>
        <v>1Mx4Y</v>
      </c>
      <c r="C49" s="345">
        <f t="shared" ca="1" si="0"/>
        <v>42254</v>
      </c>
      <c r="D49" s="346" t="s">
        <v>23</v>
      </c>
      <c r="E49" s="346" t="s">
        <v>10</v>
      </c>
      <c r="F49" s="351">
        <f ca="1">VLOOKUP(F$3&amp;$D49&amp;$E49,'Swaption Volatilities'!$V:$W,2,FALSE)%%</f>
        <v>3.0499999999999998E-3</v>
      </c>
      <c r="G49" s="352">
        <f ca="1">VLOOKUP(G$3&amp;$D49&amp;$E49,'Swaption Volatilities'!$V:$W,2,FALSE)</f>
        <v>27.5</v>
      </c>
      <c r="H49" s="346" t="s">
        <v>20</v>
      </c>
      <c r="I49" s="346" t="s">
        <v>21</v>
      </c>
      <c r="J49" s="345">
        <f ca="1">_xll.qlCalendarAdvance(H49,C49,D49,I49)</f>
        <v>42284</v>
      </c>
      <c r="K49" s="345">
        <f ca="1">_xll.qlCalendarAdvance(H49,J49,"2d")</f>
        <v>42286</v>
      </c>
      <c r="L49" s="345">
        <f ca="1">_xll.qlCalendarAdvance(H49,K49,E49,"unadjusted")</f>
        <v>43747</v>
      </c>
      <c r="M49" s="346" t="s">
        <v>7</v>
      </c>
      <c r="N49" s="346" t="s">
        <v>20</v>
      </c>
      <c r="O49" s="346" t="s">
        <v>21</v>
      </c>
      <c r="P49" s="346" t="s">
        <v>21</v>
      </c>
      <c r="Q49" s="346" t="s">
        <v>70</v>
      </c>
      <c r="R49" s="353" t="str">
        <f ca="1">_xll.qlSchedule(,K49,L49,M49,N49,O49,P49,Q49)</f>
        <v>obj_005ee#0001</v>
      </c>
      <c r="S49" s="346" t="s">
        <v>19</v>
      </c>
      <c r="T49" s="346" t="s">
        <v>20</v>
      </c>
      <c r="U49" s="346" t="s">
        <v>21</v>
      </c>
      <c r="V49" s="346" t="s">
        <v>21</v>
      </c>
      <c r="W49" s="346" t="s">
        <v>70</v>
      </c>
      <c r="X49" s="353" t="str">
        <f ca="1">_xll.qlSchedule(,K49,L49,S49,T49,U49,V49,W49)</f>
        <v>obj_005ef#0001</v>
      </c>
      <c r="Y49" s="349" t="s">
        <v>1742</v>
      </c>
      <c r="Z49" s="354" t="s">
        <v>36</v>
      </c>
      <c r="AA49" s="354" t="s">
        <v>1745</v>
      </c>
      <c r="AB49" s="353" t="str">
        <f ca="1">_xll.qlVanillaSwap(,,,R49,,Y49,X49,Z49,,AA49)</f>
        <v>obj_0062a#0001</v>
      </c>
      <c r="AC49" s="353" t="b">
        <f ca="1">_xll.qlInstrumentSetPricingEngine(AB49,_xll.qlDiscountingSwapEngine(,Curve!$S$16))</f>
        <v>1</v>
      </c>
      <c r="AD49" s="355" t="e">
        <f ca="1">_xll.qlVanillaSwapFairRate(AB49,AC49)</f>
        <v>#NUM!</v>
      </c>
      <c r="AE49" s="346" t="s">
        <v>1752</v>
      </c>
      <c r="AF49" s="347">
        <v>10000</v>
      </c>
      <c r="AG49" s="350" t="e">
        <f ca="1">_xll.qlVanillaSwap(,AE49,AF49,R49,AD49,Y49,X49,Z49,,AA49)</f>
        <v>#NUM!</v>
      </c>
      <c r="AH49" s="347" t="str">
        <f ca="1">_xll.qlEuropeanExercise(,J49)</f>
        <v>obj_004bd#0001</v>
      </c>
      <c r="AI49" s="346" t="s">
        <v>1749</v>
      </c>
      <c r="AJ49" s="356" t="e">
        <f ca="1">_xll.qlSwaption(,AG49,AH49,AI49)</f>
        <v>#VALUE!</v>
      </c>
      <c r="AK49" s="357" t="str">
        <f ca="1">_xll.qlConstantSwaptionVolatility(,,H49,I49,F49)</f>
        <v>obj_000cc#0001</v>
      </c>
      <c r="AL49" s="357" t="e">
        <f ca="1">_xll.qlInstrumentSetPricingEngine(AJ49,_xll.qlBachelierBlackSwaptionEngine(,Curve!$S$16,AK49))</f>
        <v>#VALUE!</v>
      </c>
      <c r="AM49" s="358" t="e">
        <f ca="1">_xll.qlInstrumentNPV(AJ49,AL49)*2/_xll.qlYieldTSDiscount(Curve!$S$16,K49)</f>
        <v>#VALUE!</v>
      </c>
      <c r="AN49" s="358" t="e">
        <f ca="1">_xll.qlInstrumentResults(AJ49,"annuity",AL49)</f>
        <v>#VALUE!</v>
      </c>
      <c r="AO49" s="359" t="e">
        <f ca="1">G49/2*_xll.qlYieldTSDiscount(Curve!$S$16,K49)/AN49</f>
        <v>#VALUE!</v>
      </c>
      <c r="AP49" s="360" t="e">
        <f ca="1">_xll.qlBachelierBlackFormulaImpliedVol("Call",AD49,AD49,_xll.qlDayCounterYearFraction("Act/365 (Fixed)",C49,J49),AO49)</f>
        <v>#VALUE!</v>
      </c>
      <c r="AQ49" s="361" t="e">
        <f ca="1">_xll.qlBlackFormulaImpliedStdDev("Call",AD49,AD49,AO49)/SQRT(_xll.qlDayCounterYearFraction("Act/365 (Fixed)",C49,J49))</f>
        <v>#VALUE!</v>
      </c>
      <c r="AS49" s="363">
        <v>3.0009601708974785E-3</v>
      </c>
      <c r="AT49" s="363">
        <v>3.0263000874012286E-3</v>
      </c>
      <c r="AU49" s="365">
        <f t="shared" ca="1" si="2"/>
        <v>4.9039829102521301E-5</v>
      </c>
      <c r="AV49" s="365">
        <f t="shared" ca="1" si="3"/>
        <v>2.3699912598771147E-5</v>
      </c>
    </row>
    <row r="50" spans="2:48">
      <c r="B50" s="348" t="str">
        <f t="shared" ca="1" si="1"/>
        <v>2Mx4Y</v>
      </c>
      <c r="C50" s="345">
        <f t="shared" ca="1" si="0"/>
        <v>42254</v>
      </c>
      <c r="D50" s="346" t="s">
        <v>398</v>
      </c>
      <c r="E50" s="346" t="s">
        <v>10</v>
      </c>
      <c r="F50" s="351">
        <f ca="1">VLOOKUP(F$3&amp;$D50&amp;$E50,'Swaption Volatilities'!$V:$W,2,FALSE)%%</f>
        <v>3.14E-3</v>
      </c>
      <c r="G50" s="352">
        <f ca="1">VLOOKUP(G$3&amp;$D50&amp;$E50,'Swaption Volatilities'!$V:$W,2,FALSE)</f>
        <v>41.5</v>
      </c>
      <c r="H50" s="346" t="s">
        <v>20</v>
      </c>
      <c r="I50" s="346" t="s">
        <v>21</v>
      </c>
      <c r="J50" s="345">
        <f ca="1">_xll.qlCalendarAdvance(H50,C50,D50,I50)</f>
        <v>42317</v>
      </c>
      <c r="K50" s="345">
        <f ca="1">_xll.qlCalendarAdvance(H50,J50,"2d")</f>
        <v>42319</v>
      </c>
      <c r="L50" s="345">
        <f ca="1">_xll.qlCalendarAdvance(H50,K50,E50,"unadjusted")</f>
        <v>43780</v>
      </c>
      <c r="M50" s="346" t="s">
        <v>7</v>
      </c>
      <c r="N50" s="346" t="s">
        <v>20</v>
      </c>
      <c r="O50" s="346" t="s">
        <v>21</v>
      </c>
      <c r="P50" s="346" t="s">
        <v>21</v>
      </c>
      <c r="Q50" s="346" t="s">
        <v>70</v>
      </c>
      <c r="R50" s="353" t="str">
        <f ca="1">_xll.qlSchedule(,K50,L50,M50,N50,O50,P50,Q50)</f>
        <v>obj_00517#0001</v>
      </c>
      <c r="S50" s="346" t="s">
        <v>19</v>
      </c>
      <c r="T50" s="346" t="s">
        <v>20</v>
      </c>
      <c r="U50" s="346" t="s">
        <v>21</v>
      </c>
      <c r="V50" s="346" t="s">
        <v>21</v>
      </c>
      <c r="W50" s="346" t="s">
        <v>70</v>
      </c>
      <c r="X50" s="353" t="str">
        <f ca="1">_xll.qlSchedule(,K50,L50,S50,T50,U50,V50,W50)</f>
        <v>obj_00516#0001</v>
      </c>
      <c r="Y50" s="349" t="s">
        <v>1742</v>
      </c>
      <c r="Z50" s="354" t="s">
        <v>36</v>
      </c>
      <c r="AA50" s="354" t="s">
        <v>1745</v>
      </c>
      <c r="AB50" s="353" t="str">
        <f ca="1">_xll.qlVanillaSwap(,,,R50,,Y50,X50,Z50,,AA50)</f>
        <v>obj_005b2#0001</v>
      </c>
      <c r="AC50" s="353" t="b">
        <f ca="1">_xll.qlInstrumentSetPricingEngine(AB50,_xll.qlDiscountingSwapEngine(,Curve!$S$16))</f>
        <v>1</v>
      </c>
      <c r="AD50" s="355">
        <f ca="1">_xll.qlVanillaSwapFairRate(AB50,AC50)</f>
        <v>2.7744083389032882E-3</v>
      </c>
      <c r="AE50" s="346" t="s">
        <v>1752</v>
      </c>
      <c r="AF50" s="347">
        <v>10000</v>
      </c>
      <c r="AG50" s="350" t="str">
        <f ca="1">_xll.qlVanillaSwap(,AE50,AF50,R50,AD50,Y50,X50,Z50,,AA50)</f>
        <v>obj_00618#0000</v>
      </c>
      <c r="AH50" s="347" t="str">
        <f ca="1">_xll.qlEuropeanExercise(,J50)</f>
        <v>obj_001e4#0001</v>
      </c>
      <c r="AI50" s="346" t="s">
        <v>1749</v>
      </c>
      <c r="AJ50" s="356" t="str">
        <f ca="1">_xll.qlSwaption(,AG50,AH50,AI50)</f>
        <v>obj_0067f#0001</v>
      </c>
      <c r="AK50" s="357" t="str">
        <f ca="1">_xll.qlConstantSwaptionVolatility(,,H50,I50,F50)</f>
        <v>obj_0019b#0001</v>
      </c>
      <c r="AL50" s="357" t="b">
        <f ca="1">_xll.qlInstrumentSetPricingEngine(AJ50,_xll.qlBachelierBlackSwaptionEngine(,Curve!$S$16,AK50))</f>
        <v>1</v>
      </c>
      <c r="AM50" s="358">
        <f ca="1">_xll.qlInstrumentNPV(AJ50,AL50)*2/_xll.qlYieldTSDiscount(Curve!$S$16,K50)</f>
        <v>41.317106649050821</v>
      </c>
      <c r="AN50" s="358">
        <f ca="1">_xll.qlInstrumentResults(AJ50,"annuity",AL50)</f>
        <v>39704.529146276909</v>
      </c>
      <c r="AO50" s="359">
        <f ca="1">G50/2*_xll.qlYieldTSDiscount(Curve!$S$16,K50)/AN50</f>
        <v>5.2273520755765778E-4</v>
      </c>
      <c r="AP50" s="360">
        <f ca="1">_xll.qlBachelierBlackFormulaImpliedVol("Call",AD50,AD50,_xll.qlDayCounterYearFraction("Act/365 (Fixed)",C50,J50),AO50)</f>
        <v>3.1538994515481629E-3</v>
      </c>
      <c r="AQ50" s="361">
        <f ca="1">_xll.qlBlackFormulaImpliedStdDev("Call",AD50,AD50,AO50)/SQRT(_xll.qlDayCounterYearFraction("Act/365 (Fixed)",C50,J50))</f>
        <v>1.1475590000546219</v>
      </c>
      <c r="AS50" s="363">
        <v>3.1257656541959604E-3</v>
      </c>
      <c r="AT50" s="363">
        <v>3.1538994515481629E-3</v>
      </c>
      <c r="AU50" s="365">
        <f t="shared" ca="1" si="2"/>
        <v>1.4234345804039605E-5</v>
      </c>
      <c r="AV50" s="365">
        <f t="shared" ca="1" si="3"/>
        <v>-1.3899451548162953E-5</v>
      </c>
    </row>
    <row r="51" spans="2:48">
      <c r="B51" s="348" t="str">
        <f t="shared" ca="1" si="1"/>
        <v>3Mx4Y</v>
      </c>
      <c r="C51" s="345">
        <f t="shared" ca="1" si="0"/>
        <v>42254</v>
      </c>
      <c r="D51" s="346" t="s">
        <v>26</v>
      </c>
      <c r="E51" s="346" t="s">
        <v>10</v>
      </c>
      <c r="F51" s="351">
        <f ca="1">VLOOKUP(F$3&amp;$D51&amp;$E51,'Swaption Volatilities'!$V:$W,2,FALSE)%%</f>
        <v>3.1099999999999999E-3</v>
      </c>
      <c r="G51" s="352">
        <f ca="1">VLOOKUP(G$3&amp;$D51&amp;$E51,'Swaption Volatilities'!$V:$W,2,FALSE)</f>
        <v>49</v>
      </c>
      <c r="H51" s="346" t="s">
        <v>20</v>
      </c>
      <c r="I51" s="346" t="s">
        <v>21</v>
      </c>
      <c r="J51" s="345">
        <f ca="1">_xll.qlCalendarAdvance(H51,C51,D51,I51)</f>
        <v>42345</v>
      </c>
      <c r="K51" s="345">
        <f ca="1">_xll.qlCalendarAdvance(H51,J51,"2d")</f>
        <v>42347</v>
      </c>
      <c r="L51" s="345">
        <f ca="1">_xll.qlCalendarAdvance(H51,K51,E51,"unadjusted")</f>
        <v>43808</v>
      </c>
      <c r="M51" s="346" t="s">
        <v>7</v>
      </c>
      <c r="N51" s="346" t="s">
        <v>20</v>
      </c>
      <c r="O51" s="346" t="s">
        <v>21</v>
      </c>
      <c r="P51" s="346" t="s">
        <v>21</v>
      </c>
      <c r="Q51" s="346" t="s">
        <v>70</v>
      </c>
      <c r="R51" s="353" t="str">
        <f ca="1">_xll.qlSchedule(,K51,L51,M51,N51,O51,P51,Q51)</f>
        <v>obj_00340#0001</v>
      </c>
      <c r="S51" s="346" t="s">
        <v>19</v>
      </c>
      <c r="T51" s="346" t="s">
        <v>20</v>
      </c>
      <c r="U51" s="346" t="s">
        <v>21</v>
      </c>
      <c r="V51" s="346" t="s">
        <v>21</v>
      </c>
      <c r="W51" s="346" t="s">
        <v>70</v>
      </c>
      <c r="X51" s="353" t="str">
        <f ca="1">_xll.qlSchedule(,K51,L51,S51,T51,U51,V51,W51)</f>
        <v>obj_002ea#0000</v>
      </c>
      <c r="Y51" s="349" t="s">
        <v>1742</v>
      </c>
      <c r="Z51" s="354" t="s">
        <v>36</v>
      </c>
      <c r="AA51" s="354" t="s">
        <v>1745</v>
      </c>
      <c r="AB51" s="353" t="str">
        <f ca="1">_xll.qlVanillaSwap(,,,R51,,Y51,X51,Z51,,AA51)</f>
        <v>obj_00341#0000</v>
      </c>
      <c r="AC51" s="353" t="b">
        <f ca="1">_xll.qlInstrumentSetPricingEngine(AB51,_xll.qlDiscountingSwapEngine(,Curve!$S$16))</f>
        <v>1</v>
      </c>
      <c r="AD51" s="355">
        <f ca="1">_xll.qlVanillaSwapFairRate(AB51,AC51)</f>
        <v>2.9078508596473156E-3</v>
      </c>
      <c r="AE51" s="346" t="s">
        <v>1752</v>
      </c>
      <c r="AF51" s="347">
        <v>10000</v>
      </c>
      <c r="AG51" s="350" t="str">
        <f ca="1">_xll.qlVanillaSwap(,AE51,AF51,R51,AD51,Y51,X51,Z51,,AA51)</f>
        <v>obj_004c5#0000</v>
      </c>
      <c r="AH51" s="347" t="str">
        <f ca="1">_xll.qlEuropeanExercise(,J51)</f>
        <v>obj_001e5#0001</v>
      </c>
      <c r="AI51" s="346" t="s">
        <v>1749</v>
      </c>
      <c r="AJ51" s="356" t="str">
        <f ca="1">_xll.qlSwaption(,AG51,AH51,AI51)</f>
        <v>obj_006d3#0001</v>
      </c>
      <c r="AK51" s="357" t="str">
        <f ca="1">_xll.qlConstantSwaptionVolatility(,,H51,I51,F51)</f>
        <v>obj_00272#0001</v>
      </c>
      <c r="AL51" s="357" t="b">
        <f ca="1">_xll.qlInstrumentSetPricingEngine(AJ51,_xll.qlBachelierBlackSwaptionEngine(,Curve!$S$16,AK51))</f>
        <v>1</v>
      </c>
      <c r="AM51" s="358">
        <f ca="1">_xll.qlInstrumentNPV(AJ51,AL51)*2/_xll.qlYieldTSDiscount(Curve!$S$16,K51)</f>
        <v>49.148675619871938</v>
      </c>
      <c r="AN51" s="358">
        <f ca="1">_xll.qlInstrumentResults(AJ51,"annuity",AL51)</f>
        <v>39681.440344203394</v>
      </c>
      <c r="AO51" s="359">
        <f ca="1">G51/2*_xll.qlYieldTSDiscount(Curve!$S$16,K51)/AN51</f>
        <v>6.1763084821350386E-4</v>
      </c>
      <c r="AP51" s="360">
        <f ca="1">_xll.qlBachelierBlackFormulaImpliedVol("Call",AD51,AD51,_xll.qlDayCounterYearFraction("Act/365 (Fixed)",C51,J51),AO51)</f>
        <v>3.1005921945613641E-3</v>
      </c>
      <c r="AQ51" s="361">
        <f ca="1">_xll.qlBlackFormulaImpliedStdDev("Call",AD51,AD51,AO51)/SQRT(_xll.qlDayCounterYearFraction("Act/365 (Fixed)",C51,J51))</f>
        <v>1.0791990903950635</v>
      </c>
      <c r="AS51" s="363">
        <v>3.0714118031208502E-3</v>
      </c>
      <c r="AT51" s="363">
        <v>3.1005921945613641E-3</v>
      </c>
      <c r="AU51" s="365">
        <f t="shared" ca="1" si="2"/>
        <v>3.8588196879149692E-5</v>
      </c>
      <c r="AV51" s="365">
        <f t="shared" ca="1" si="3"/>
        <v>9.4078054386358308E-6</v>
      </c>
    </row>
    <row r="52" spans="2:48">
      <c r="B52" s="348" t="str">
        <f t="shared" ca="1" si="1"/>
        <v>6Mx4Y</v>
      </c>
      <c r="C52" s="345">
        <f t="shared" ca="1" si="0"/>
        <v>42254</v>
      </c>
      <c r="D52" s="346" t="s">
        <v>19</v>
      </c>
      <c r="E52" s="346" t="s">
        <v>10</v>
      </c>
      <c r="F52" s="351">
        <f ca="1">VLOOKUP(F$3&amp;$D52&amp;$E52,'Swaption Volatilities'!$V:$W,2,FALSE)%%</f>
        <v>3.3899999999999998E-3</v>
      </c>
      <c r="G52" s="352">
        <f ca="1">VLOOKUP(G$3&amp;$D52&amp;$E52,'Swaption Volatilities'!$V:$W,2,FALSE)</f>
        <v>75.5</v>
      </c>
      <c r="H52" s="346" t="s">
        <v>20</v>
      </c>
      <c r="I52" s="346" t="s">
        <v>21</v>
      </c>
      <c r="J52" s="345">
        <f ca="1">_xll.qlCalendarAdvance(H52,C52,D52,I52)</f>
        <v>42436</v>
      </c>
      <c r="K52" s="345">
        <f ca="1">_xll.qlCalendarAdvance(H52,J52,"2d")</f>
        <v>42438</v>
      </c>
      <c r="L52" s="345">
        <f ca="1">_xll.qlCalendarAdvance(H52,K52,E52,"unadjusted")</f>
        <v>43899</v>
      </c>
      <c r="M52" s="346" t="s">
        <v>7</v>
      </c>
      <c r="N52" s="346" t="s">
        <v>20</v>
      </c>
      <c r="O52" s="346" t="s">
        <v>21</v>
      </c>
      <c r="P52" s="346" t="s">
        <v>21</v>
      </c>
      <c r="Q52" s="346" t="s">
        <v>70</v>
      </c>
      <c r="R52" s="353" t="str">
        <f ca="1">_xll.qlSchedule(,K52,L52,M52,N52,O52,P52,Q52)</f>
        <v>obj_00670#0001</v>
      </c>
      <c r="S52" s="346" t="s">
        <v>19</v>
      </c>
      <c r="T52" s="346" t="s">
        <v>20</v>
      </c>
      <c r="U52" s="346" t="s">
        <v>21</v>
      </c>
      <c r="V52" s="346" t="s">
        <v>21</v>
      </c>
      <c r="W52" s="346" t="s">
        <v>70</v>
      </c>
      <c r="X52" s="353" t="str">
        <f ca="1">_xll.qlSchedule(,K52,L52,S52,T52,U52,V52,W52)</f>
        <v>obj_003dd#0001</v>
      </c>
      <c r="Y52" s="349" t="s">
        <v>1742</v>
      </c>
      <c r="Z52" s="354" t="s">
        <v>36</v>
      </c>
      <c r="AA52" s="354" t="s">
        <v>1745</v>
      </c>
      <c r="AB52" s="353" t="str">
        <f ca="1">_xll.qlVanillaSwap(,,,R52,,Y52,X52,Z52,,AA52)</f>
        <v>obj_00706#0001</v>
      </c>
      <c r="AC52" s="353" t="b">
        <f ca="1">_xll.qlInstrumentSetPricingEngine(AB52,_xll.qlDiscountingSwapEngine(,Curve!$S$16))</f>
        <v>1</v>
      </c>
      <c r="AD52" s="355" t="e">
        <f ca="1">_xll.qlVanillaSwapFairRate(AB52,AC52)</f>
        <v>#NUM!</v>
      </c>
      <c r="AE52" s="346" t="s">
        <v>1752</v>
      </c>
      <c r="AF52" s="347">
        <v>10000</v>
      </c>
      <c r="AG52" s="350" t="e">
        <f ca="1">_xll.qlVanillaSwap(,AE52,AF52,R52,AD52,Y52,X52,Z52,,AA52)</f>
        <v>#NUM!</v>
      </c>
      <c r="AH52" s="347" t="str">
        <f ca="1">_xll.qlEuropeanExercise(,J52)</f>
        <v>obj_00195#0000</v>
      </c>
      <c r="AI52" s="346" t="s">
        <v>1749</v>
      </c>
      <c r="AJ52" s="356" t="e">
        <f ca="1">_xll.qlSwaption(,AG52,AH52,AI52)</f>
        <v>#VALUE!</v>
      </c>
      <c r="AK52" s="357" t="str">
        <f ca="1">_xll.qlConstantSwaptionVolatility(,,H52,I52,F52)</f>
        <v>obj_002d3#0001</v>
      </c>
      <c r="AL52" s="357" t="e">
        <f ca="1">_xll.qlInstrumentSetPricingEngine(AJ52,_xll.qlBachelierBlackSwaptionEngine(,Curve!$S$16,AK52))</f>
        <v>#VALUE!</v>
      </c>
      <c r="AM52" s="358" t="e">
        <f ca="1">_xll.qlInstrumentNPV(AJ52,AL52)*2/_xll.qlYieldTSDiscount(Curve!$S$16,K52)</f>
        <v>#VALUE!</v>
      </c>
      <c r="AN52" s="358" t="e">
        <f ca="1">_xll.qlInstrumentResults(AJ52,"annuity",AL52)</f>
        <v>#VALUE!</v>
      </c>
      <c r="AO52" s="359" t="e">
        <f ca="1">G52/2*_xll.qlYieldTSDiscount(Curve!$S$16,K52)/AN52</f>
        <v>#VALUE!</v>
      </c>
      <c r="AP52" s="360" t="e">
        <f ca="1">_xll.qlBachelierBlackFormulaImpliedVol("Call",AD52,AD52,_xll.qlDayCounterYearFraction("Act/365 (Fixed)",C52,J52),AO52)</f>
        <v>#VALUE!</v>
      </c>
      <c r="AQ52" s="361" t="e">
        <f ca="1">_xll.qlBlackFormulaImpliedStdDev("Call",AD52,AD52,AO52)/SQRT(_xll.qlDayCounterYearFraction("Act/365 (Fixed)",C52,J52))</f>
        <v>#VALUE!</v>
      </c>
      <c r="AS52" s="363">
        <v>3.3488191661030435E-3</v>
      </c>
      <c r="AT52" s="363">
        <v>3.3866194226462257E-3</v>
      </c>
      <c r="AU52" s="365">
        <f t="shared" ca="1" si="2"/>
        <v>4.1180833896956297E-5</v>
      </c>
      <c r="AV52" s="365">
        <f t="shared" ca="1" si="3"/>
        <v>3.3805773537740405E-6</v>
      </c>
    </row>
    <row r="53" spans="2:48">
      <c r="B53" s="348" t="str">
        <f t="shared" ca="1" si="1"/>
        <v>9Mx4Y</v>
      </c>
      <c r="C53" s="345">
        <f t="shared" ca="1" si="0"/>
        <v>42254</v>
      </c>
      <c r="D53" s="346" t="s">
        <v>412</v>
      </c>
      <c r="E53" s="346" t="s">
        <v>10</v>
      </c>
      <c r="F53" s="351">
        <f ca="1">VLOOKUP(F$3&amp;$D53&amp;$E53,'Swaption Volatilities'!$V:$W,2,FALSE)%%</f>
        <v>3.7399999999999998E-3</v>
      </c>
      <c r="G53" s="352">
        <f ca="1">VLOOKUP(G$3&amp;$D53&amp;$E53,'Swaption Volatilities'!$V:$W,2,FALSE)</f>
        <v>102</v>
      </c>
      <c r="H53" s="346" t="s">
        <v>20</v>
      </c>
      <c r="I53" s="346" t="s">
        <v>21</v>
      </c>
      <c r="J53" s="345">
        <f ca="1">_xll.qlCalendarAdvance(H53,C53,D53,I53)</f>
        <v>42528</v>
      </c>
      <c r="K53" s="345">
        <f ca="1">_xll.qlCalendarAdvance(H53,J53,"2d")</f>
        <v>42530</v>
      </c>
      <c r="L53" s="345">
        <f ca="1">_xll.qlCalendarAdvance(H53,K53,E53,"unadjusted")</f>
        <v>43991</v>
      </c>
      <c r="M53" s="346" t="s">
        <v>7</v>
      </c>
      <c r="N53" s="346" t="s">
        <v>20</v>
      </c>
      <c r="O53" s="346" t="s">
        <v>21</v>
      </c>
      <c r="P53" s="346" t="s">
        <v>21</v>
      </c>
      <c r="Q53" s="346" t="s">
        <v>70</v>
      </c>
      <c r="R53" s="353" t="str">
        <f ca="1">_xll.qlSchedule(,K53,L53,M53,N53,O53,P53,Q53)</f>
        <v>obj_00280#0000</v>
      </c>
      <c r="S53" s="346" t="s">
        <v>19</v>
      </c>
      <c r="T53" s="346" t="s">
        <v>20</v>
      </c>
      <c r="U53" s="346" t="s">
        <v>21</v>
      </c>
      <c r="V53" s="346" t="s">
        <v>21</v>
      </c>
      <c r="W53" s="346" t="s">
        <v>70</v>
      </c>
      <c r="X53" s="353" t="str">
        <f ca="1">_xll.qlSchedule(,K53,L53,S53,T53,U53,V53,W53)</f>
        <v>obj_003e3#0001</v>
      </c>
      <c r="Y53" s="349" t="s">
        <v>1742</v>
      </c>
      <c r="Z53" s="354" t="s">
        <v>36</v>
      </c>
      <c r="AA53" s="354" t="s">
        <v>1745</v>
      </c>
      <c r="AB53" s="353" t="str">
        <f ca="1">_xll.qlVanillaSwap(,,,R53,,Y53,X53,Z53,,AA53)</f>
        <v>obj_003e4#0000</v>
      </c>
      <c r="AC53" s="353" t="b">
        <f ca="1">_xll.qlInstrumentSetPricingEngine(AB53,_xll.qlDiscountingSwapEngine(,Curve!$S$16))</f>
        <v>1</v>
      </c>
      <c r="AD53" s="355">
        <f ca="1">_xll.qlVanillaSwapFairRate(AB53,AC53)</f>
        <v>3.8924131818886313E-3</v>
      </c>
      <c r="AE53" s="346" t="s">
        <v>1752</v>
      </c>
      <c r="AF53" s="347">
        <v>10000</v>
      </c>
      <c r="AG53" s="350" t="str">
        <f ca="1">_xll.qlVanillaSwap(,AE53,AF53,R53,AD53,Y53,X53,Z53,,AA53)</f>
        <v>obj_00668#0000</v>
      </c>
      <c r="AH53" s="347" t="str">
        <f ca="1">_xll.qlEuropeanExercise(,J53)</f>
        <v>obj_001c0#0000</v>
      </c>
      <c r="AI53" s="346" t="s">
        <v>1749</v>
      </c>
      <c r="AJ53" s="356" t="str">
        <f ca="1">_xll.qlSwaption(,AG53,AH53,AI53)</f>
        <v>obj_00753#0001</v>
      </c>
      <c r="AK53" s="357" t="str">
        <f ca="1">_xll.qlConstantSwaptionVolatility(,,H53,I53,F53)</f>
        <v>obj_00097#0001</v>
      </c>
      <c r="AL53" s="357" t="b">
        <f ca="1">_xll.qlInstrumentSetPricingEngine(AJ53,_xll.qlBachelierBlackSwaptionEngine(,Curve!$S$16,AK53))</f>
        <v>1</v>
      </c>
      <c r="AM53" s="358">
        <f ca="1">_xll.qlInstrumentNPV(AJ53,AL53)*2/_xll.qlYieldTSDiscount(Curve!$S$16,K53)</f>
        <v>102.00680671947322</v>
      </c>
      <c r="AN53" s="358">
        <f ca="1">_xll.qlInstrumentResults(AJ53,"annuity",AL53)</f>
        <v>39497.661971936468</v>
      </c>
      <c r="AO53" s="359">
        <f ca="1">G53/2*_xll.qlYieldTSDiscount(Curve!$S$16,K53)/AN53</f>
        <v>1.292651744408979E-3</v>
      </c>
      <c r="AP53" s="360">
        <f ca="1">_xll.qlBachelierBlackFormulaImpliedVol("Call",AD53,AD53,_xll.qlDayCounterYearFraction("Act/365 (Fixed)",C53,J53),AO53)</f>
        <v>3.7397504369399218E-3</v>
      </c>
      <c r="AQ53" s="361">
        <f ca="1">_xll.qlBlackFormulaImpliedStdDev("Call",AD53,AD53,AO53)/SQRT(_xll.qlDayCounterYearFraction("Act/365 (Fixed)",C53,J53))</f>
        <v>0.99033943274984237</v>
      </c>
      <c r="AS53" s="363">
        <v>3.6905812520996034E-3</v>
      </c>
      <c r="AT53" s="363">
        <v>3.7397504369399218E-3</v>
      </c>
      <c r="AU53" s="365">
        <f t="shared" ca="1" si="2"/>
        <v>4.941874790039642E-5</v>
      </c>
      <c r="AV53" s="365">
        <f t="shared" ca="1" si="3"/>
        <v>2.4956306007807225E-7</v>
      </c>
    </row>
    <row r="54" spans="2:48">
      <c r="B54" s="348" t="str">
        <f t="shared" ca="1" si="1"/>
        <v>1Yx4Y</v>
      </c>
      <c r="C54" s="345">
        <f t="shared" ca="1" si="0"/>
        <v>42254</v>
      </c>
      <c r="D54" s="346" t="s">
        <v>7</v>
      </c>
      <c r="E54" s="346" t="s">
        <v>10</v>
      </c>
      <c r="F54" s="351">
        <f ca="1">VLOOKUP(F$3&amp;$D54&amp;$E54,'Swaption Volatilities'!$V:$W,2,FALSE)%%</f>
        <v>4.1600000000000005E-3</v>
      </c>
      <c r="G54" s="352">
        <f ca="1">VLOOKUP(G$3&amp;$D54&amp;$E54,'Swaption Volatilities'!$V:$W,2,FALSE)</f>
        <v>132</v>
      </c>
      <c r="H54" s="346" t="s">
        <v>20</v>
      </c>
      <c r="I54" s="346" t="s">
        <v>21</v>
      </c>
      <c r="J54" s="345">
        <f ca="1">_xll.qlCalendarAdvance(H54,C54,D54,I54)</f>
        <v>42620</v>
      </c>
      <c r="K54" s="345">
        <f ca="1">_xll.qlCalendarAdvance(H54,J54,"2d")</f>
        <v>42622</v>
      </c>
      <c r="L54" s="345">
        <f ca="1">_xll.qlCalendarAdvance(H54,K54,E54,"unadjusted")</f>
        <v>44083</v>
      </c>
      <c r="M54" s="346" t="s">
        <v>7</v>
      </c>
      <c r="N54" s="346" t="s">
        <v>20</v>
      </c>
      <c r="O54" s="346" t="s">
        <v>21</v>
      </c>
      <c r="P54" s="346" t="s">
        <v>21</v>
      </c>
      <c r="Q54" s="346" t="s">
        <v>70</v>
      </c>
      <c r="R54" s="353" t="str">
        <f ca="1">_xll.qlSchedule(,K54,L54,M54,N54,O54,P54,Q54)</f>
        <v>obj_004f2#0001</v>
      </c>
      <c r="S54" s="346" t="s">
        <v>19</v>
      </c>
      <c r="T54" s="346" t="s">
        <v>20</v>
      </c>
      <c r="U54" s="346" t="s">
        <v>21</v>
      </c>
      <c r="V54" s="346" t="s">
        <v>21</v>
      </c>
      <c r="W54" s="346" t="s">
        <v>70</v>
      </c>
      <c r="X54" s="353" t="str">
        <f ca="1">_xll.qlSchedule(,K54,L54,S54,T54,U54,V54,W54)</f>
        <v>obj_004f3#0001</v>
      </c>
      <c r="Y54" s="349" t="s">
        <v>1742</v>
      </c>
      <c r="Z54" s="354" t="s">
        <v>36</v>
      </c>
      <c r="AA54" s="354" t="s">
        <v>1745</v>
      </c>
      <c r="AB54" s="353" t="str">
        <f ca="1">_xll.qlVanillaSwap(,,,R54,,Y54,X54,Z54,,AA54)</f>
        <v>obj_0059e#0001</v>
      </c>
      <c r="AC54" s="353" t="b">
        <f ca="1">_xll.qlInstrumentSetPricingEngine(AB54,_xll.qlDiscountingSwapEngine(,Curve!$S$16))</f>
        <v>1</v>
      </c>
      <c r="AD54" s="355">
        <f ca="1">_xll.qlVanillaSwapFairRate(AB54,AC54)</f>
        <v>4.4595600411398784E-3</v>
      </c>
      <c r="AE54" s="346" t="s">
        <v>1752</v>
      </c>
      <c r="AF54" s="347">
        <v>10000</v>
      </c>
      <c r="AG54" s="350" t="str">
        <f ca="1">_xll.qlVanillaSwap(,AE54,AF54,R54,AD54,Y54,X54,Z54,,AA54)</f>
        <v>obj_00610#0000</v>
      </c>
      <c r="AH54" s="347" t="str">
        <f ca="1">_xll.qlEuropeanExercise(,J54)</f>
        <v>obj_001ce#0000</v>
      </c>
      <c r="AI54" s="346" t="s">
        <v>1749</v>
      </c>
      <c r="AJ54" s="356" t="str">
        <f ca="1">_xll.qlSwaption(,AG54,AH54,AI54)</f>
        <v>obj_006e6#0001</v>
      </c>
      <c r="AK54" s="357" t="str">
        <f ca="1">_xll.qlConstantSwaptionVolatility(,,H54,I54,F54)</f>
        <v>obj_000b3#0001</v>
      </c>
      <c r="AL54" s="357" t="b">
        <f ca="1">_xll.qlInstrumentSetPricingEngine(AJ54,_xll.qlBachelierBlackSwaptionEngine(,Curve!$S$16,AK54))</f>
        <v>1</v>
      </c>
      <c r="AM54" s="358">
        <f ca="1">_xll.qlInstrumentNPV(AJ54,AL54)*2/_xll.qlYieldTSDiscount(Curve!$S$16,K54)</f>
        <v>130.69571866367917</v>
      </c>
      <c r="AN54" s="358">
        <f ca="1">_xll.qlInstrumentResults(AJ54,"annuity",AL54)</f>
        <v>39381.387334679588</v>
      </c>
      <c r="AO54" s="359">
        <f ca="1">G54/2*_xll.qlYieldTSDiscount(Curve!$S$16,K54)/AN54</f>
        <v>1.6784564485344575E-3</v>
      </c>
      <c r="AP54" s="360">
        <f ca="1">_xll.qlBachelierBlackFormulaImpliedVol("Call",AD54,AD54,_xll.qlDayCounterYearFraction("Act/365 (Fixed)",C54,J54),AO54)</f>
        <v>4.2015148286001815E-3</v>
      </c>
      <c r="AQ54" s="361">
        <f ca="1">_xll.qlBlackFormulaImpliedStdDev("Call",AD54,AD54,AO54)/SQRT(_xll.qlDayCounterYearFraction("Act/365 (Fixed)",C54,J54))</f>
        <v>0.98009027934065474</v>
      </c>
      <c r="AS54" s="363">
        <v>4.1367810855856748E-3</v>
      </c>
      <c r="AT54" s="363">
        <v>4.2015148286001815E-3</v>
      </c>
      <c r="AU54" s="365">
        <f t="shared" ca="1" si="2"/>
        <v>2.3218914414325706E-5</v>
      </c>
      <c r="AV54" s="365">
        <f t="shared" ca="1" si="3"/>
        <v>-4.1514828600180964E-5</v>
      </c>
    </row>
    <row r="55" spans="2:48">
      <c r="B55" s="348" t="str">
        <f t="shared" ca="1" si="1"/>
        <v>18Mx4Y</v>
      </c>
      <c r="C55" s="345">
        <f t="shared" ca="1" si="0"/>
        <v>42254</v>
      </c>
      <c r="D55" s="346" t="s">
        <v>154</v>
      </c>
      <c r="E55" s="346" t="s">
        <v>10</v>
      </c>
      <c r="F55" s="351">
        <f ca="1">VLOOKUP(F$3&amp;$D55&amp;$E55,'Swaption Volatilities'!$V:$W,2,FALSE)%%</f>
        <v>4.8399999999999997E-3</v>
      </c>
      <c r="G55" s="352">
        <f ca="1">VLOOKUP(G$3&amp;$D55&amp;$E55,'Swaption Volatilities'!$V:$W,2,FALSE)</f>
        <v>186</v>
      </c>
      <c r="H55" s="346" t="s">
        <v>20</v>
      </c>
      <c r="I55" s="346" t="s">
        <v>21</v>
      </c>
      <c r="J55" s="345">
        <f ca="1">_xll.qlCalendarAdvance(H55,C55,D55,I55)</f>
        <v>42801</v>
      </c>
      <c r="K55" s="345">
        <f ca="1">_xll.qlCalendarAdvance(H55,J55,"2d")</f>
        <v>42803</v>
      </c>
      <c r="L55" s="345">
        <f ca="1">_xll.qlCalendarAdvance(H55,K55,E55,"unadjusted")</f>
        <v>44264</v>
      </c>
      <c r="M55" s="346" t="s">
        <v>7</v>
      </c>
      <c r="N55" s="346" t="s">
        <v>20</v>
      </c>
      <c r="O55" s="346" t="s">
        <v>21</v>
      </c>
      <c r="P55" s="346" t="s">
        <v>21</v>
      </c>
      <c r="Q55" s="346" t="s">
        <v>70</v>
      </c>
      <c r="R55" s="353" t="str">
        <f ca="1">_xll.qlSchedule(,K55,L55,M55,N55,O55,P55,Q55)</f>
        <v>obj_00562#0000</v>
      </c>
      <c r="S55" s="346" t="s">
        <v>19</v>
      </c>
      <c r="T55" s="346" t="s">
        <v>20</v>
      </c>
      <c r="U55" s="346" t="s">
        <v>21</v>
      </c>
      <c r="V55" s="346" t="s">
        <v>21</v>
      </c>
      <c r="W55" s="346" t="s">
        <v>70</v>
      </c>
      <c r="X55" s="353" t="str">
        <f ca="1">_xll.qlSchedule(,K55,L55,S55,T55,U55,V55,W55)</f>
        <v>obj_00563#0001</v>
      </c>
      <c r="Y55" s="349" t="s">
        <v>1742</v>
      </c>
      <c r="Z55" s="354" t="s">
        <v>36</v>
      </c>
      <c r="AA55" s="354" t="s">
        <v>1745</v>
      </c>
      <c r="AB55" s="353" t="str">
        <f ca="1">_xll.qlVanillaSwap(,,,R55,,Y55,X55,Z55,,AA55)</f>
        <v>obj_005e8#0001</v>
      </c>
      <c r="AC55" s="353" t="b">
        <f ca="1">_xll.qlInstrumentSetPricingEngine(AB55,_xll.qlDiscountingSwapEngine(,Curve!$S$16))</f>
        <v>1</v>
      </c>
      <c r="AD55" s="355">
        <f ca="1">_xll.qlVanillaSwapFairRate(AB55,AC55)</f>
        <v>5.6970157039420285E-3</v>
      </c>
      <c r="AE55" s="346" t="s">
        <v>1752</v>
      </c>
      <c r="AF55" s="347">
        <v>10000</v>
      </c>
      <c r="AG55" s="350" t="str">
        <f ca="1">_xll.qlVanillaSwap(,AE55,AF55,R55,AD55,Y55,X55,Z55,,AA55)</f>
        <v>obj_00629#0000</v>
      </c>
      <c r="AH55" s="347" t="str">
        <f ca="1">_xll.qlEuropeanExercise(,J55)</f>
        <v>obj_004a0#0001</v>
      </c>
      <c r="AI55" s="346" t="s">
        <v>1749</v>
      </c>
      <c r="AJ55" s="356" t="str">
        <f ca="1">_xll.qlSwaption(,AG55,AH55,AI55)</f>
        <v>obj_00642#0001</v>
      </c>
      <c r="AK55" s="357" t="str">
        <f ca="1">_xll.qlConstantSwaptionVolatility(,,H55,I55,F55)</f>
        <v>obj_000b7#0001</v>
      </c>
      <c r="AL55" s="357" t="b">
        <f ca="1">_xll.qlInstrumentSetPricingEngine(AJ55,_xll.qlBachelierBlackSwaptionEngine(,Curve!$S$16,AK55))</f>
        <v>1</v>
      </c>
      <c r="AM55" s="358">
        <f ca="1">_xll.qlInstrumentNPV(AJ55,AL55)*2/_xll.qlYieldTSDiscount(Curve!$S$16,K55)</f>
        <v>184.43579309332171</v>
      </c>
      <c r="AN55" s="358">
        <f ca="1">_xll.qlInstrumentResults(AJ55,"annuity",AL55)</f>
        <v>39100.865456606436</v>
      </c>
      <c r="AO55" s="359">
        <f ca="1">G55/2*_xll.qlYieldTSDiscount(Curve!$S$16,K55)/AN55</f>
        <v>2.3838031814020022E-3</v>
      </c>
      <c r="AP55" s="360">
        <f ca="1">_xll.qlBachelierBlackFormulaImpliedVol("Call",AD55,AD55,_xll.qlDayCounterYearFraction("Act/365 (Fixed)",C55,J55),AO55)</f>
        <v>4.8810482222639909E-3</v>
      </c>
      <c r="AQ55" s="361">
        <f ca="1">_xll.qlBlackFormulaImpliedStdDev("Call",AD55,AD55,AO55)/SQRT(_xll.qlDayCounterYearFraction("Act/365 (Fixed)",C55,J55))</f>
        <v>0.90034250460927012</v>
      </c>
      <c r="AS55" s="363">
        <v>4.7801430989546142E-3</v>
      </c>
      <c r="AT55" s="363">
        <v>4.8810482222639909E-3</v>
      </c>
      <c r="AU55" s="365">
        <f t="shared" ca="1" si="2"/>
        <v>5.9856901045385498E-5</v>
      </c>
      <c r="AV55" s="365">
        <f t="shared" ca="1" si="3"/>
        <v>-4.1048222263991192E-5</v>
      </c>
    </row>
    <row r="56" spans="2:48">
      <c r="B56" s="348" t="str">
        <f t="shared" ca="1" si="1"/>
        <v>2Yx4Y</v>
      </c>
      <c r="C56" s="345">
        <f t="shared" ca="1" si="0"/>
        <v>42254</v>
      </c>
      <c r="D56" s="346" t="s">
        <v>8</v>
      </c>
      <c r="E56" s="346" t="s">
        <v>10</v>
      </c>
      <c r="F56" s="351">
        <f ca="1">VLOOKUP(F$3&amp;$D56&amp;$E56,'Swaption Volatilities'!$V:$W,2,FALSE)%%</f>
        <v>5.4400000000000004E-3</v>
      </c>
      <c r="G56" s="352">
        <f ca="1">VLOOKUP(G$3&amp;$D56&amp;$E56,'Swaption Volatilities'!$V:$W,2,FALSE)</f>
        <v>241</v>
      </c>
      <c r="H56" s="346" t="s">
        <v>20</v>
      </c>
      <c r="I56" s="346" t="s">
        <v>21</v>
      </c>
      <c r="J56" s="345">
        <f ca="1">_xll.qlCalendarAdvance(H56,C56,D56,I56)</f>
        <v>42985</v>
      </c>
      <c r="K56" s="345">
        <f ca="1">_xll.qlCalendarAdvance(H56,J56,"2d")</f>
        <v>42989</v>
      </c>
      <c r="L56" s="345">
        <f ca="1">_xll.qlCalendarAdvance(H56,K56,E56,"unadjusted")</f>
        <v>44450</v>
      </c>
      <c r="M56" s="346" t="s">
        <v>7</v>
      </c>
      <c r="N56" s="346" t="s">
        <v>20</v>
      </c>
      <c r="O56" s="346" t="s">
        <v>21</v>
      </c>
      <c r="P56" s="346" t="s">
        <v>21</v>
      </c>
      <c r="Q56" s="346" t="s">
        <v>70</v>
      </c>
      <c r="R56" s="353" t="str">
        <f ca="1">_xll.qlSchedule(,K56,L56,M56,N56,O56,P56,Q56)</f>
        <v>obj_006ac#0001</v>
      </c>
      <c r="S56" s="346" t="s">
        <v>19</v>
      </c>
      <c r="T56" s="346" t="s">
        <v>20</v>
      </c>
      <c r="U56" s="346" t="s">
        <v>21</v>
      </c>
      <c r="V56" s="346" t="s">
        <v>21</v>
      </c>
      <c r="W56" s="346" t="s">
        <v>70</v>
      </c>
      <c r="X56" s="353" t="str">
        <f ca="1">_xll.qlSchedule(,K56,L56,S56,T56,U56,V56,W56)</f>
        <v>obj_001f4#0001</v>
      </c>
      <c r="Y56" s="349" t="s">
        <v>1742</v>
      </c>
      <c r="Z56" s="354" t="s">
        <v>36</v>
      </c>
      <c r="AA56" s="354" t="s">
        <v>1745</v>
      </c>
      <c r="AB56" s="353" t="str">
        <f ca="1">_xll.qlVanillaSwap(,,,R56,,Y56,X56,Z56,,AA56)</f>
        <v>obj_0070b#0001</v>
      </c>
      <c r="AC56" s="353" t="b">
        <f ca="1">_xll.qlInstrumentSetPricingEngine(AB56,_xll.qlDiscountingSwapEngine(,Curve!$S$16))</f>
        <v>1</v>
      </c>
      <c r="AD56" s="355" t="e">
        <f ca="1">_xll.qlVanillaSwapFairRate(AB56,AC56)</f>
        <v>#NUM!</v>
      </c>
      <c r="AE56" s="346" t="s">
        <v>1752</v>
      </c>
      <c r="AF56" s="347">
        <v>10000</v>
      </c>
      <c r="AG56" s="350" t="e">
        <f ca="1">_xll.qlVanillaSwap(,AE56,AF56,R56,AD56,Y56,X56,Z56,,AA56)</f>
        <v>#NUM!</v>
      </c>
      <c r="AH56" s="347" t="str">
        <f ca="1">_xll.qlEuropeanExercise(,J56)</f>
        <v>obj_003d4#0001</v>
      </c>
      <c r="AI56" s="346" t="s">
        <v>1749</v>
      </c>
      <c r="AJ56" s="356" t="e">
        <f ca="1">_xll.qlSwaption(,AG56,AH56,AI56)</f>
        <v>#VALUE!</v>
      </c>
      <c r="AK56" s="357" t="str">
        <f ca="1">_xll.qlConstantSwaptionVolatility(,,H56,I56,F56)</f>
        <v>obj_000ac#0001</v>
      </c>
      <c r="AL56" s="357" t="e">
        <f ca="1">_xll.qlInstrumentSetPricingEngine(AJ56,_xll.qlBachelierBlackSwaptionEngine(,Curve!$S$16,AK56))</f>
        <v>#VALUE!</v>
      </c>
      <c r="AM56" s="358" t="e">
        <f ca="1">_xll.qlInstrumentNPV(AJ56,AL56)*2/_xll.qlYieldTSDiscount(Curve!$S$16,K56)</f>
        <v>#VALUE!</v>
      </c>
      <c r="AN56" s="358" t="e">
        <f ca="1">_xll.qlInstrumentResults(AJ56,"annuity",AL56)</f>
        <v>#VALUE!</v>
      </c>
      <c r="AO56" s="359" t="e">
        <f ca="1">G56/2*_xll.qlYieldTSDiscount(Curve!$S$16,K56)/AN56</f>
        <v>#VALUE!</v>
      </c>
      <c r="AP56" s="360" t="e">
        <f ca="1">_xll.qlBachelierBlackFormulaImpliedVol("Call",AD56,AD56,_xll.qlDayCounterYearFraction("Act/365 (Fixed)",C56,J56),AO56)</f>
        <v>#VALUE!</v>
      </c>
      <c r="AQ56" s="361" t="e">
        <f ca="1">_xll.qlBlackFormulaImpliedStdDev("Call",AD56,AD56,AO56)/SQRT(_xll.qlDayCounterYearFraction("Act/365 (Fixed)",C56,J56))</f>
        <v>#VALUE!</v>
      </c>
      <c r="AS56" s="363">
        <v>5.3670602325465999E-3</v>
      </c>
      <c r="AT56" s="363">
        <v>5.5166371998574791E-3</v>
      </c>
      <c r="AU56" s="365">
        <f t="shared" ca="1" si="2"/>
        <v>7.2939767453400473E-5</v>
      </c>
      <c r="AV56" s="365">
        <f t="shared" ca="1" si="3"/>
        <v>-7.6637199857478716E-5</v>
      </c>
    </row>
    <row r="57" spans="2:48">
      <c r="B57" s="348" t="str">
        <f t="shared" ca="1" si="1"/>
        <v>3Yx4Y</v>
      </c>
      <c r="C57" s="345">
        <f t="shared" ca="1" si="0"/>
        <v>42254</v>
      </c>
      <c r="D57" s="346" t="s">
        <v>9</v>
      </c>
      <c r="E57" s="346" t="s">
        <v>10</v>
      </c>
      <c r="F57" s="351">
        <f ca="1">VLOOKUP(F$3&amp;$D57&amp;$E57,'Swaption Volatilities'!$V:$W,2,FALSE)%%</f>
        <v>6.3200000000000001E-3</v>
      </c>
      <c r="G57" s="352">
        <f ca="1">VLOOKUP(G$3&amp;$D57&amp;$E57,'Swaption Volatilities'!$V:$W,2,FALSE)</f>
        <v>341</v>
      </c>
      <c r="H57" s="346" t="s">
        <v>20</v>
      </c>
      <c r="I57" s="346" t="s">
        <v>21</v>
      </c>
      <c r="J57" s="345">
        <f ca="1">_xll.qlCalendarAdvance(H57,C57,D57,I57)</f>
        <v>43350</v>
      </c>
      <c r="K57" s="345">
        <f ca="1">_xll.qlCalendarAdvance(H57,J57,"2d")</f>
        <v>43354</v>
      </c>
      <c r="L57" s="345">
        <f ca="1">_xll.qlCalendarAdvance(H57,K57,E57,"unadjusted")</f>
        <v>44815</v>
      </c>
      <c r="M57" s="346" t="s">
        <v>7</v>
      </c>
      <c r="N57" s="346" t="s">
        <v>20</v>
      </c>
      <c r="O57" s="346" t="s">
        <v>21</v>
      </c>
      <c r="P57" s="346" t="s">
        <v>21</v>
      </c>
      <c r="Q57" s="346" t="s">
        <v>70</v>
      </c>
      <c r="R57" s="353" t="str">
        <f ca="1">_xll.qlSchedule(,K57,L57,M57,N57,O57,P57,Q57)</f>
        <v>obj_001ef#0000</v>
      </c>
      <c r="S57" s="346" t="s">
        <v>19</v>
      </c>
      <c r="T57" s="346" t="s">
        <v>20</v>
      </c>
      <c r="U57" s="346" t="s">
        <v>21</v>
      </c>
      <c r="V57" s="346" t="s">
        <v>21</v>
      </c>
      <c r="W57" s="346" t="s">
        <v>70</v>
      </c>
      <c r="X57" s="353" t="str">
        <f ca="1">_xll.qlSchedule(,K57,L57,S57,T57,U57,V57,W57)</f>
        <v>obj_00346#0001</v>
      </c>
      <c r="Y57" s="349" t="s">
        <v>1742</v>
      </c>
      <c r="Z57" s="354" t="s">
        <v>36</v>
      </c>
      <c r="AA57" s="354" t="s">
        <v>1745</v>
      </c>
      <c r="AB57" s="353" t="str">
        <f ca="1">_xll.qlVanillaSwap(,,,R57,,Y57,X57,Z57,,AA57)</f>
        <v>obj_00347#0000</v>
      </c>
      <c r="AC57" s="353" t="b">
        <f ca="1">_xll.qlInstrumentSetPricingEngine(AB57,_xll.qlDiscountingSwapEngine(,Curve!$S$16))</f>
        <v>1</v>
      </c>
      <c r="AD57" s="355" t="e">
        <f ca="1">_xll.qlVanillaSwapFairRate(AB57,AC57)</f>
        <v>#NUM!</v>
      </c>
      <c r="AE57" s="346" t="s">
        <v>1752</v>
      </c>
      <c r="AF57" s="347">
        <v>10000</v>
      </c>
      <c r="AG57" s="350" t="e">
        <f ca="1">_xll.qlVanillaSwap(,AE57,AF57,R57,AD57,Y57,X57,Z57,,AA57)</f>
        <v>#NUM!</v>
      </c>
      <c r="AH57" s="347" t="str">
        <f ca="1">_xll.qlEuropeanExercise(,J57)</f>
        <v>obj_001d9#0001</v>
      </c>
      <c r="AI57" s="346" t="s">
        <v>1749</v>
      </c>
      <c r="AJ57" s="356" t="e">
        <f ca="1">_xll.qlSwaption(,AG57,AH57,AI57)</f>
        <v>#VALUE!</v>
      </c>
      <c r="AK57" s="357" t="str">
        <f ca="1">_xll.qlConstantSwaptionVolatility(,,H57,I57,F57)</f>
        <v>obj_0018b#0001</v>
      </c>
      <c r="AL57" s="357" t="e">
        <f ca="1">_xll.qlInstrumentSetPricingEngine(AJ57,_xll.qlBachelierBlackSwaptionEngine(,Curve!$S$16,AK57))</f>
        <v>#VALUE!</v>
      </c>
      <c r="AM57" s="358" t="e">
        <f ca="1">_xll.qlInstrumentNPV(AJ57,AL57)*2/_xll.qlYieldTSDiscount(Curve!$S$16,K57)</f>
        <v>#VALUE!</v>
      </c>
      <c r="AN57" s="358" t="e">
        <f ca="1">_xll.qlInstrumentResults(AJ57,"annuity",AL57)</f>
        <v>#VALUE!</v>
      </c>
      <c r="AO57" s="359" t="e">
        <f ca="1">G57/2*_xll.qlYieldTSDiscount(Curve!$S$16,K57)/AN57</f>
        <v>#VALUE!</v>
      </c>
      <c r="AP57" s="360" t="e">
        <f ca="1">_xll.qlBachelierBlackFormulaImpliedVol("Call",AD57,AD57,_xll.qlDayCounterYearFraction("Act/365 (Fixed)",C57,J57),AO57)</f>
        <v>#VALUE!</v>
      </c>
      <c r="AQ57" s="361" t="e">
        <f ca="1">_xll.qlBlackFormulaImpliedStdDev("Call",AD57,AD57,AO57)/SQRT(_xll.qlDayCounterYearFraction("Act/365 (Fixed)",C57,J57))</f>
        <v>#VALUE!</v>
      </c>
      <c r="AS57" s="363">
        <v>6.2504412285039066E-3</v>
      </c>
      <c r="AT57" s="363">
        <v>6.5268081904841643E-3</v>
      </c>
      <c r="AU57" s="365">
        <f t="shared" ca="1" si="2"/>
        <v>6.9558771496093519E-5</v>
      </c>
      <c r="AV57" s="365">
        <f t="shared" ca="1" si="3"/>
        <v>-2.068081904841642E-4</v>
      </c>
    </row>
    <row r="58" spans="2:48">
      <c r="B58" s="348" t="str">
        <f t="shared" ca="1" si="1"/>
        <v>4Yx4Y</v>
      </c>
      <c r="C58" s="345">
        <f t="shared" ca="1" si="0"/>
        <v>42254</v>
      </c>
      <c r="D58" s="346" t="s">
        <v>10</v>
      </c>
      <c r="E58" s="346" t="s">
        <v>10</v>
      </c>
      <c r="F58" s="351">
        <f ca="1">VLOOKUP(F$3&amp;$D58&amp;$E58,'Swaption Volatilities'!$V:$W,2,FALSE)%%</f>
        <v>6.8099999999999992E-3</v>
      </c>
      <c r="G58" s="352">
        <f ca="1">VLOOKUP(G$3&amp;$D58&amp;$E58,'Swaption Volatilities'!$V:$W,2,FALSE)</f>
        <v>421</v>
      </c>
      <c r="H58" s="346" t="s">
        <v>20</v>
      </c>
      <c r="I58" s="346" t="s">
        <v>21</v>
      </c>
      <c r="J58" s="345">
        <f ca="1">_xll.qlCalendarAdvance(H58,C58,D58,I58)</f>
        <v>43717</v>
      </c>
      <c r="K58" s="345">
        <f ca="1">_xll.qlCalendarAdvance(H58,J58,"2d")</f>
        <v>43719</v>
      </c>
      <c r="L58" s="345">
        <f ca="1">_xll.qlCalendarAdvance(H58,K58,E58,"unadjusted")</f>
        <v>45180</v>
      </c>
      <c r="M58" s="346" t="s">
        <v>7</v>
      </c>
      <c r="N58" s="346" t="s">
        <v>20</v>
      </c>
      <c r="O58" s="346" t="s">
        <v>21</v>
      </c>
      <c r="P58" s="346" t="s">
        <v>21</v>
      </c>
      <c r="Q58" s="346" t="s">
        <v>70</v>
      </c>
      <c r="R58" s="353" t="str">
        <f ca="1">_xll.qlSchedule(,K58,L58,M58,N58,O58,P58,Q58)</f>
        <v>obj_004d6#0000</v>
      </c>
      <c r="S58" s="346" t="s">
        <v>19</v>
      </c>
      <c r="T58" s="346" t="s">
        <v>20</v>
      </c>
      <c r="U58" s="346" t="s">
        <v>21</v>
      </c>
      <c r="V58" s="346" t="s">
        <v>21</v>
      </c>
      <c r="W58" s="346" t="s">
        <v>70</v>
      </c>
      <c r="X58" s="353" t="str">
        <f ca="1">_xll.qlSchedule(,K58,L58,S58,T58,U58,V58,W58)</f>
        <v>obj_004d7#0001</v>
      </c>
      <c r="Y58" s="349" t="s">
        <v>1742</v>
      </c>
      <c r="Z58" s="354" t="s">
        <v>36</v>
      </c>
      <c r="AA58" s="354" t="s">
        <v>1745</v>
      </c>
      <c r="AB58" s="353" t="str">
        <f ca="1">_xll.qlVanillaSwap(,,,R58,,Y58,X58,Z58,,AA58)</f>
        <v>obj_0057f#0001</v>
      </c>
      <c r="AC58" s="353" t="b">
        <f ca="1">_xll.qlInstrumentSetPricingEngine(AB58,_xll.qlDiscountingSwapEngine(,Curve!$S$16))</f>
        <v>1</v>
      </c>
      <c r="AD58" s="355">
        <f ca="1">_xll.qlVanillaSwapFairRate(AB58,AC58)</f>
        <v>1.2935109480650266E-2</v>
      </c>
      <c r="AE58" s="346" t="s">
        <v>1752</v>
      </c>
      <c r="AF58" s="347">
        <v>10000</v>
      </c>
      <c r="AG58" s="350" t="str">
        <f ca="1">_xll.qlVanillaSwap(,AE58,AF58,R58,AD58,Y58,X58,Z58,,AA58)</f>
        <v>obj_00600#0000</v>
      </c>
      <c r="AH58" s="347" t="str">
        <f ca="1">_xll.qlEuropeanExercise(,J58)</f>
        <v>obj_000ed#0001</v>
      </c>
      <c r="AI58" s="346" t="s">
        <v>1749</v>
      </c>
      <c r="AJ58" s="356" t="str">
        <f ca="1">_xll.qlSwaption(,AG58,AH58,AI58)</f>
        <v>obj_006fc#0001</v>
      </c>
      <c r="AK58" s="357" t="str">
        <f ca="1">_xll.qlConstantSwaptionVolatility(,,H58,I58,F58)</f>
        <v>obj_00114#0001</v>
      </c>
      <c r="AL58" s="357" t="b">
        <f ca="1">_xll.qlInstrumentSetPricingEngine(AJ58,_xll.qlBachelierBlackSwaptionEngine(,Curve!$S$16,AK58))</f>
        <v>1</v>
      </c>
      <c r="AM58" s="358">
        <f ca="1">_xll.qlInstrumentNPV(AJ58,AL58)*2/_xll.qlYieldTSDiscount(Curve!$S$16,K58)</f>
        <v>400.28246920188752</v>
      </c>
      <c r="AN58" s="358">
        <f ca="1">_xll.qlInstrumentResults(AJ58,"annuity",AL58)</f>
        <v>36792.740796953251</v>
      </c>
      <c r="AO58" s="359">
        <f ca="1">G58/2*_xll.qlYieldTSDiscount(Curve!$S$16,K58)/AN58</f>
        <v>5.7206902630423792E-3</v>
      </c>
      <c r="AP58" s="360">
        <f ca="1">_xll.qlBachelierBlackFormulaImpliedVol("Call",AD58,AD58,_xll.qlDayCounterYearFraction("Act/365 (Fixed)",C58,J58),AO58)</f>
        <v>7.1624670591156703E-3</v>
      </c>
      <c r="AQ58" s="361">
        <f ca="1">_xll.qlBlackFormulaImpliedStdDev("Call",AD58,AD58,AO58)/SQRT(_xll.qlDayCounterYearFraction("Act/365 (Fixed)",C58,J58))</f>
        <v>0.58560133897865463</v>
      </c>
      <c r="AS58" s="363">
        <v>6.7350291411406955E-3</v>
      </c>
      <c r="AT58" s="363">
        <v>7.1624670591156703E-3</v>
      </c>
      <c r="AU58" s="365">
        <f t="shared" ca="1" si="2"/>
        <v>7.4970858859303713E-5</v>
      </c>
      <c r="AV58" s="365">
        <f t="shared" ca="1" si="3"/>
        <v>-3.524670591156711E-4</v>
      </c>
    </row>
    <row r="59" spans="2:48">
      <c r="B59" s="348" t="str">
        <f t="shared" ca="1" si="1"/>
        <v>5Yx4Y</v>
      </c>
      <c r="C59" s="345">
        <f t="shared" ca="1" si="0"/>
        <v>42254</v>
      </c>
      <c r="D59" s="346" t="s">
        <v>11</v>
      </c>
      <c r="E59" s="346" t="s">
        <v>10</v>
      </c>
      <c r="F59" s="351">
        <f ca="1">VLOOKUP(F$3&amp;$D59&amp;$E59,'Swaption Volatilities'!$V:$W,2,FALSE)%%</f>
        <v>7.1500000000000001E-3</v>
      </c>
      <c r="G59" s="352">
        <f ca="1">VLOOKUP(G$3&amp;$D59&amp;$E59,'Swaption Volatilities'!$V:$W,2,FALSE)</f>
        <v>491</v>
      </c>
      <c r="H59" s="346" t="s">
        <v>20</v>
      </c>
      <c r="I59" s="346" t="s">
        <v>21</v>
      </c>
      <c r="J59" s="345">
        <f ca="1">_xll.qlCalendarAdvance(H59,C59,D59,I59)</f>
        <v>44081</v>
      </c>
      <c r="K59" s="345">
        <f ca="1">_xll.qlCalendarAdvance(H59,J59,"2d")</f>
        <v>44083</v>
      </c>
      <c r="L59" s="345">
        <f ca="1">_xll.qlCalendarAdvance(H59,K59,E59,"unadjusted")</f>
        <v>45544</v>
      </c>
      <c r="M59" s="346" t="s">
        <v>7</v>
      </c>
      <c r="N59" s="346" t="s">
        <v>20</v>
      </c>
      <c r="O59" s="346" t="s">
        <v>21</v>
      </c>
      <c r="P59" s="346" t="s">
        <v>21</v>
      </c>
      <c r="Q59" s="346" t="s">
        <v>70</v>
      </c>
      <c r="R59" s="353" t="str">
        <f ca="1">_xll.qlSchedule(,K59,L59,M59,N59,O59,P59,Q59)</f>
        <v>obj_003de#0001</v>
      </c>
      <c r="S59" s="346" t="s">
        <v>19</v>
      </c>
      <c r="T59" s="346" t="s">
        <v>20</v>
      </c>
      <c r="U59" s="346" t="s">
        <v>21</v>
      </c>
      <c r="V59" s="346" t="s">
        <v>21</v>
      </c>
      <c r="W59" s="346" t="s">
        <v>70</v>
      </c>
      <c r="X59" s="353" t="str">
        <f ca="1">_xll.qlSchedule(,K59,L59,S59,T59,U59,V59,W59)</f>
        <v>obj_00342#0000</v>
      </c>
      <c r="Y59" s="349" t="s">
        <v>1742</v>
      </c>
      <c r="Z59" s="354" t="s">
        <v>36</v>
      </c>
      <c r="AA59" s="354" t="s">
        <v>1745</v>
      </c>
      <c r="AB59" s="353" t="str">
        <f ca="1">_xll.qlVanillaSwap(,,,R59,,Y59,X59,Z59,,AA59)</f>
        <v>obj_00506#0001</v>
      </c>
      <c r="AC59" s="353" t="b">
        <f ca="1">_xll.qlInstrumentSetPricingEngine(AB59,_xll.qlDiscountingSwapEngine(,Curve!$S$16))</f>
        <v>1</v>
      </c>
      <c r="AD59" s="355">
        <f ca="1">_xll.qlVanillaSwapFairRate(AB59,AC59)</f>
        <v>1.5584014608888412E-2</v>
      </c>
      <c r="AE59" s="346" t="s">
        <v>1752</v>
      </c>
      <c r="AF59" s="347">
        <v>10000</v>
      </c>
      <c r="AG59" s="350" t="str">
        <f ca="1">_xll.qlVanillaSwap(,AE59,AF59,R59,AD59,Y59,X59,Z59,,AA59)</f>
        <v>obj_005a7#0000</v>
      </c>
      <c r="AH59" s="347" t="str">
        <f ca="1">_xll.qlEuropeanExercise(,J59)</f>
        <v>obj_00130#0001</v>
      </c>
      <c r="AI59" s="346" t="s">
        <v>1749</v>
      </c>
      <c r="AJ59" s="356" t="str">
        <f ca="1">_xll.qlSwaption(,AG59,AH59,AI59)</f>
        <v>obj_0068e#0001</v>
      </c>
      <c r="AK59" s="357" t="str">
        <f ca="1">_xll.qlConstantSwaptionVolatility(,,H59,I59,F59)</f>
        <v>obj_000e2#0001</v>
      </c>
      <c r="AL59" s="357" t="b">
        <f ca="1">_xll.qlInstrumentSetPricingEngine(AJ59,_xll.qlBachelierBlackSwaptionEngine(,Curve!$S$16,AK59))</f>
        <v>1</v>
      </c>
      <c r="AM59" s="358">
        <f ca="1">_xll.qlInstrumentNPV(AJ59,AL59)*2/_xll.qlYieldTSDiscount(Curve!$S$16,K59)</f>
        <v>457.18709768449844</v>
      </c>
      <c r="AN59" s="358">
        <f ca="1">_xll.qlInstrumentResults(AJ59,"annuity",AL59)</f>
        <v>35622.019866944764</v>
      </c>
      <c r="AO59" s="359">
        <f ca="1">G59/2*_xll.qlYieldTSDiscount(Curve!$S$16,K59)/AN59</f>
        <v>6.8537218566588612E-3</v>
      </c>
      <c r="AP59" s="360">
        <f ca="1">_xll.qlBachelierBlackFormulaImpliedVol("Call",AD59,AD59,_xll.qlDayCounterYearFraction("Act/365 (Fixed)",C59,J59),AO59)</f>
        <v>7.6788037496689889E-3</v>
      </c>
      <c r="AQ59" s="361">
        <f ca="1">_xll.qlBlackFormulaImpliedStdDev("Call",AD59,AD59,AO59)/SQRT(_xll.qlDayCounterYearFraction("Act/365 (Fixed)",C59,J59))</f>
        <v>0.5207474563182164</v>
      </c>
      <c r="AS59" s="363">
        <v>7.082748066179605E-3</v>
      </c>
      <c r="AT59" s="363">
        <v>7.6788037496689889E-3</v>
      </c>
      <c r="AU59" s="365">
        <f t="shared" ca="1" si="2"/>
        <v>6.7251933820395085E-5</v>
      </c>
      <c r="AV59" s="365">
        <f t="shared" ca="1" si="3"/>
        <v>-5.2880374966898878E-4</v>
      </c>
    </row>
    <row r="60" spans="2:48">
      <c r="B60" s="348" t="str">
        <f t="shared" ca="1" si="1"/>
        <v>7Yx4Y</v>
      </c>
      <c r="C60" s="345">
        <f t="shared" ca="1" si="0"/>
        <v>42254</v>
      </c>
      <c r="D60" s="346" t="s">
        <v>13</v>
      </c>
      <c r="E60" s="346" t="s">
        <v>10</v>
      </c>
      <c r="F60" s="351">
        <f ca="1">VLOOKUP(F$3&amp;$D60&amp;$E60,'Swaption Volatilities'!$V:$W,2,FALSE)%%</f>
        <v>7.3600000000000002E-3</v>
      </c>
      <c r="G60" s="352">
        <f ca="1">VLOOKUP(G$3&amp;$D60&amp;$E60,'Swaption Volatilities'!$V:$W,2,FALSE)</f>
        <v>593</v>
      </c>
      <c r="H60" s="346" t="s">
        <v>20</v>
      </c>
      <c r="I60" s="346" t="s">
        <v>21</v>
      </c>
      <c r="J60" s="345">
        <f ca="1">_xll.qlCalendarAdvance(H60,C60,D60,I60)</f>
        <v>44811</v>
      </c>
      <c r="K60" s="345">
        <f ca="1">_xll.qlCalendarAdvance(H60,J60,"2d")</f>
        <v>44813</v>
      </c>
      <c r="L60" s="345">
        <f ca="1">_xll.qlCalendarAdvance(H60,K60,E60,"unadjusted")</f>
        <v>46274</v>
      </c>
      <c r="M60" s="346" t="s">
        <v>7</v>
      </c>
      <c r="N60" s="346" t="s">
        <v>20</v>
      </c>
      <c r="O60" s="346" t="s">
        <v>21</v>
      </c>
      <c r="P60" s="346" t="s">
        <v>21</v>
      </c>
      <c r="Q60" s="346" t="s">
        <v>70</v>
      </c>
      <c r="R60" s="353" t="str">
        <f ca="1">_xll.qlSchedule(,K60,L60,M60,N60,O60,P60,Q60)</f>
        <v>obj_00703#0001</v>
      </c>
      <c r="S60" s="346" t="s">
        <v>19</v>
      </c>
      <c r="T60" s="346" t="s">
        <v>20</v>
      </c>
      <c r="U60" s="346" t="s">
        <v>21</v>
      </c>
      <c r="V60" s="346" t="s">
        <v>21</v>
      </c>
      <c r="W60" s="346" t="s">
        <v>70</v>
      </c>
      <c r="X60" s="353" t="str">
        <f ca="1">_xll.qlSchedule(,K60,L60,S60,T60,U60,V60,W60)</f>
        <v>obj_00577#0001</v>
      </c>
      <c r="Y60" s="349" t="s">
        <v>1742</v>
      </c>
      <c r="Z60" s="354" t="s">
        <v>36</v>
      </c>
      <c r="AA60" s="354" t="s">
        <v>1745</v>
      </c>
      <c r="AB60" s="353" t="str">
        <f ca="1">_xll.qlVanillaSwap(,,,R60,,Y60,X60,Z60,,AA60)</f>
        <v>obj_0072d#0001</v>
      </c>
      <c r="AC60" s="353" t="b">
        <f ca="1">_xll.qlInstrumentSetPricingEngine(AB60,_xll.qlDiscountingSwapEngine(,Curve!$S$16))</f>
        <v>1</v>
      </c>
      <c r="AD60" s="355" t="e">
        <f ca="1">_xll.qlVanillaSwapFairRate(AB60,AC60)</f>
        <v>#NUM!</v>
      </c>
      <c r="AE60" s="346" t="s">
        <v>1752</v>
      </c>
      <c r="AF60" s="347">
        <v>10000</v>
      </c>
      <c r="AG60" s="350" t="e">
        <f ca="1">_xll.qlVanillaSwap(,AE60,AF60,R60,AD60,Y60,X60,Z60,,AA60)</f>
        <v>#NUM!</v>
      </c>
      <c r="AH60" s="347" t="str">
        <f ca="1">_xll.qlEuropeanExercise(,J60)</f>
        <v>obj_0026b#0000</v>
      </c>
      <c r="AI60" s="346" t="s">
        <v>1749</v>
      </c>
      <c r="AJ60" s="356" t="e">
        <f ca="1">_xll.qlSwaption(,AG60,AH60,AI60)</f>
        <v>#VALUE!</v>
      </c>
      <c r="AK60" s="357" t="str">
        <f ca="1">_xll.qlConstantSwaptionVolatility(,,H60,I60,F60)</f>
        <v>obj_0010f#0001</v>
      </c>
      <c r="AL60" s="357" t="e">
        <f ca="1">_xll.qlInstrumentSetPricingEngine(AJ60,_xll.qlBachelierBlackSwaptionEngine(,Curve!$S$16,AK60))</f>
        <v>#VALUE!</v>
      </c>
      <c r="AM60" s="358" t="e">
        <f ca="1">_xll.qlInstrumentNPV(AJ60,AL60)*2/_xll.qlYieldTSDiscount(Curve!$S$16,K60)</f>
        <v>#VALUE!</v>
      </c>
      <c r="AN60" s="358" t="e">
        <f ca="1">_xll.qlInstrumentResults(AJ60,"annuity",AL60)</f>
        <v>#VALUE!</v>
      </c>
      <c r="AO60" s="359" t="e">
        <f ca="1">G60/2*_xll.qlYieldTSDiscount(Curve!$S$16,K60)/AN60</f>
        <v>#VALUE!</v>
      </c>
      <c r="AP60" s="360" t="e">
        <f ca="1">_xll.qlBachelierBlackFormulaImpliedVol("Call",AD60,AD60,_xll.qlDayCounterYearFraction("Act/365 (Fixed)",C60,J60),AO60)</f>
        <v>#VALUE!</v>
      </c>
      <c r="AQ60" s="361" t="e">
        <f ca="1">_xll.qlBlackFormulaImpliedStdDev("Call",AD60,AD60,AO60)/SQRT(_xll.qlDayCounterYearFraction("Act/365 (Fixed)",C60,J60))</f>
        <v>#VALUE!</v>
      </c>
      <c r="AS60" s="363">
        <v>7.3127345585513323E-3</v>
      </c>
      <c r="AT60" s="363">
        <v>8.1920048666976105E-3</v>
      </c>
      <c r="AU60" s="365">
        <f t="shared" ca="1" si="2"/>
        <v>4.7265441448667879E-5</v>
      </c>
      <c r="AV60" s="365">
        <f t="shared" ca="1" si="3"/>
        <v>-8.3200486669761028E-4</v>
      </c>
    </row>
    <row r="61" spans="2:48">
      <c r="B61" s="348" t="str">
        <f t="shared" ca="1" si="1"/>
        <v>10Yx4Y</v>
      </c>
      <c r="C61" s="345">
        <f t="shared" ca="1" si="0"/>
        <v>42254</v>
      </c>
      <c r="D61" s="346" t="s">
        <v>16</v>
      </c>
      <c r="E61" s="346" t="s">
        <v>10</v>
      </c>
      <c r="F61" s="351">
        <f ca="1">VLOOKUP(F$3&amp;$D61&amp;$E61,'Swaption Volatilities'!$V:$W,2,FALSE)%%</f>
        <v>7.3699999999999998E-3</v>
      </c>
      <c r="G61" s="352">
        <f ca="1">VLOOKUP(G$3&amp;$D61&amp;$E61,'Swaption Volatilities'!$V:$W,2,FALSE)</f>
        <v>705</v>
      </c>
      <c r="H61" s="346" t="s">
        <v>20</v>
      </c>
      <c r="I61" s="346" t="s">
        <v>21</v>
      </c>
      <c r="J61" s="345">
        <f ca="1">_xll.qlCalendarAdvance(H61,C61,D61,I61)</f>
        <v>45908</v>
      </c>
      <c r="K61" s="345">
        <f ca="1">_xll.qlCalendarAdvance(H61,J61,"2d")</f>
        <v>45910</v>
      </c>
      <c r="L61" s="345">
        <f ca="1">_xll.qlCalendarAdvance(H61,K61,E61,"unadjusted")</f>
        <v>47371</v>
      </c>
      <c r="M61" s="346" t="s">
        <v>7</v>
      </c>
      <c r="N61" s="346" t="s">
        <v>20</v>
      </c>
      <c r="O61" s="346" t="s">
        <v>21</v>
      </c>
      <c r="P61" s="346" t="s">
        <v>21</v>
      </c>
      <c r="Q61" s="346" t="s">
        <v>70</v>
      </c>
      <c r="R61" s="353" t="str">
        <f ca="1">_xll.qlSchedule(,K61,L61,M61,N61,O61,P61,Q61)</f>
        <v>obj_0028e#0001</v>
      </c>
      <c r="S61" s="346" t="s">
        <v>19</v>
      </c>
      <c r="T61" s="346" t="s">
        <v>20</v>
      </c>
      <c r="U61" s="346" t="s">
        <v>21</v>
      </c>
      <c r="V61" s="346" t="s">
        <v>21</v>
      </c>
      <c r="W61" s="346" t="s">
        <v>70</v>
      </c>
      <c r="X61" s="353" t="str">
        <f ca="1">_xll.qlSchedule(,K61,L61,S61,T61,U61,V61,W61)</f>
        <v>obj_002f7#0001</v>
      </c>
      <c r="Y61" s="349" t="s">
        <v>1742</v>
      </c>
      <c r="Z61" s="354" t="s">
        <v>36</v>
      </c>
      <c r="AA61" s="354" t="s">
        <v>1745</v>
      </c>
      <c r="AB61" s="353" t="str">
        <f ca="1">_xll.qlVanillaSwap(,,,R61,,Y61,X61,Z61,,AA61)</f>
        <v>obj_003f3#0001</v>
      </c>
      <c r="AC61" s="353" t="b">
        <f ca="1">_xll.qlInstrumentSetPricingEngine(AB61,_xll.qlDiscountingSwapEngine(,Curve!$S$16))</f>
        <v>1</v>
      </c>
      <c r="AD61" s="355" t="e">
        <f ca="1">_xll.qlVanillaSwapFairRate(AB61,AC61)</f>
        <v>#NUM!</v>
      </c>
      <c r="AE61" s="346" t="s">
        <v>1752</v>
      </c>
      <c r="AF61" s="347">
        <v>10000</v>
      </c>
      <c r="AG61" s="350" t="str">
        <f ca="1">_xll.qlVanillaSwap(,AE61,AF61,R61,AD61,Y61,X61,Z61,,AA61)</f>
        <v>obj_00669#0000</v>
      </c>
      <c r="AH61" s="347" t="str">
        <f ca="1">_xll.qlEuropeanExercise(,J61)</f>
        <v>obj_000e7#0001</v>
      </c>
      <c r="AI61" s="346" t="s">
        <v>1749</v>
      </c>
      <c r="AJ61" s="356" t="str">
        <f ca="1">_xll.qlSwaption(,AG61,AH61,AI61)</f>
        <v>obj_007b5#0001</v>
      </c>
      <c r="AK61" s="357" t="str">
        <f ca="1">_xll.qlConstantSwaptionVolatility(,,H61,I61,F61)</f>
        <v>obj_00096#0001</v>
      </c>
      <c r="AL61" s="357" t="b">
        <f ca="1">_xll.qlInstrumentSetPricingEngine(AJ61,_xll.qlBachelierBlackSwaptionEngine(,Curve!$S$16,AK61))</f>
        <v>1</v>
      </c>
      <c r="AM61" s="358">
        <f ca="1">_xll.qlInstrumentNPV(AJ61,AL61)*2/_xll.qlYieldTSDiscount(Curve!$S$16,K61)</f>
        <v>615.32016704846353</v>
      </c>
      <c r="AN61" s="358">
        <f ca="1">_xll.qlInstrumentResults(AJ61,"annuity",AL61)</f>
        <v>30642.462435371774</v>
      </c>
      <c r="AO61" s="359">
        <f ca="1">G61/2*_xll.qlYieldTSDiscount(Curve!$S$16,K61)/AN61</f>
        <v>1.065867845063804E-2</v>
      </c>
      <c r="AP61" s="360" t="e">
        <f ca="1">_xll.qlBachelierBlackFormulaImpliedVol("Call",AD61,AD61,_xll.qlDayCounterYearFraction("Act/365 (Fixed)",C61,J61),AO61)</f>
        <v>#VALUE!</v>
      </c>
      <c r="AQ61" s="361" t="e">
        <f ca="1">_xll.qlBlackFormulaImpliedStdDev("Call",AD61,AD61,AO61)/SQRT(_xll.qlDayCounterYearFraction("Act/365 (Fixed)",C61,J61))</f>
        <v>#VALUE!</v>
      </c>
      <c r="AS61" s="363">
        <v>7.3323597508888998E-3</v>
      </c>
      <c r="AT61" s="363">
        <v>8.4441405925685629E-3</v>
      </c>
      <c r="AU61" s="365">
        <f t="shared" ca="1" si="2"/>
        <v>3.7640249111100046E-5</v>
      </c>
      <c r="AV61" s="365">
        <f t="shared" ca="1" si="3"/>
        <v>-1.0741405925685631E-3</v>
      </c>
    </row>
    <row r="62" spans="2:48">
      <c r="B62" s="348" t="str">
        <f t="shared" ca="1" si="1"/>
        <v>15Yx4Y</v>
      </c>
      <c r="C62" s="345">
        <f t="shared" ca="1" si="0"/>
        <v>42254</v>
      </c>
      <c r="D62" s="346" t="s">
        <v>17</v>
      </c>
      <c r="E62" s="346" t="s">
        <v>10</v>
      </c>
      <c r="F62" s="351">
        <f ca="1">VLOOKUP(F$3&amp;$D62&amp;$E62,'Swaption Volatilities'!$V:$W,2,FALSE)%%</f>
        <v>7.0900000000000008E-3</v>
      </c>
      <c r="G62" s="352">
        <f ca="1">VLOOKUP(G$3&amp;$D62&amp;$E62,'Swaption Volatilities'!$V:$W,2,FALSE)</f>
        <v>833</v>
      </c>
      <c r="H62" s="346" t="s">
        <v>20</v>
      </c>
      <c r="I62" s="346" t="s">
        <v>21</v>
      </c>
      <c r="J62" s="345">
        <f ca="1">_xll.qlCalendarAdvance(H62,C62,D62,I62)</f>
        <v>47735</v>
      </c>
      <c r="K62" s="345">
        <f ca="1">_xll.qlCalendarAdvance(H62,J62,"2d")</f>
        <v>47737</v>
      </c>
      <c r="L62" s="345">
        <f ca="1">_xll.qlCalendarAdvance(H62,K62,E62,"unadjusted")</f>
        <v>49198</v>
      </c>
      <c r="M62" s="346" t="s">
        <v>7</v>
      </c>
      <c r="N62" s="346" t="s">
        <v>20</v>
      </c>
      <c r="O62" s="346" t="s">
        <v>21</v>
      </c>
      <c r="P62" s="346" t="s">
        <v>21</v>
      </c>
      <c r="Q62" s="346" t="s">
        <v>70</v>
      </c>
      <c r="R62" s="353" t="str">
        <f ca="1">_xll.qlSchedule(,K62,L62,M62,N62,O62,P62,Q62)</f>
        <v>obj_004c3#0001</v>
      </c>
      <c r="S62" s="346" t="s">
        <v>19</v>
      </c>
      <c r="T62" s="346" t="s">
        <v>20</v>
      </c>
      <c r="U62" s="346" t="s">
        <v>21</v>
      </c>
      <c r="V62" s="346" t="s">
        <v>21</v>
      </c>
      <c r="W62" s="346" t="s">
        <v>70</v>
      </c>
      <c r="X62" s="353" t="str">
        <f ca="1">_xll.qlSchedule(,K62,L62,S62,T62,U62,V62,W62)</f>
        <v>obj_004c2#0000</v>
      </c>
      <c r="Y62" s="349" t="s">
        <v>1742</v>
      </c>
      <c r="Z62" s="354" t="s">
        <v>36</v>
      </c>
      <c r="AA62" s="354" t="s">
        <v>1745</v>
      </c>
      <c r="AB62" s="353" t="str">
        <f ca="1">_xll.qlVanillaSwap(,,,R62,,Y62,X62,Z62,,AA62)</f>
        <v>obj_00578#0001</v>
      </c>
      <c r="AC62" s="353" t="b">
        <f ca="1">_xll.qlInstrumentSetPricingEngine(AB62,_xll.qlDiscountingSwapEngine(,Curve!$S$16))</f>
        <v>1</v>
      </c>
      <c r="AD62" s="355">
        <f ca="1">_xll.qlVanillaSwapFairRate(AB62,AC62)</f>
        <v>2.0527600169024864E-2</v>
      </c>
      <c r="AE62" s="346" t="s">
        <v>1752</v>
      </c>
      <c r="AF62" s="347">
        <v>10000</v>
      </c>
      <c r="AG62" s="350" t="str">
        <f ca="1">_xll.qlVanillaSwap(,AE62,AF62,R62,AD62,Y62,X62,Z62,,AA62)</f>
        <v>obj_005f7#0000</v>
      </c>
      <c r="AH62" s="347" t="str">
        <f ca="1">_xll.qlEuropeanExercise(,J62)</f>
        <v>obj_00199#0000</v>
      </c>
      <c r="AI62" s="346" t="s">
        <v>1749</v>
      </c>
      <c r="AJ62" s="356" t="str">
        <f ca="1">_xll.qlSwaption(,AG62,AH62,AI62)</f>
        <v>obj_00684#0001</v>
      </c>
      <c r="AK62" s="357" t="str">
        <f ca="1">_xll.qlConstantSwaptionVolatility(,,H62,I62,F62)</f>
        <v>obj_00115#0001</v>
      </c>
      <c r="AL62" s="357" t="b">
        <f ca="1">_xll.qlInstrumentSetPricingEngine(AJ62,_xll.qlBachelierBlackSwaptionEngine(,Curve!$S$16,AK62))</f>
        <v>1</v>
      </c>
      <c r="AM62" s="358">
        <f ca="1">_xll.qlInstrumentNPV(AJ62,AL62)*2/_xll.qlYieldTSDiscount(Curve!$S$16,K62)</f>
        <v>732.8753899665877</v>
      </c>
      <c r="AN62" s="358">
        <f ca="1">_xll.qlInstrumentResults(AJ62,"annuity",AL62)</f>
        <v>28031.127088905432</v>
      </c>
      <c r="AO62" s="359">
        <f ca="1">G62/2*_xll.qlYieldTSDiscount(Curve!$S$16,K62)/AN62</f>
        <v>1.2458180904138801E-2</v>
      </c>
      <c r="AP62" s="360">
        <f ca="1">_xll.qlBachelierBlackFormulaImpliedVol("Call",AD62,AD62,_xll.qlDayCounterYearFraction("Act/365 (Fixed)",C62,J62),AO62)</f>
        <v>8.0586278115700703E-3</v>
      </c>
      <c r="AQ62" s="361">
        <f ca="1">_xll.qlBlackFormulaImpliedStdDev("Call",AD62,AD62,AO62)/SQRT(_xll.qlDayCounterYearFraction("Act/365 (Fixed)",C62,J62))</f>
        <v>0.44076601266254928</v>
      </c>
      <c r="AS62" s="363">
        <v>7.0719236990514356E-3</v>
      </c>
      <c r="AT62" s="363">
        <v>8.0586278115700703E-3</v>
      </c>
      <c r="AU62" s="365">
        <f t="shared" ca="1" si="2"/>
        <v>1.807630094856523E-5</v>
      </c>
      <c r="AV62" s="365">
        <f t="shared" ca="1" si="3"/>
        <v>-9.6862781157006951E-4</v>
      </c>
    </row>
    <row r="63" spans="2:48">
      <c r="B63" s="348" t="str">
        <f t="shared" ca="1" si="1"/>
        <v>20Yx4Y</v>
      </c>
      <c r="C63" s="345">
        <f t="shared" ca="1" si="0"/>
        <v>42254</v>
      </c>
      <c r="D63" s="346" t="s">
        <v>104</v>
      </c>
      <c r="E63" s="346" t="s">
        <v>10</v>
      </c>
      <c r="F63" s="351">
        <f ca="1">VLOOKUP(F$3&amp;$D63&amp;$E63,'Swaption Volatilities'!$V:$W,2,FALSE)%%</f>
        <v>6.6599999999999993E-3</v>
      </c>
      <c r="G63" s="352">
        <f ca="1">VLOOKUP(G$3&amp;$D63&amp;$E63,'Swaption Volatilities'!$V:$W,2,FALSE)</f>
        <v>911</v>
      </c>
      <c r="H63" s="346" t="s">
        <v>20</v>
      </c>
      <c r="I63" s="346" t="s">
        <v>21</v>
      </c>
      <c r="J63" s="345">
        <f ca="1">_xll.qlCalendarAdvance(H63,C63,D63,I63)</f>
        <v>49559</v>
      </c>
      <c r="K63" s="345">
        <f ca="1">_xll.qlCalendarAdvance(H63,J63,"2d")</f>
        <v>49563</v>
      </c>
      <c r="L63" s="345">
        <f ca="1">_xll.qlCalendarAdvance(H63,K63,E63,"unadjusted")</f>
        <v>51024</v>
      </c>
      <c r="M63" s="346" t="s">
        <v>7</v>
      </c>
      <c r="N63" s="346" t="s">
        <v>20</v>
      </c>
      <c r="O63" s="346" t="s">
        <v>21</v>
      </c>
      <c r="P63" s="346" t="s">
        <v>21</v>
      </c>
      <c r="Q63" s="346" t="s">
        <v>70</v>
      </c>
      <c r="R63" s="353" t="str">
        <f ca="1">_xll.qlSchedule(,K63,L63,M63,N63,O63,P63,Q63)</f>
        <v>obj_00587#0001</v>
      </c>
      <c r="S63" s="346" t="s">
        <v>19</v>
      </c>
      <c r="T63" s="346" t="s">
        <v>20</v>
      </c>
      <c r="U63" s="346" t="s">
        <v>21</v>
      </c>
      <c r="V63" s="346" t="s">
        <v>21</v>
      </c>
      <c r="W63" s="346" t="s">
        <v>70</v>
      </c>
      <c r="X63" s="353" t="str">
        <f ca="1">_xll.qlSchedule(,K63,L63,S63,T63,U63,V63,W63)</f>
        <v>obj_00586#0001</v>
      </c>
      <c r="Y63" s="349" t="s">
        <v>1742</v>
      </c>
      <c r="Z63" s="354" t="s">
        <v>36</v>
      </c>
      <c r="AA63" s="354" t="s">
        <v>1745</v>
      </c>
      <c r="AB63" s="353" t="str">
        <f ca="1">_xll.qlVanillaSwap(,,,R63,,Y63,X63,Z63,,AA63)</f>
        <v>obj_00605#0001</v>
      </c>
      <c r="AC63" s="353" t="b">
        <f ca="1">_xll.qlInstrumentSetPricingEngine(AB63,_xll.qlDiscountingSwapEngine(,Curve!$S$16))</f>
        <v>1</v>
      </c>
      <c r="AD63" s="355">
        <f ca="1">_xll.qlVanillaSwapFairRate(AB63,AC63)</f>
        <v>1.7082382293268982E-2</v>
      </c>
      <c r="AE63" s="346" t="s">
        <v>1752</v>
      </c>
      <c r="AF63" s="347">
        <v>10000</v>
      </c>
      <c r="AG63" s="350" t="str">
        <f ca="1">_xll.qlVanillaSwap(,AE63,AF63,R63,AD63,Y63,X63,Z63,,AA63)</f>
        <v>obj_00633#0000</v>
      </c>
      <c r="AH63" s="347" t="str">
        <f ca="1">_xll.qlEuropeanExercise(,J63)</f>
        <v>obj_004df#0001</v>
      </c>
      <c r="AI63" s="346" t="s">
        <v>1749</v>
      </c>
      <c r="AJ63" s="356" t="str">
        <f ca="1">_xll.qlSwaption(,AG63,AH63,AI63)</f>
        <v>obj_006b2#0001</v>
      </c>
      <c r="AK63" s="357" t="str">
        <f ca="1">_xll.qlConstantSwaptionVolatility(,,H63,I63,F63)</f>
        <v>obj_00270#0001</v>
      </c>
      <c r="AL63" s="357" t="b">
        <f ca="1">_xll.qlInstrumentSetPricingEngine(AJ63,_xll.qlBachelierBlackSwaptionEngine(,Curve!$S$16,AK63))</f>
        <v>1</v>
      </c>
      <c r="AM63" s="358">
        <f ca="1">_xll.qlInstrumentNPV(AJ63,AL63)*2/_xll.qlYieldTSDiscount(Curve!$S$16,K63)</f>
        <v>852.87255479472117</v>
      </c>
      <c r="AN63" s="358">
        <f ca="1">_xll.qlInstrumentResults(AJ63,"annuity",AL63)</f>
        <v>27342.104481280989</v>
      </c>
      <c r="AO63" s="359">
        <f ca="1">G63/2*_xll.qlYieldTSDiscount(Curve!$S$16,K63)/AN63</f>
        <v>1.2696447193598763E-2</v>
      </c>
      <c r="AP63" s="360">
        <f ca="1">_xll.qlBachelierBlackFormulaImpliedVol("Call",AD63,AD63,_xll.qlDayCounterYearFraction("Act/365 (Fixed)",C63,J63),AO63)</f>
        <v>7.1139116458734187E-3</v>
      </c>
      <c r="AQ63" s="361">
        <f ca="1">_xll.qlBlackFormulaImpliedStdDev("Call",AD63,AD63,AO63)/SQRT(_xll.qlDayCounterYearFraction("Act/365 (Fixed)",C63,J63))</f>
        <v>0.50701202263970435</v>
      </c>
      <c r="AS63" s="363">
        <v>6.6473904045963352E-3</v>
      </c>
      <c r="AT63" s="363">
        <v>7.1139116458734187E-3</v>
      </c>
      <c r="AU63" s="365">
        <f t="shared" ca="1" si="2"/>
        <v>1.2609595403664103E-5</v>
      </c>
      <c r="AV63" s="365">
        <f t="shared" ca="1" si="3"/>
        <v>-4.539116458734194E-4</v>
      </c>
    </row>
    <row r="64" spans="2:48">
      <c r="B64" s="348" t="str">
        <f t="shared" ca="1" si="1"/>
        <v>1Mx5Y</v>
      </c>
      <c r="C64" s="345">
        <f t="shared" ca="1" si="0"/>
        <v>42254</v>
      </c>
      <c r="D64" s="346" t="s">
        <v>23</v>
      </c>
      <c r="E64" s="346" t="s">
        <v>11</v>
      </c>
      <c r="F64" s="351">
        <f ca="1">VLOOKUP(F$3&amp;$D64&amp;$E64,'Swaption Volatilities'!$V:$W,2,FALSE)%%</f>
        <v>3.7799999999999995E-3</v>
      </c>
      <c r="G64" s="352">
        <f ca="1">VLOOKUP(G$3&amp;$D64&amp;$E64,'Swaption Volatilities'!$V:$W,2,FALSE)</f>
        <v>42.5</v>
      </c>
      <c r="H64" s="346" t="s">
        <v>20</v>
      </c>
      <c r="I64" s="346" t="s">
        <v>21</v>
      </c>
      <c r="J64" s="345">
        <f ca="1">_xll.qlCalendarAdvance(H64,C64,D64,I64)</f>
        <v>42284</v>
      </c>
      <c r="K64" s="345">
        <f ca="1">_xll.qlCalendarAdvance(H64,J64,"2d")</f>
        <v>42286</v>
      </c>
      <c r="L64" s="345">
        <f ca="1">_xll.qlCalendarAdvance(H64,K64,E64,"unadjusted")</f>
        <v>44113</v>
      </c>
      <c r="M64" s="346" t="s">
        <v>7</v>
      </c>
      <c r="N64" s="346" t="s">
        <v>20</v>
      </c>
      <c r="O64" s="346" t="s">
        <v>21</v>
      </c>
      <c r="P64" s="346" t="s">
        <v>21</v>
      </c>
      <c r="Q64" s="346" t="s">
        <v>70</v>
      </c>
      <c r="R64" s="353" t="str">
        <f ca="1">_xll.qlSchedule(,K64,L64,M64,N64,O64,P64,Q64)</f>
        <v>obj_00676#0001</v>
      </c>
      <c r="S64" s="346" t="s">
        <v>19</v>
      </c>
      <c r="T64" s="346" t="s">
        <v>20</v>
      </c>
      <c r="U64" s="346" t="s">
        <v>21</v>
      </c>
      <c r="V64" s="346" t="s">
        <v>21</v>
      </c>
      <c r="W64" s="346" t="s">
        <v>70</v>
      </c>
      <c r="X64" s="353" t="str">
        <f ca="1">_xll.qlSchedule(,K64,L64,S64,T64,U64,V64,W64)</f>
        <v>obj_0044d#0001</v>
      </c>
      <c r="Y64" s="349" t="s">
        <v>1742</v>
      </c>
      <c r="Z64" s="354" t="s">
        <v>36</v>
      </c>
      <c r="AA64" s="354" t="s">
        <v>1745</v>
      </c>
      <c r="AB64" s="353" t="str">
        <f ca="1">_xll.qlVanillaSwap(,,,R64,,Y64,X64,Z64,,AA64)</f>
        <v>obj_00707#0001</v>
      </c>
      <c r="AC64" s="353" t="b">
        <f ca="1">_xll.qlInstrumentSetPricingEngine(AB64,_xll.qlDiscountingSwapEngine(,Curve!$S$16))</f>
        <v>1</v>
      </c>
      <c r="AD64" s="355" t="e">
        <f ca="1">_xll.qlVanillaSwapFairRate(AB64,AC64)</f>
        <v>#NUM!</v>
      </c>
      <c r="AE64" s="346" t="s">
        <v>1752</v>
      </c>
      <c r="AF64" s="347">
        <v>10000</v>
      </c>
      <c r="AG64" s="350" t="e">
        <f ca="1">_xll.qlVanillaSwap(,AE64,AF64,R64,AD64,Y64,X64,Z64,,AA64)</f>
        <v>#NUM!</v>
      </c>
      <c r="AH64" s="347" t="str">
        <f ca="1">_xll.qlEuropeanExercise(,J64)</f>
        <v>obj_001dc#0001</v>
      </c>
      <c r="AI64" s="346" t="s">
        <v>1749</v>
      </c>
      <c r="AJ64" s="356" t="e">
        <f ca="1">_xll.qlSwaption(,AG64,AH64,AI64)</f>
        <v>#VALUE!</v>
      </c>
      <c r="AK64" s="357" t="str">
        <f ca="1">_xll.qlConstantSwaptionVolatility(,,H64,I64,F64)</f>
        <v>obj_000ab#0001</v>
      </c>
      <c r="AL64" s="357" t="e">
        <f ca="1">_xll.qlInstrumentSetPricingEngine(AJ64,_xll.qlBachelierBlackSwaptionEngine(,Curve!$S$16,AK64))</f>
        <v>#VALUE!</v>
      </c>
      <c r="AM64" s="358" t="e">
        <f ca="1">_xll.qlInstrumentNPV(AJ64,AL64)*2/_xll.qlYieldTSDiscount(Curve!$S$16,K64)</f>
        <v>#VALUE!</v>
      </c>
      <c r="AN64" s="358" t="e">
        <f ca="1">_xll.qlInstrumentResults(AJ64,"annuity",AL64)</f>
        <v>#VALUE!</v>
      </c>
      <c r="AO64" s="359" t="e">
        <f ca="1">G64/2*_xll.qlYieldTSDiscount(Curve!$S$16,K64)/AN64</f>
        <v>#VALUE!</v>
      </c>
      <c r="AP64" s="360" t="e">
        <f ca="1">_xll.qlBachelierBlackFormulaImpliedVol("Call",AD64,AD64,_xll.qlDayCounterYearFraction("Act/365 (Fixed)",C64,J64),AO64)</f>
        <v>#VALUE!</v>
      </c>
      <c r="AQ64" s="361" t="e">
        <f ca="1">_xll.qlBlackFormulaImpliedStdDev("Call",AD64,AD64,AO64)/SQRT(_xll.qlDayCounterYearFraction("Act/365 (Fixed)",C64,J64))</f>
        <v>#VALUE!</v>
      </c>
      <c r="AS64" s="363">
        <v>3.7160346382739979E-3</v>
      </c>
      <c r="AT64" s="363">
        <v>3.7601577785253042E-3</v>
      </c>
      <c r="AU64" s="365">
        <f t="shared" ca="1" si="2"/>
        <v>6.3965361726001611E-5</v>
      </c>
      <c r="AV64" s="365">
        <f t="shared" ca="1" si="3"/>
        <v>1.9842221474695304E-5</v>
      </c>
    </row>
    <row r="65" spans="2:48">
      <c r="B65" s="348" t="str">
        <f t="shared" ca="1" si="1"/>
        <v>2Mx5Y</v>
      </c>
      <c r="C65" s="345">
        <f t="shared" ca="1" si="0"/>
        <v>42254</v>
      </c>
      <c r="D65" s="346" t="s">
        <v>398</v>
      </c>
      <c r="E65" s="346" t="s">
        <v>11</v>
      </c>
      <c r="F65" s="351">
        <f ca="1">VLOOKUP(F$3&amp;$D65&amp;$E65,'Swaption Volatilities'!$V:$W,2,FALSE)%%</f>
        <v>3.8299999999999996E-3</v>
      </c>
      <c r="G65" s="352">
        <f ca="1">VLOOKUP(G$3&amp;$D65&amp;$E65,'Swaption Volatilities'!$V:$W,2,FALSE)</f>
        <v>62.5</v>
      </c>
      <c r="H65" s="346" t="s">
        <v>20</v>
      </c>
      <c r="I65" s="346" t="s">
        <v>21</v>
      </c>
      <c r="J65" s="345">
        <f ca="1">_xll.qlCalendarAdvance(H65,C65,D65,I65)</f>
        <v>42317</v>
      </c>
      <c r="K65" s="345">
        <f ca="1">_xll.qlCalendarAdvance(H65,J65,"2d")</f>
        <v>42319</v>
      </c>
      <c r="L65" s="345">
        <f ca="1">_xll.qlCalendarAdvance(H65,K65,E65,"unadjusted")</f>
        <v>44146</v>
      </c>
      <c r="M65" s="346" t="s">
        <v>7</v>
      </c>
      <c r="N65" s="346" t="s">
        <v>20</v>
      </c>
      <c r="O65" s="346" t="s">
        <v>21</v>
      </c>
      <c r="P65" s="346" t="s">
        <v>21</v>
      </c>
      <c r="Q65" s="346" t="s">
        <v>70</v>
      </c>
      <c r="R65" s="353" t="str">
        <f ca="1">_xll.qlSchedule(,K65,L65,M65,N65,O65,P65,Q65)</f>
        <v>obj_005aa#0001</v>
      </c>
      <c r="S65" s="346" t="s">
        <v>19</v>
      </c>
      <c r="T65" s="346" t="s">
        <v>20</v>
      </c>
      <c r="U65" s="346" t="s">
        <v>21</v>
      </c>
      <c r="V65" s="346" t="s">
        <v>21</v>
      </c>
      <c r="W65" s="346" t="s">
        <v>70</v>
      </c>
      <c r="X65" s="353" t="str">
        <f ca="1">_xll.qlSchedule(,K65,L65,S65,T65,U65,V65,W65)</f>
        <v>obj_005ab#0001</v>
      </c>
      <c r="Y65" s="349" t="s">
        <v>1742</v>
      </c>
      <c r="Z65" s="354" t="s">
        <v>36</v>
      </c>
      <c r="AA65" s="354" t="s">
        <v>1745</v>
      </c>
      <c r="AB65" s="353" t="str">
        <f ca="1">_xll.qlVanillaSwap(,,,R65,,Y65,X65,Z65,,AA65)</f>
        <v>obj_00616#0001</v>
      </c>
      <c r="AC65" s="353" t="b">
        <f ca="1">_xll.qlInstrumentSetPricingEngine(AB65,_xll.qlDiscountingSwapEngine(,Curve!$S$16))</f>
        <v>1</v>
      </c>
      <c r="AD65" s="355" t="e">
        <f ca="1">_xll.qlVanillaSwapFairRate(AB65,AC65)</f>
        <v>#NUM!</v>
      </c>
      <c r="AE65" s="346" t="s">
        <v>1752</v>
      </c>
      <c r="AF65" s="347">
        <v>10000</v>
      </c>
      <c r="AG65" s="350" t="str">
        <f ca="1">_xll.qlVanillaSwap(,AE65,AF65,R65,AD65,Y65,X65,Z65,,AA65)</f>
        <v>obj_006f3#0000</v>
      </c>
      <c r="AH65" s="347" t="str">
        <f ca="1">_xll.qlEuropeanExercise(,J65)</f>
        <v>obj_00445#0001</v>
      </c>
      <c r="AI65" s="346" t="s">
        <v>1749</v>
      </c>
      <c r="AJ65" s="356" t="str">
        <f ca="1">_xll.qlSwaption(,AG65,AH65,AI65)</f>
        <v>obj_007a2#0001</v>
      </c>
      <c r="AK65" s="357" t="str">
        <f ca="1">_xll.qlConstantSwaptionVolatility(,,H65,I65,F65)</f>
        <v>obj_00265#0001</v>
      </c>
      <c r="AL65" s="357" t="b">
        <f ca="1">_xll.qlInstrumentSetPricingEngine(AJ65,_xll.qlBachelierBlackSwaptionEngine(,Curve!$S$16,AK65))</f>
        <v>1</v>
      </c>
      <c r="AM65" s="358">
        <f ca="1">_xll.qlInstrumentNPV(AJ65,AL65)*2/_xll.qlYieldTSDiscount(Curve!$S$16,K65)</f>
        <v>62.668043812829872</v>
      </c>
      <c r="AN65" s="358">
        <f ca="1">_xll.qlInstrumentResults(AJ65,"annuity",AL65)</f>
        <v>49372.732251071247</v>
      </c>
      <c r="AO65" s="359">
        <f ca="1">G65/2*_xll.qlYieldTSDiscount(Curve!$S$16,K65)/AN65</f>
        <v>6.3309161458892111E-4</v>
      </c>
      <c r="AP65" s="360" t="e">
        <f ca="1">_xll.qlBachelierBlackFormulaImpliedVol("Call",AD65,AD65,_xll.qlDayCounterYearFraction("Act/365 (Fixed)",C65,J65),AO65)</f>
        <v>#VALUE!</v>
      </c>
      <c r="AQ65" s="361" t="e">
        <f ca="1">_xll.qlBlackFormulaImpliedStdDev("Call",AD65,AD65,AO65)/SQRT(_xll.qlDayCounterYearFraction("Act/365 (Fixed)",C65,J65))</f>
        <v>#VALUE!</v>
      </c>
      <c r="AS65" s="363">
        <v>3.7722818731449758E-3</v>
      </c>
      <c r="AT65" s="363">
        <v>3.8197298884091371E-3</v>
      </c>
      <c r="AU65" s="365">
        <f t="shared" ca="1" si="2"/>
        <v>5.7718126855023887E-5</v>
      </c>
      <c r="AV65" s="365">
        <f t="shared" ca="1" si="3"/>
        <v>1.0270111590862576E-5</v>
      </c>
    </row>
    <row r="66" spans="2:48">
      <c r="B66" s="348" t="str">
        <f t="shared" ca="1" si="1"/>
        <v>3Mx5Y</v>
      </c>
      <c r="C66" s="345">
        <f t="shared" ca="1" si="0"/>
        <v>42254</v>
      </c>
      <c r="D66" s="346" t="s">
        <v>26</v>
      </c>
      <c r="E66" s="346" t="s">
        <v>11</v>
      </c>
      <c r="F66" s="351">
        <f ca="1">VLOOKUP(F$3&amp;$D66&amp;$E66,'Swaption Volatilities'!$V:$W,2,FALSE)%%</f>
        <v>3.8400000000000001E-3</v>
      </c>
      <c r="G66" s="352">
        <f ca="1">VLOOKUP(G$3&amp;$D66&amp;$E66,'Swaption Volatilities'!$V:$W,2,FALSE)</f>
        <v>75.5</v>
      </c>
      <c r="H66" s="346" t="s">
        <v>20</v>
      </c>
      <c r="I66" s="346" t="s">
        <v>21</v>
      </c>
      <c r="J66" s="345">
        <f ca="1">_xll.qlCalendarAdvance(H66,C66,D66,I66)</f>
        <v>42345</v>
      </c>
      <c r="K66" s="345">
        <f ca="1">_xll.qlCalendarAdvance(H66,J66,"2d")</f>
        <v>42347</v>
      </c>
      <c r="L66" s="345">
        <f ca="1">_xll.qlCalendarAdvance(H66,K66,E66,"unadjusted")</f>
        <v>44174</v>
      </c>
      <c r="M66" s="346" t="s">
        <v>7</v>
      </c>
      <c r="N66" s="346" t="s">
        <v>20</v>
      </c>
      <c r="O66" s="346" t="s">
        <v>21</v>
      </c>
      <c r="P66" s="346" t="s">
        <v>21</v>
      </c>
      <c r="Q66" s="346" t="s">
        <v>70</v>
      </c>
      <c r="R66" s="353" t="str">
        <f ca="1">_xll.qlSchedule(,K66,L66,M66,N66,O66,P66,Q66)</f>
        <v>obj_004b8#0001</v>
      </c>
      <c r="S66" s="346" t="s">
        <v>19</v>
      </c>
      <c r="T66" s="346" t="s">
        <v>20</v>
      </c>
      <c r="U66" s="346" t="s">
        <v>21</v>
      </c>
      <c r="V66" s="346" t="s">
        <v>21</v>
      </c>
      <c r="W66" s="346" t="s">
        <v>70</v>
      </c>
      <c r="X66" s="353" t="str">
        <f ca="1">_xll.qlSchedule(,K66,L66,S66,T66,U66,V66,W66)</f>
        <v>obj_004b7#0001</v>
      </c>
      <c r="Y66" s="349" t="s">
        <v>1742</v>
      </c>
      <c r="Z66" s="354" t="s">
        <v>36</v>
      </c>
      <c r="AA66" s="354" t="s">
        <v>1745</v>
      </c>
      <c r="AB66" s="353" t="str">
        <f ca="1">_xll.qlVanillaSwap(,,,R66,,Y66,X66,Z66,,AA66)</f>
        <v>obj_00570#0001</v>
      </c>
      <c r="AC66" s="353" t="b">
        <f ca="1">_xll.qlInstrumentSetPricingEngine(AB66,_xll.qlDiscountingSwapEngine(,Curve!$S$16))</f>
        <v>1</v>
      </c>
      <c r="AD66" s="355">
        <f ca="1">_xll.qlVanillaSwapFairRate(AB66,AC66)</f>
        <v>4.1423117327614245E-3</v>
      </c>
      <c r="AE66" s="346" t="s">
        <v>1752</v>
      </c>
      <c r="AF66" s="347">
        <v>10000</v>
      </c>
      <c r="AG66" s="350" t="str">
        <f ca="1">_xll.qlVanillaSwap(,AE66,AF66,R66,AD66,Y66,X66,Z66,,AA66)</f>
        <v>obj_005ed#0000</v>
      </c>
      <c r="AH66" s="347" t="str">
        <f ca="1">_xll.qlEuropeanExercise(,J66)</f>
        <v>obj_00198#0000</v>
      </c>
      <c r="AI66" s="346" t="s">
        <v>1749</v>
      </c>
      <c r="AJ66" s="356" t="str">
        <f ca="1">_xll.qlSwaption(,AG66,AH66,AI66)</f>
        <v>obj_0064b#0001</v>
      </c>
      <c r="AK66" s="357" t="str">
        <f ca="1">_xll.qlConstantSwaptionVolatility(,,H66,I66,F66)</f>
        <v>obj_000b2#0001</v>
      </c>
      <c r="AL66" s="357" t="b">
        <f ca="1">_xll.qlInstrumentSetPricingEngine(AJ66,_xll.qlBachelierBlackSwaptionEngine(,Curve!$S$16,AK66))</f>
        <v>1</v>
      </c>
      <c r="AM66" s="358">
        <f ca="1">_xll.qlInstrumentNPV(AJ66,AL66)*2/_xll.qlYieldTSDiscount(Curve!$S$16,K66)</f>
        <v>75.444580064131557</v>
      </c>
      <c r="AN66" s="358">
        <f ca="1">_xll.qlInstrumentResults(AJ66,"annuity",AL66)</f>
        <v>49332.465199134334</v>
      </c>
      <c r="AO66" s="359">
        <f ca="1">G66/2*_xll.qlYieldTSDiscount(Curve!$S$16,K66)/AN66</f>
        <v>7.6548107873546936E-4</v>
      </c>
      <c r="AP66" s="360">
        <f ca="1">_xll.qlBachelierBlackFormulaImpliedVol("Call",AD66,AD66,_xll.qlDayCounterYearFraction("Act/365 (Fixed)",C66,J66),AO66)</f>
        <v>3.8428207798829892E-3</v>
      </c>
      <c r="AQ66" s="361">
        <f ca="1">_xll.qlBlackFormulaImpliedStdDev("Call",AD66,AD66,AO66)/SQRT(_xll.qlDayCounterYearFraction("Act/365 (Fixed)",C66,J66))</f>
        <v>0.93615289068820406</v>
      </c>
      <c r="AS66" s="363">
        <v>3.7927144187914529E-3</v>
      </c>
      <c r="AT66" s="363">
        <v>3.8428207798829892E-3</v>
      </c>
      <c r="AU66" s="365">
        <f t="shared" ca="1" si="2"/>
        <v>4.7285581208547211E-5</v>
      </c>
      <c r="AV66" s="365">
        <f t="shared" ca="1" si="3"/>
        <v>-2.8207798829890836E-6</v>
      </c>
    </row>
    <row r="67" spans="2:48">
      <c r="B67" s="348" t="str">
        <f t="shared" ca="1" si="1"/>
        <v>6Mx5Y</v>
      </c>
      <c r="C67" s="345">
        <f t="shared" ca="1" si="0"/>
        <v>42254</v>
      </c>
      <c r="D67" s="346" t="s">
        <v>19</v>
      </c>
      <c r="E67" s="346" t="s">
        <v>11</v>
      </c>
      <c r="F67" s="351">
        <f ca="1">VLOOKUP(F$3&amp;$D67&amp;$E67,'Swaption Volatilities'!$V:$W,2,FALSE)%%</f>
        <v>4.1200000000000004E-3</v>
      </c>
      <c r="G67" s="352">
        <f ca="1">VLOOKUP(G$3&amp;$D67&amp;$E67,'Swaption Volatilities'!$V:$W,2,FALSE)</f>
        <v>114</v>
      </c>
      <c r="H67" s="346" t="s">
        <v>20</v>
      </c>
      <c r="I67" s="346" t="s">
        <v>21</v>
      </c>
      <c r="J67" s="345">
        <f ca="1">_xll.qlCalendarAdvance(H67,C67,D67,I67)</f>
        <v>42436</v>
      </c>
      <c r="K67" s="345">
        <f ca="1">_xll.qlCalendarAdvance(H67,J67,"2d")</f>
        <v>42438</v>
      </c>
      <c r="L67" s="345">
        <f ca="1">_xll.qlCalendarAdvance(H67,K67,E67,"unadjusted")</f>
        <v>44264</v>
      </c>
      <c r="M67" s="346" t="s">
        <v>7</v>
      </c>
      <c r="N67" s="346" t="s">
        <v>20</v>
      </c>
      <c r="O67" s="346" t="s">
        <v>21</v>
      </c>
      <c r="P67" s="346" t="s">
        <v>21</v>
      </c>
      <c r="Q67" s="346" t="s">
        <v>70</v>
      </c>
      <c r="R67" s="353" t="str">
        <f ca="1">_xll.qlSchedule(,K67,L67,M67,N67,O67,P67,Q67)</f>
        <v>obj_0058d#0001</v>
      </c>
      <c r="S67" s="346" t="s">
        <v>19</v>
      </c>
      <c r="T67" s="346" t="s">
        <v>20</v>
      </c>
      <c r="U67" s="346" t="s">
        <v>21</v>
      </c>
      <c r="V67" s="346" t="s">
        <v>21</v>
      </c>
      <c r="W67" s="346" t="s">
        <v>70</v>
      </c>
      <c r="X67" s="353" t="str">
        <f ca="1">_xll.qlSchedule(,K67,L67,S67,T67,U67,V67,W67)</f>
        <v>obj_0058c#0001</v>
      </c>
      <c r="Y67" s="349" t="s">
        <v>1742</v>
      </c>
      <c r="Z67" s="354" t="s">
        <v>36</v>
      </c>
      <c r="AA67" s="354" t="s">
        <v>1745</v>
      </c>
      <c r="AB67" s="353" t="str">
        <f ca="1">_xll.qlVanillaSwap(,,,R67,,Y67,X67,Z67,,AA67)</f>
        <v>obj_00607#0001</v>
      </c>
      <c r="AC67" s="353" t="b">
        <f ca="1">_xll.qlInstrumentSetPricingEngine(AB67,_xll.qlDiscountingSwapEngine(,Curve!$S$16))</f>
        <v>1</v>
      </c>
      <c r="AD67" s="355">
        <f ca="1">_xll.qlVanillaSwapFairRate(AB67,AC67)</f>
        <v>4.6786731528234132E-3</v>
      </c>
      <c r="AE67" s="346" t="s">
        <v>1752</v>
      </c>
      <c r="AF67" s="347">
        <v>10000</v>
      </c>
      <c r="AG67" s="350" t="str">
        <f ca="1">_xll.qlVanillaSwap(,AE67,AF67,R67,AD67,Y67,X67,Z67,,AA67)</f>
        <v>obj_00634#0000</v>
      </c>
      <c r="AH67" s="347" t="str">
        <f ca="1">_xll.qlEuropeanExercise(,J67)</f>
        <v>obj_001cf#0000</v>
      </c>
      <c r="AI67" s="346" t="s">
        <v>1749</v>
      </c>
      <c r="AJ67" s="356" t="str">
        <f ca="1">_xll.qlSwaption(,AG67,AH67,AI67)</f>
        <v>obj_0067a#0001</v>
      </c>
      <c r="AK67" s="357" t="str">
        <f ca="1">_xll.qlConstantSwaptionVolatility(,,H67,I67,F67)</f>
        <v>obj_000b8#0001</v>
      </c>
      <c r="AL67" s="357" t="b">
        <f ca="1">_xll.qlInstrumentSetPricingEngine(AJ67,_xll.qlBachelierBlackSwaptionEngine(,Curve!$S$16,AK67))</f>
        <v>1</v>
      </c>
      <c r="AM67" s="358">
        <f ca="1">_xll.qlInstrumentNPV(AJ67,AL67)*2/_xll.qlYieldTSDiscount(Curve!$S$16,K67)</f>
        <v>114.10085512135537</v>
      </c>
      <c r="AN67" s="358">
        <f ca="1">_xll.qlInstrumentResults(AJ67,"annuity",AL67)</f>
        <v>49189.572149501808</v>
      </c>
      <c r="AO67" s="359">
        <f ca="1">G67/2*_xll.qlYieldTSDiscount(Curve!$S$16,K67)/AN67</f>
        <v>1.159611452153299E-3</v>
      </c>
      <c r="AP67" s="360">
        <f ca="1">_xll.qlBachelierBlackFormulaImpliedVol("Call",AD67,AD67,_xll.qlDayCounterYearFraction("Act/365 (Fixed)",C67,J67),AO67)</f>
        <v>4.1163582823323403E-3</v>
      </c>
      <c r="AQ67" s="361">
        <f ca="1">_xll.qlBlackFormulaImpliedStdDev("Call",AD67,AD67,AO67)/SQRT(_xll.qlDayCounterYearFraction("Act/365 (Fixed)",C67,J67))</f>
        <v>0.89446134657084997</v>
      </c>
      <c r="AS67" s="363">
        <v>4.0537970396906133E-3</v>
      </c>
      <c r="AT67" s="363">
        <v>4.1163582823323403E-3</v>
      </c>
      <c r="AU67" s="365">
        <f t="shared" ca="1" si="2"/>
        <v>6.6202960309387146E-5</v>
      </c>
      <c r="AV67" s="365">
        <f t="shared" ca="1" si="3"/>
        <v>3.6417176676600826E-6</v>
      </c>
    </row>
    <row r="68" spans="2:48">
      <c r="B68" s="348" t="str">
        <f t="shared" ca="1" si="1"/>
        <v>9Mx5Y</v>
      </c>
      <c r="C68" s="345">
        <f t="shared" ref="C68:C131" ca="1" si="4">RefDate</f>
        <v>42254</v>
      </c>
      <c r="D68" s="346" t="s">
        <v>412</v>
      </c>
      <c r="E68" s="346" t="s">
        <v>11</v>
      </c>
      <c r="F68" s="351">
        <f ca="1">VLOOKUP(F$3&amp;$D68&amp;$E68,'Swaption Volatilities'!$V:$W,2,FALSE)%%</f>
        <v>4.4000000000000003E-3</v>
      </c>
      <c r="G68" s="352">
        <f ca="1">VLOOKUP(G$3&amp;$D68&amp;$E68,'Swaption Volatilities'!$V:$W,2,FALSE)</f>
        <v>150</v>
      </c>
      <c r="H68" s="346" t="s">
        <v>20</v>
      </c>
      <c r="I68" s="346" t="s">
        <v>21</v>
      </c>
      <c r="J68" s="345">
        <f ca="1">_xll.qlCalendarAdvance(H68,C68,D68,I68)</f>
        <v>42528</v>
      </c>
      <c r="K68" s="345">
        <f ca="1">_xll.qlCalendarAdvance(H68,J68,"2d")</f>
        <v>42530</v>
      </c>
      <c r="L68" s="345">
        <f ca="1">_xll.qlCalendarAdvance(H68,K68,E68,"unadjusted")</f>
        <v>44356</v>
      </c>
      <c r="M68" s="346" t="s">
        <v>7</v>
      </c>
      <c r="N68" s="346" t="s">
        <v>20</v>
      </c>
      <c r="O68" s="346" t="s">
        <v>21</v>
      </c>
      <c r="P68" s="346" t="s">
        <v>21</v>
      </c>
      <c r="Q68" s="346" t="s">
        <v>70</v>
      </c>
      <c r="R68" s="353" t="str">
        <f ca="1">_xll.qlSchedule(,K68,L68,M68,N68,O68,P68,Q68)</f>
        <v>obj_00677#0001</v>
      </c>
      <c r="S68" s="346" t="s">
        <v>19</v>
      </c>
      <c r="T68" s="346" t="s">
        <v>20</v>
      </c>
      <c r="U68" s="346" t="s">
        <v>21</v>
      </c>
      <c r="V68" s="346" t="s">
        <v>21</v>
      </c>
      <c r="W68" s="346" t="s">
        <v>70</v>
      </c>
      <c r="X68" s="353" t="str">
        <f ca="1">_xll.qlSchedule(,K68,L68,S68,T68,U68,V68,W68)</f>
        <v>obj_001f3#0001</v>
      </c>
      <c r="Y68" s="349" t="s">
        <v>1742</v>
      </c>
      <c r="Z68" s="354" t="s">
        <v>36</v>
      </c>
      <c r="AA68" s="354" t="s">
        <v>1745</v>
      </c>
      <c r="AB68" s="353" t="str">
        <f ca="1">_xll.qlVanillaSwap(,,,R68,,Y68,X68,Z68,,AA68)</f>
        <v>obj_00708#0001</v>
      </c>
      <c r="AC68" s="353" t="b">
        <f ca="1">_xll.qlInstrumentSetPricingEngine(AB68,_xll.qlDiscountingSwapEngine(,Curve!$S$16))</f>
        <v>1</v>
      </c>
      <c r="AD68" s="355" t="e">
        <f ca="1">_xll.qlVanillaSwapFairRate(AB68,AC68)</f>
        <v>#NUM!</v>
      </c>
      <c r="AE68" s="346" t="s">
        <v>1752</v>
      </c>
      <c r="AF68" s="347">
        <v>10000</v>
      </c>
      <c r="AG68" s="350" t="e">
        <f ca="1">_xll.qlVanillaSwap(,AE68,AF68,R68,AD68,Y68,X68,Z68,,AA68)</f>
        <v>#NUM!</v>
      </c>
      <c r="AH68" s="347" t="str">
        <f ca="1">_xll.qlEuropeanExercise(,J68)</f>
        <v>obj_000ea#0001</v>
      </c>
      <c r="AI68" s="346" t="s">
        <v>1749</v>
      </c>
      <c r="AJ68" s="356" t="e">
        <f ca="1">_xll.qlSwaption(,AG68,AH68,AI68)</f>
        <v>#VALUE!</v>
      </c>
      <c r="AK68" s="357" t="str">
        <f ca="1">_xll.qlConstantSwaptionVolatility(,,H68,I68,F68)</f>
        <v>obj_00194#0001</v>
      </c>
      <c r="AL68" s="357" t="e">
        <f ca="1">_xll.qlInstrumentSetPricingEngine(AJ68,_xll.qlBachelierBlackSwaptionEngine(,Curve!$S$16,AK68))</f>
        <v>#VALUE!</v>
      </c>
      <c r="AM68" s="358" t="e">
        <f ca="1">_xll.qlInstrumentNPV(AJ68,AL68)*2/_xll.qlYieldTSDiscount(Curve!$S$16,K68)</f>
        <v>#VALUE!</v>
      </c>
      <c r="AN68" s="358" t="e">
        <f ca="1">_xll.qlInstrumentResults(AJ68,"annuity",AL68)</f>
        <v>#VALUE!</v>
      </c>
      <c r="AO68" s="359" t="e">
        <f ca="1">G68/2*_xll.qlYieldTSDiscount(Curve!$S$16,K68)/AN68</f>
        <v>#VALUE!</v>
      </c>
      <c r="AP68" s="360" t="e">
        <f ca="1">_xll.qlBachelierBlackFormulaImpliedVol("Call",AD68,AD68,_xll.qlDayCounterYearFraction("Act/365 (Fixed)",C68,J68),AO68)</f>
        <v>#VALUE!</v>
      </c>
      <c r="AQ68" s="361" t="e">
        <f ca="1">_xll.qlBlackFormulaImpliedStdDev("Call",AD68,AD68,AO68)/SQRT(_xll.qlDayCounterYearFraction("Act/365 (Fixed)",C68,J68))</f>
        <v>#VALUE!</v>
      </c>
      <c r="AS68" s="363">
        <v>4.3527190634690726E-3</v>
      </c>
      <c r="AT68" s="363">
        <v>4.4308128520224432E-3</v>
      </c>
      <c r="AU68" s="365">
        <f t="shared" ca="1" si="2"/>
        <v>4.72809365309277E-5</v>
      </c>
      <c r="AV68" s="365">
        <f t="shared" ca="1" si="3"/>
        <v>-3.0812852022442903E-5</v>
      </c>
    </row>
    <row r="69" spans="2:48">
      <c r="B69" s="348" t="str">
        <f t="shared" ref="B69:B132" ca="1" si="5">D69&amp;"x"&amp;E69</f>
        <v>1Yx5Y</v>
      </c>
      <c r="C69" s="345">
        <f t="shared" ca="1" si="4"/>
        <v>42254</v>
      </c>
      <c r="D69" s="346" t="s">
        <v>7</v>
      </c>
      <c r="E69" s="346" t="s">
        <v>11</v>
      </c>
      <c r="F69" s="351">
        <f ca="1">VLOOKUP(F$3&amp;$D69&amp;$E69,'Swaption Volatilities'!$V:$W,2,FALSE)%%</f>
        <v>4.7699999999999999E-3</v>
      </c>
      <c r="G69" s="352">
        <f ca="1">VLOOKUP(G$3&amp;$D69&amp;$E69,'Swaption Volatilities'!$V:$W,2,FALSE)</f>
        <v>187</v>
      </c>
      <c r="H69" s="346" t="s">
        <v>20</v>
      </c>
      <c r="I69" s="346" t="s">
        <v>21</v>
      </c>
      <c r="J69" s="345">
        <f ca="1">_xll.qlCalendarAdvance(H69,C69,D69,I69)</f>
        <v>42620</v>
      </c>
      <c r="K69" s="345">
        <f ca="1">_xll.qlCalendarAdvance(H69,J69,"2d")</f>
        <v>42622</v>
      </c>
      <c r="L69" s="345">
        <f ca="1">_xll.qlCalendarAdvance(H69,K69,E69,"unadjusted")</f>
        <v>44448</v>
      </c>
      <c r="M69" s="346" t="s">
        <v>7</v>
      </c>
      <c r="N69" s="346" t="s">
        <v>20</v>
      </c>
      <c r="O69" s="346" t="s">
        <v>21</v>
      </c>
      <c r="P69" s="346" t="s">
        <v>21</v>
      </c>
      <c r="Q69" s="346" t="s">
        <v>70</v>
      </c>
      <c r="R69" s="353" t="str">
        <f ca="1">_xll.qlSchedule(,K69,L69,M69,N69,O69,P69,Q69)</f>
        <v>obj_0044c#0000</v>
      </c>
      <c r="S69" s="346" t="s">
        <v>19</v>
      </c>
      <c r="T69" s="346" t="s">
        <v>20</v>
      </c>
      <c r="U69" s="346" t="s">
        <v>21</v>
      </c>
      <c r="V69" s="346" t="s">
        <v>21</v>
      </c>
      <c r="W69" s="346" t="s">
        <v>70</v>
      </c>
      <c r="X69" s="353" t="str">
        <f ca="1">_xll.qlSchedule(,K69,L69,S69,T69,U69,V69,W69)</f>
        <v>obj_0044f#0001</v>
      </c>
      <c r="Y69" s="349" t="s">
        <v>1742</v>
      </c>
      <c r="Z69" s="354" t="s">
        <v>36</v>
      </c>
      <c r="AA69" s="354" t="s">
        <v>1745</v>
      </c>
      <c r="AB69" s="353" t="str">
        <f ca="1">_xll.qlVanillaSwap(,,,R69,,Y69,X69,Z69,,AA69)</f>
        <v>obj_00520#0001</v>
      </c>
      <c r="AC69" s="353" t="b">
        <f ca="1">_xll.qlInstrumentSetPricingEngine(AB69,_xll.qlDiscountingSwapEngine(,Curve!$S$16))</f>
        <v>1</v>
      </c>
      <c r="AD69" s="355" t="e">
        <f ca="1">_xll.qlVanillaSwapFairRate(AB69,AC69)</f>
        <v>#NUM!</v>
      </c>
      <c r="AE69" s="346" t="s">
        <v>1752</v>
      </c>
      <c r="AF69" s="347">
        <v>10000</v>
      </c>
      <c r="AG69" s="350" t="str">
        <f ca="1">_xll.qlVanillaSwap(,AE69,AF69,R69,AD69,Y69,X69,Z69,,AA69)</f>
        <v>obj_00697#0000</v>
      </c>
      <c r="AH69" s="347" t="str">
        <f ca="1">_xll.qlEuropeanExercise(,J69)</f>
        <v>obj_00103#0000</v>
      </c>
      <c r="AI69" s="346" t="s">
        <v>1749</v>
      </c>
      <c r="AJ69" s="356" t="str">
        <f ca="1">_xll.qlSwaption(,AG69,AH69,AI69)</f>
        <v>obj_0074e#0001</v>
      </c>
      <c r="AK69" s="357" t="str">
        <f ca="1">_xll.qlConstantSwaptionVolatility(,,H69,I69,F69)</f>
        <v>obj_00095#0001</v>
      </c>
      <c r="AL69" s="357" t="b">
        <f ca="1">_xll.qlInstrumentSetPricingEngine(AJ69,_xll.qlBachelierBlackSwaptionEngine(,Curve!$S$16,AK69))</f>
        <v>1</v>
      </c>
      <c r="AM69" s="358">
        <f ca="1">_xll.qlInstrumentNPV(AJ69,AL69)*2/_xll.qlYieldTSDiscount(Curve!$S$16,K69)</f>
        <v>185.85462325167512</v>
      </c>
      <c r="AN69" s="358">
        <f ca="1">_xll.qlInstrumentResults(AJ69,"annuity",AL69)</f>
        <v>48840.260401412452</v>
      </c>
      <c r="AO69" s="359">
        <f ca="1">G69/2*_xll.qlYieldTSDiscount(Curve!$S$16,K69)/AN69</f>
        <v>1.9173031816282172E-3</v>
      </c>
      <c r="AP69" s="360" t="e">
        <f ca="1">_xll.qlBachelierBlackFormulaImpliedVol("Call",AD69,AD69,_xll.qlDayCounterYearFraction("Act/365 (Fixed)",C69,J69),AO69)</f>
        <v>#VALUE!</v>
      </c>
      <c r="AQ69" s="361" t="e">
        <f ca="1">_xll.qlBlackFormulaImpliedStdDev("Call",AD69,AD69,AO69)/SQRT(_xll.qlDayCounterYearFraction("Act/365 (Fixed)",C69,J69))</f>
        <v>#VALUE!</v>
      </c>
      <c r="AS69" s="363">
        <v>4.701887928009056E-3</v>
      </c>
      <c r="AT69" s="363">
        <v>4.7993963474995014E-3</v>
      </c>
      <c r="AU69" s="365">
        <f t="shared" ref="AU69:AU132" ca="1" si="6">F69-AS69</f>
        <v>6.8112071990943969E-5</v>
      </c>
      <c r="AV69" s="365">
        <f t="shared" ref="AV69:AV132" ca="1" si="7">F69-AT69</f>
        <v>-2.9396347499501506E-5</v>
      </c>
    </row>
    <row r="70" spans="2:48">
      <c r="B70" s="348" t="str">
        <f t="shared" ca="1" si="5"/>
        <v>18Mx5Y</v>
      </c>
      <c r="C70" s="345">
        <f t="shared" ca="1" si="4"/>
        <v>42254</v>
      </c>
      <c r="D70" s="346" t="s">
        <v>154</v>
      </c>
      <c r="E70" s="346" t="s">
        <v>11</v>
      </c>
      <c r="F70" s="351">
        <f ca="1">VLOOKUP(F$3&amp;$D70&amp;$E70,'Swaption Volatilities'!$V:$W,2,FALSE)%%</f>
        <v>5.3600000000000002E-3</v>
      </c>
      <c r="G70" s="352">
        <f ca="1">VLOOKUP(G$3&amp;$D70&amp;$E70,'Swaption Volatilities'!$V:$W,2,FALSE)</f>
        <v>256</v>
      </c>
      <c r="H70" s="346" t="s">
        <v>20</v>
      </c>
      <c r="I70" s="346" t="s">
        <v>21</v>
      </c>
      <c r="J70" s="345">
        <f ca="1">_xll.qlCalendarAdvance(H70,C70,D70,I70)</f>
        <v>42801</v>
      </c>
      <c r="K70" s="345">
        <f ca="1">_xll.qlCalendarAdvance(H70,J70,"2d")</f>
        <v>42803</v>
      </c>
      <c r="L70" s="345">
        <f ca="1">_xll.qlCalendarAdvance(H70,K70,E70,"unadjusted")</f>
        <v>44629</v>
      </c>
      <c r="M70" s="346" t="s">
        <v>7</v>
      </c>
      <c r="N70" s="346" t="s">
        <v>20</v>
      </c>
      <c r="O70" s="346" t="s">
        <v>21</v>
      </c>
      <c r="P70" s="346" t="s">
        <v>21</v>
      </c>
      <c r="Q70" s="346" t="s">
        <v>70</v>
      </c>
      <c r="R70" s="353" t="str">
        <f ca="1">_xll.qlSchedule(,K70,L70,M70,N70,O70,P70,Q70)</f>
        <v>obj_00297#0001</v>
      </c>
      <c r="S70" s="346" t="s">
        <v>19</v>
      </c>
      <c r="T70" s="346" t="s">
        <v>20</v>
      </c>
      <c r="U70" s="346" t="s">
        <v>21</v>
      </c>
      <c r="V70" s="346" t="s">
        <v>21</v>
      </c>
      <c r="W70" s="346" t="s">
        <v>70</v>
      </c>
      <c r="X70" s="353" t="str">
        <f ca="1">_xll.qlSchedule(,K70,L70,S70,T70,U70,V70,W70)</f>
        <v>obj_001f9#0000</v>
      </c>
      <c r="Y70" s="349" t="s">
        <v>1742</v>
      </c>
      <c r="Z70" s="354" t="s">
        <v>36</v>
      </c>
      <c r="AA70" s="354" t="s">
        <v>1745</v>
      </c>
      <c r="AB70" s="353" t="str">
        <f ca="1">_xll.qlVanillaSwap(,,,R70,,Y70,X70,Z70,,AA70)</f>
        <v>obj_00298#0000</v>
      </c>
      <c r="AC70" s="353" t="b">
        <f ca="1">_xll.qlInstrumentSetPricingEngine(AB70,_xll.qlDiscountingSwapEngine(,Curve!$S$16))</f>
        <v>1</v>
      </c>
      <c r="AD70" s="355">
        <f ca="1">_xll.qlVanillaSwapFairRate(AB70,AC70)</f>
        <v>7.1838563993568529E-3</v>
      </c>
      <c r="AE70" s="346" t="s">
        <v>1752</v>
      </c>
      <c r="AF70" s="347">
        <v>10000</v>
      </c>
      <c r="AG70" s="350" t="str">
        <f ca="1">_xll.qlVanillaSwap(,AE70,AF70,R70,AD70,Y70,X70,Z70,,AA70)</f>
        <v>obj_006aa#0000</v>
      </c>
      <c r="AH70" s="347" t="str">
        <f ca="1">_xll.qlEuropeanExercise(,J70)</f>
        <v>obj_001df#0001</v>
      </c>
      <c r="AI70" s="346" t="s">
        <v>1749</v>
      </c>
      <c r="AJ70" s="356" t="str">
        <f ca="1">_xll.qlSwaption(,AG70,AH70,AI70)</f>
        <v>obj_007ac#0001</v>
      </c>
      <c r="AK70" s="357" t="str">
        <f ca="1">_xll.qlConstantSwaptionVolatility(,,H70,I70,F70)</f>
        <v>obj_00441#0001</v>
      </c>
      <c r="AL70" s="357" t="b">
        <f ca="1">_xll.qlInstrumentSetPricingEngine(AJ70,_xll.qlBachelierBlackSwaptionEngine(,Curve!$S$16,AK70))</f>
        <v>1</v>
      </c>
      <c r="AM70" s="358">
        <f ca="1">_xll.qlInstrumentNPV(AJ70,AL70)*2/_xll.qlYieldTSDiscount(Curve!$S$16,K70)</f>
        <v>252.90872819564922</v>
      </c>
      <c r="AN70" s="358">
        <f ca="1">_xll.qlInstrumentResults(AJ70,"annuity",AL70)</f>
        <v>48415.626072399769</v>
      </c>
      <c r="AO70" s="359">
        <f ca="1">G70/2*_xll.qlYieldTSDiscount(Curve!$S$16,K70)/AN70</f>
        <v>2.6497093248834076E-3</v>
      </c>
      <c r="AP70" s="360">
        <f ca="1">_xll.qlBachelierBlackFormulaImpliedVol("Call",AD70,AD70,_xll.qlDayCounterYearFraction("Act/365 (Fixed)",C70,J70),AO70)</f>
        <v>5.4255146107036797E-3</v>
      </c>
      <c r="AQ70" s="361">
        <f ca="1">_xll.qlBlackFormulaImpliedStdDev("Call",AD70,AD70,AO70)/SQRT(_xll.qlDayCounterYearFraction("Act/365 (Fixed)",C70,J70))</f>
        <v>0.7843547560271763</v>
      </c>
      <c r="AS70" s="363">
        <v>5.2825763169287911E-3</v>
      </c>
      <c r="AT70" s="363">
        <v>5.4255146107036797E-3</v>
      </c>
      <c r="AU70" s="365">
        <f t="shared" ca="1" si="6"/>
        <v>7.7423683071209046E-5</v>
      </c>
      <c r="AV70" s="365">
        <f t="shared" ca="1" si="7"/>
        <v>-6.5514610703679491E-5</v>
      </c>
    </row>
    <row r="71" spans="2:48">
      <c r="B71" s="348" t="str">
        <f t="shared" ca="1" si="5"/>
        <v>2Yx5Y</v>
      </c>
      <c r="C71" s="345">
        <f t="shared" ca="1" si="4"/>
        <v>42254</v>
      </c>
      <c r="D71" s="346" t="s">
        <v>8</v>
      </c>
      <c r="E71" s="346" t="s">
        <v>11</v>
      </c>
      <c r="F71" s="351">
        <f ca="1">VLOOKUP(F$3&amp;$D71&amp;$E71,'Swaption Volatilities'!$V:$W,2,FALSE)%%</f>
        <v>5.8700000000000011E-3</v>
      </c>
      <c r="G71" s="352">
        <f ca="1">VLOOKUP(G$3&amp;$D71&amp;$E71,'Swaption Volatilities'!$V:$W,2,FALSE)</f>
        <v>323</v>
      </c>
      <c r="H71" s="346" t="s">
        <v>20</v>
      </c>
      <c r="I71" s="346" t="s">
        <v>21</v>
      </c>
      <c r="J71" s="345">
        <f ca="1">_xll.qlCalendarAdvance(H71,C71,D71,I71)</f>
        <v>42985</v>
      </c>
      <c r="K71" s="345">
        <f ca="1">_xll.qlCalendarAdvance(H71,J71,"2d")</f>
        <v>42989</v>
      </c>
      <c r="L71" s="345">
        <f ca="1">_xll.qlCalendarAdvance(H71,K71,E71,"unadjusted")</f>
        <v>44815</v>
      </c>
      <c r="M71" s="346" t="s">
        <v>7</v>
      </c>
      <c r="N71" s="346" t="s">
        <v>20</v>
      </c>
      <c r="O71" s="346" t="s">
        <v>21</v>
      </c>
      <c r="P71" s="346" t="s">
        <v>21</v>
      </c>
      <c r="Q71" s="346" t="s">
        <v>70</v>
      </c>
      <c r="R71" s="353" t="str">
        <f ca="1">_xll.qlSchedule(,K71,L71,M71,N71,O71,P71,Q71)</f>
        <v>obj_005c6#0001</v>
      </c>
      <c r="S71" s="346" t="s">
        <v>19</v>
      </c>
      <c r="T71" s="346" t="s">
        <v>20</v>
      </c>
      <c r="U71" s="346" t="s">
        <v>21</v>
      </c>
      <c r="V71" s="346" t="s">
        <v>21</v>
      </c>
      <c r="W71" s="346" t="s">
        <v>70</v>
      </c>
      <c r="X71" s="353" t="str">
        <f ca="1">_xll.qlSchedule(,K71,L71,S71,T71,U71,V71,W71)</f>
        <v>obj_005c5#0001</v>
      </c>
      <c r="Y71" s="349" t="s">
        <v>1742</v>
      </c>
      <c r="Z71" s="354" t="s">
        <v>36</v>
      </c>
      <c r="AA71" s="354" t="s">
        <v>1745</v>
      </c>
      <c r="AB71" s="353" t="str">
        <f ca="1">_xll.qlVanillaSwap(,,,R71,,Y71,X71,Z71,,AA71)</f>
        <v>obj_0061f#0001</v>
      </c>
      <c r="AC71" s="353" t="b">
        <f ca="1">_xll.qlInstrumentSetPricingEngine(AB71,_xll.qlDiscountingSwapEngine(,Curve!$S$16))</f>
        <v>1</v>
      </c>
      <c r="AD71" s="355" t="e">
        <f ca="1">_xll.qlVanillaSwapFairRate(AB71,AC71)</f>
        <v>#NUM!</v>
      </c>
      <c r="AE71" s="346" t="s">
        <v>1752</v>
      </c>
      <c r="AF71" s="347">
        <v>10000</v>
      </c>
      <c r="AG71" s="350" t="str">
        <f ca="1">_xll.qlVanillaSwap(,AE71,AF71,R71,AD71,Y71,X71,Z71,,AA71)</f>
        <v>obj_0067e#0000</v>
      </c>
      <c r="AH71" s="347" t="str">
        <f ca="1">_xll.qlEuropeanExercise(,J71)</f>
        <v>obj_00470#0001</v>
      </c>
      <c r="AI71" s="346" t="s">
        <v>1749</v>
      </c>
      <c r="AJ71" s="356" t="str">
        <f ca="1">_xll.qlSwaption(,AG71,AH71,AI71)</f>
        <v>obj_007b3#0001</v>
      </c>
      <c r="AK71" s="357" t="str">
        <f ca="1">_xll.qlConstantSwaptionVolatility(,,H71,I71,F71)</f>
        <v>obj_000aa#0001</v>
      </c>
      <c r="AL71" s="357" t="b">
        <f ca="1">_xll.qlInstrumentSetPricingEngine(AJ71,_xll.qlBachelierBlackSwaptionEngine(,Curve!$S$16,AK71))</f>
        <v>1</v>
      </c>
      <c r="AM71" s="358">
        <f ca="1">_xll.qlInstrumentNPV(AJ71,AL71)*2/_xll.qlYieldTSDiscount(Curve!$S$16,K71)</f>
        <v>316.80727836284427</v>
      </c>
      <c r="AN71" s="358">
        <f ca="1">_xll.qlInstrumentResults(AJ71,"annuity",AL71)</f>
        <v>47930.442697491671</v>
      </c>
      <c r="AO71" s="359">
        <f ca="1">G71/2*_xll.qlYieldTSDiscount(Curve!$S$16,K71)/AN71</f>
        <v>3.3788413086635145E-3</v>
      </c>
      <c r="AP71" s="360" t="e">
        <f ca="1">_xll.qlBachelierBlackFormulaImpliedVol("Call",AD71,AD71,_xll.qlDayCounterYearFraction("Act/365 (Fixed)",C71,J71),AO71)</f>
        <v>#VALUE!</v>
      </c>
      <c r="AQ71" s="361" t="e">
        <f ca="1">_xll.qlBlackFormulaImpliedStdDev("Call",AD71,AD71,AO71)/SQRT(_xll.qlDayCounterYearFraction("Act/365 (Fixed)",C71,J71))</f>
        <v>#VALUE!</v>
      </c>
      <c r="AS71" s="363">
        <v>5.7849318375427358E-3</v>
      </c>
      <c r="AT71" s="363">
        <v>5.9847425532581055E-3</v>
      </c>
      <c r="AU71" s="365">
        <f t="shared" ca="1" si="6"/>
        <v>8.5068162457265298E-5</v>
      </c>
      <c r="AV71" s="365">
        <f t="shared" ca="1" si="7"/>
        <v>-1.147425532581044E-4</v>
      </c>
    </row>
    <row r="72" spans="2:48">
      <c r="B72" s="348" t="str">
        <f t="shared" ca="1" si="5"/>
        <v>3Yx5Y</v>
      </c>
      <c r="C72" s="345">
        <f t="shared" ca="1" si="4"/>
        <v>42254</v>
      </c>
      <c r="D72" s="346" t="s">
        <v>9</v>
      </c>
      <c r="E72" s="346" t="s">
        <v>11</v>
      </c>
      <c r="F72" s="351">
        <f ca="1">VLOOKUP(F$3&amp;$D72&amp;$E72,'Swaption Volatilities'!$V:$W,2,FALSE)%%</f>
        <v>6.6099999999999996E-3</v>
      </c>
      <c r="G72" s="352">
        <f ca="1">VLOOKUP(G$3&amp;$D72&amp;$E72,'Swaption Volatilities'!$V:$W,2,FALSE)</f>
        <v>441</v>
      </c>
      <c r="H72" s="346" t="s">
        <v>20</v>
      </c>
      <c r="I72" s="346" t="s">
        <v>21</v>
      </c>
      <c r="J72" s="345">
        <f ca="1">_xll.qlCalendarAdvance(H72,C72,D72,I72)</f>
        <v>43350</v>
      </c>
      <c r="K72" s="345">
        <f ca="1">_xll.qlCalendarAdvance(H72,J72,"2d")</f>
        <v>43354</v>
      </c>
      <c r="L72" s="345">
        <f ca="1">_xll.qlCalendarAdvance(H72,K72,E72,"unadjusted")</f>
        <v>45180</v>
      </c>
      <c r="M72" s="346" t="s">
        <v>7</v>
      </c>
      <c r="N72" s="346" t="s">
        <v>20</v>
      </c>
      <c r="O72" s="346" t="s">
        <v>21</v>
      </c>
      <c r="P72" s="346" t="s">
        <v>21</v>
      </c>
      <c r="Q72" s="346" t="s">
        <v>70</v>
      </c>
      <c r="R72" s="353" t="str">
        <f ca="1">_xll.qlSchedule(,K72,L72,M72,N72,O72,P72,Q72)</f>
        <v>obj_00595#0000</v>
      </c>
      <c r="S72" s="346" t="s">
        <v>19</v>
      </c>
      <c r="T72" s="346" t="s">
        <v>20</v>
      </c>
      <c r="U72" s="346" t="s">
        <v>21</v>
      </c>
      <c r="V72" s="346" t="s">
        <v>21</v>
      </c>
      <c r="W72" s="346" t="s">
        <v>70</v>
      </c>
      <c r="X72" s="353" t="str">
        <f ca="1">_xll.qlSchedule(,K72,L72,S72,T72,U72,V72,W72)</f>
        <v>obj_00596#0001</v>
      </c>
      <c r="Y72" s="349" t="s">
        <v>1742</v>
      </c>
      <c r="Z72" s="354" t="s">
        <v>36</v>
      </c>
      <c r="AA72" s="354" t="s">
        <v>1745</v>
      </c>
      <c r="AB72" s="353" t="str">
        <f ca="1">_xll.qlVanillaSwap(,,,R72,,Y72,X72,Z72,,AA72)</f>
        <v>obj_0060b#0001</v>
      </c>
      <c r="AC72" s="353" t="b">
        <f ca="1">_xll.qlInstrumentSetPricingEngine(AB72,_xll.qlDiscountingSwapEngine(,Curve!$S$16))</f>
        <v>1</v>
      </c>
      <c r="AD72" s="355" t="e">
        <f ca="1">_xll.qlVanillaSwapFairRate(AB72,AC72)</f>
        <v>#NUM!</v>
      </c>
      <c r="AE72" s="346" t="s">
        <v>1752</v>
      </c>
      <c r="AF72" s="347">
        <v>10000</v>
      </c>
      <c r="AG72" s="350" t="str">
        <f ca="1">_xll.qlVanillaSwap(,AE72,AF72,R72,AD72,Y72,X72,Z72,,AA72)</f>
        <v>obj_00648#0000</v>
      </c>
      <c r="AH72" s="347" t="str">
        <f ca="1">_xll.qlEuropeanExercise(,J72)</f>
        <v>obj_004ed#0001</v>
      </c>
      <c r="AI72" s="346" t="s">
        <v>1749</v>
      </c>
      <c r="AJ72" s="356" t="str">
        <f ca="1">_xll.qlSwaption(,AG72,AH72,AI72)</f>
        <v>obj_00778#0001</v>
      </c>
      <c r="AK72" s="357" t="str">
        <f ca="1">_xll.qlConstantSwaptionVolatility(,,H72,I72,F72)</f>
        <v>obj_0010e#0001</v>
      </c>
      <c r="AL72" s="357" t="b">
        <f ca="1">_xll.qlInstrumentSetPricingEngine(AJ72,_xll.qlBachelierBlackSwaptionEngine(,Curve!$S$16,AK72))</f>
        <v>1</v>
      </c>
      <c r="AM72" s="358">
        <f ca="1">_xll.qlInstrumentNPV(AJ72,AL72)*2/_xll.qlYieldTSDiscount(Curve!$S$16,K72)</f>
        <v>425.73308564731281</v>
      </c>
      <c r="AN72" s="358">
        <f ca="1">_xll.qlInstrumentResults(AJ72,"annuity",AL72)</f>
        <v>46703.711220281453</v>
      </c>
      <c r="AO72" s="359">
        <f ca="1">G72/2*_xll.qlYieldTSDiscount(Curve!$S$16,K72)/AN72</f>
        <v>4.7333820241711542E-3</v>
      </c>
      <c r="AP72" s="360" t="e">
        <f ca="1">_xll.qlBachelierBlackFormulaImpliedVol("Call",AD72,AD72,_xll.qlDayCounterYearFraction("Act/365 (Fixed)",C72,J72),AO72)</f>
        <v>#VALUE!</v>
      </c>
      <c r="AQ72" s="361" t="e">
        <f ca="1">_xll.qlBlackFormulaImpliedStdDev("Call",AD72,AD72,AO72)/SQRT(_xll.qlDayCounterYearFraction("Act/365 (Fixed)",C72,J72))</f>
        <v>#VALUE!</v>
      </c>
      <c r="AS72" s="363">
        <v>6.50931485116347E-3</v>
      </c>
      <c r="AT72" s="363">
        <v>6.8470365547648451E-3</v>
      </c>
      <c r="AU72" s="365">
        <f t="shared" ca="1" si="6"/>
        <v>1.0068514883652957E-4</v>
      </c>
      <c r="AV72" s="365">
        <f t="shared" ca="1" si="7"/>
        <v>-2.3703655476484554E-4</v>
      </c>
    </row>
    <row r="73" spans="2:48">
      <c r="B73" s="348" t="str">
        <f t="shared" ca="1" si="5"/>
        <v>4Yx5Y</v>
      </c>
      <c r="C73" s="345">
        <f t="shared" ca="1" si="4"/>
        <v>42254</v>
      </c>
      <c r="D73" s="346" t="s">
        <v>10</v>
      </c>
      <c r="E73" s="346" t="s">
        <v>11</v>
      </c>
      <c r="F73" s="351">
        <f ca="1">VLOOKUP(F$3&amp;$D73&amp;$E73,'Swaption Volatilities'!$V:$W,2,FALSE)%%</f>
        <v>6.9999999999999993E-3</v>
      </c>
      <c r="G73" s="352">
        <f ca="1">VLOOKUP(G$3&amp;$D73&amp;$E73,'Swaption Volatilities'!$V:$W,2,FALSE)</f>
        <v>536</v>
      </c>
      <c r="H73" s="346" t="s">
        <v>20</v>
      </c>
      <c r="I73" s="346" t="s">
        <v>21</v>
      </c>
      <c r="J73" s="345">
        <f ca="1">_xll.qlCalendarAdvance(H73,C73,D73,I73)</f>
        <v>43717</v>
      </c>
      <c r="K73" s="345">
        <f ca="1">_xll.qlCalendarAdvance(H73,J73,"2d")</f>
        <v>43719</v>
      </c>
      <c r="L73" s="345">
        <f ca="1">_xll.qlCalendarAdvance(H73,K73,E73,"unadjusted")</f>
        <v>45546</v>
      </c>
      <c r="M73" s="346" t="s">
        <v>7</v>
      </c>
      <c r="N73" s="346" t="s">
        <v>20</v>
      </c>
      <c r="O73" s="346" t="s">
        <v>21</v>
      </c>
      <c r="P73" s="346" t="s">
        <v>21</v>
      </c>
      <c r="Q73" s="346" t="s">
        <v>70</v>
      </c>
      <c r="R73" s="353" t="str">
        <f ca="1">_xll.qlSchedule(,K73,L73,M73,N73,O73,P73,Q73)</f>
        <v>obj_0033f#0000</v>
      </c>
      <c r="S73" s="346" t="s">
        <v>19</v>
      </c>
      <c r="T73" s="346" t="s">
        <v>20</v>
      </c>
      <c r="U73" s="346" t="s">
        <v>21</v>
      </c>
      <c r="V73" s="346" t="s">
        <v>21</v>
      </c>
      <c r="W73" s="346" t="s">
        <v>70</v>
      </c>
      <c r="X73" s="353" t="str">
        <f ca="1">_xll.qlSchedule(,K73,L73,S73,T73,U73,V73,W73)</f>
        <v>obj_0034b#0001</v>
      </c>
      <c r="Y73" s="349" t="s">
        <v>1742</v>
      </c>
      <c r="Z73" s="354" t="s">
        <v>36</v>
      </c>
      <c r="AA73" s="354" t="s">
        <v>1745</v>
      </c>
      <c r="AB73" s="353" t="str">
        <f ca="1">_xll.qlVanillaSwap(,,,R73,,Y73,X73,Z73,,AA73)</f>
        <v>obj_0034c#0000</v>
      </c>
      <c r="AC73" s="353" t="b">
        <f ca="1">_xll.qlInstrumentSetPricingEngine(AB73,_xll.qlDiscountingSwapEngine(,Curve!$S$16))</f>
        <v>1</v>
      </c>
      <c r="AD73" s="355">
        <f ca="1">_xll.qlVanillaSwapFairRate(AB73,AC73)</f>
        <v>1.4111086446073288E-2</v>
      </c>
      <c r="AE73" s="346" t="s">
        <v>1752</v>
      </c>
      <c r="AF73" s="347">
        <v>10000</v>
      </c>
      <c r="AG73" s="350" t="str">
        <f ca="1">_xll.qlVanillaSwap(,AE73,AF73,R73,AD73,Y73,X73,Z73,,AA73)</f>
        <v>obj_006a3#0000</v>
      </c>
      <c r="AH73" s="347" t="str">
        <f ca="1">_xll.qlEuropeanExercise(,J73)</f>
        <v>obj_00447#0001</v>
      </c>
      <c r="AI73" s="346" t="s">
        <v>1749</v>
      </c>
      <c r="AJ73" s="356" t="str">
        <f ca="1">_xll.qlSwaption(,AG73,AH73,AI73)</f>
        <v>obj_0074c#0001</v>
      </c>
      <c r="AK73" s="357" t="str">
        <f ca="1">_xll.qlConstantSwaptionVolatility(,,H73,I73,F73)</f>
        <v>obj_000d9#0001</v>
      </c>
      <c r="AL73" s="357" t="b">
        <f ca="1">_xll.qlInstrumentSetPricingEngine(AJ73,_xll.qlBachelierBlackSwaptionEngine(,Curve!$S$16,AK73))</f>
        <v>1</v>
      </c>
      <c r="AM73" s="358">
        <f ca="1">_xll.qlInstrumentNPV(AJ73,AL73)*2/_xll.qlYieldTSDiscount(Curve!$S$16,K73)</f>
        <v>506.92557309346671</v>
      </c>
      <c r="AN73" s="358">
        <f ca="1">_xll.qlInstrumentResults(AJ73,"annuity",AL73)</f>
        <v>45330.326114735377</v>
      </c>
      <c r="AO73" s="359">
        <f ca="1">G73/2*_xll.qlYieldTSDiscount(Curve!$S$16,K73)/AN73</f>
        <v>5.9115916297654706E-3</v>
      </c>
      <c r="AP73" s="360">
        <f ca="1">_xll.qlBachelierBlackFormulaImpliedVol("Call",AD73,AD73,_xll.qlDayCounterYearFraction("Act/365 (Fixed)",C73,J73),AO73)</f>
        <v>7.4014810046053757E-3</v>
      </c>
      <c r="AQ73" s="361">
        <f ca="1">_xll.qlBlackFormulaImpliedStdDev("Call",AD73,AD73,AO73)/SQRT(_xll.qlDayCounterYearFraction("Act/365 (Fixed)",C73,J73))</f>
        <v>0.55125991978300426</v>
      </c>
      <c r="AS73" s="363">
        <v>6.9090451651257351E-3</v>
      </c>
      <c r="AT73" s="363">
        <v>7.4014810046053757E-3</v>
      </c>
      <c r="AU73" s="365">
        <f t="shared" ca="1" si="6"/>
        <v>9.0954834874264201E-5</v>
      </c>
      <c r="AV73" s="365">
        <f t="shared" ca="1" si="7"/>
        <v>-4.0148100460537638E-4</v>
      </c>
    </row>
    <row r="74" spans="2:48">
      <c r="B74" s="348" t="str">
        <f t="shared" ca="1" si="5"/>
        <v>5Yx5Y</v>
      </c>
      <c r="C74" s="345">
        <f t="shared" ca="1" si="4"/>
        <v>42254</v>
      </c>
      <c r="D74" s="346" t="s">
        <v>11</v>
      </c>
      <c r="E74" s="346" t="s">
        <v>11</v>
      </c>
      <c r="F74" s="351">
        <f ca="1">VLOOKUP(F$3&amp;$D74&amp;$E74,'Swaption Volatilities'!$V:$W,2,FALSE)%%</f>
        <v>7.2400000000000008E-3</v>
      </c>
      <c r="G74" s="352">
        <f ca="1">VLOOKUP(G$3&amp;$D74&amp;$E74,'Swaption Volatilities'!$V:$W,2,FALSE)</f>
        <v>616</v>
      </c>
      <c r="H74" s="346" t="s">
        <v>20</v>
      </c>
      <c r="I74" s="346" t="s">
        <v>21</v>
      </c>
      <c r="J74" s="345">
        <f ca="1">_xll.qlCalendarAdvance(H74,C74,D74,I74)</f>
        <v>44081</v>
      </c>
      <c r="K74" s="345">
        <f ca="1">_xll.qlCalendarAdvance(H74,J74,"2d")</f>
        <v>44083</v>
      </c>
      <c r="L74" s="345">
        <f ca="1">_xll.qlCalendarAdvance(H74,K74,E74,"unadjusted")</f>
        <v>45909</v>
      </c>
      <c r="M74" s="346" t="s">
        <v>7</v>
      </c>
      <c r="N74" s="346" t="s">
        <v>20</v>
      </c>
      <c r="O74" s="346" t="s">
        <v>21</v>
      </c>
      <c r="P74" s="346" t="s">
        <v>21</v>
      </c>
      <c r="Q74" s="346" t="s">
        <v>70</v>
      </c>
      <c r="R74" s="353" t="str">
        <f ca="1">_xll.qlSchedule(,K74,L74,M74,N74,O74,P74,Q74)</f>
        <v>obj_00424#0001</v>
      </c>
      <c r="S74" s="346" t="s">
        <v>19</v>
      </c>
      <c r="T74" s="346" t="s">
        <v>20</v>
      </c>
      <c r="U74" s="346" t="s">
        <v>21</v>
      </c>
      <c r="V74" s="346" t="s">
        <v>21</v>
      </c>
      <c r="W74" s="346" t="s">
        <v>70</v>
      </c>
      <c r="X74" s="353" t="str">
        <f ca="1">_xll.qlSchedule(,K74,L74,S74,T74,U74,V74,W74)</f>
        <v>obj_00452#0001</v>
      </c>
      <c r="Y74" s="349" t="s">
        <v>1742</v>
      </c>
      <c r="Z74" s="354" t="s">
        <v>36</v>
      </c>
      <c r="AA74" s="354" t="s">
        <v>1745</v>
      </c>
      <c r="AB74" s="353" t="str">
        <f ca="1">_xll.qlVanillaSwap(,,,R74,,Y74,X74,Z74,,AA74)</f>
        <v>obj_0051a#0001</v>
      </c>
      <c r="AC74" s="353" t="b">
        <f ca="1">_xll.qlInstrumentSetPricingEngine(AB74,_xll.qlDiscountingSwapEngine(,Curve!$S$16))</f>
        <v>1</v>
      </c>
      <c r="AD74" s="355" t="e">
        <f ca="1">_xll.qlVanillaSwapFairRate(AB74,AC74)</f>
        <v>#NUM!</v>
      </c>
      <c r="AE74" s="346" t="s">
        <v>1752</v>
      </c>
      <c r="AF74" s="347">
        <v>10000</v>
      </c>
      <c r="AG74" s="350" t="str">
        <f ca="1">_xll.qlVanillaSwap(,AE74,AF74,R74,AD74,Y74,X74,Z74,,AA74)</f>
        <v>obj_006ce#0000</v>
      </c>
      <c r="AH74" s="347" t="str">
        <f ca="1">_xll.qlEuropeanExercise(,J74)</f>
        <v>obj_0012b#0001</v>
      </c>
      <c r="AI74" s="346" t="s">
        <v>1749</v>
      </c>
      <c r="AJ74" s="356" t="str">
        <f ca="1">_xll.qlSwaption(,AG74,AH74,AI74)</f>
        <v>obj_007a7#0001</v>
      </c>
      <c r="AK74" s="357" t="str">
        <f ca="1">_xll.qlConstantSwaptionVolatility(,,H74,I74,F74)</f>
        <v>obj_0037f#0001</v>
      </c>
      <c r="AL74" s="357" t="b">
        <f ca="1">_xll.qlInstrumentSetPricingEngine(AJ74,_xll.qlBachelierBlackSwaptionEngine(,Curve!$S$16,AK74))</f>
        <v>1</v>
      </c>
      <c r="AM74" s="358">
        <f ca="1">_xll.qlInstrumentNPV(AJ74,AL74)*2/_xll.qlYieldTSDiscount(Curve!$S$16,K74)</f>
        <v>570.48231545524584</v>
      </c>
      <c r="AN74" s="358">
        <f ca="1">_xll.qlInstrumentResults(AJ74,"annuity",AL74)</f>
        <v>43896.939035246622</v>
      </c>
      <c r="AO74" s="359">
        <f ca="1">G74/2*_xll.qlYieldTSDiscount(Curve!$S$16,K74)/AN74</f>
        <v>6.9776631442289303E-3</v>
      </c>
      <c r="AP74" s="360" t="e">
        <f ca="1">_xll.qlBachelierBlackFormulaImpliedVol("Call",AD74,AD74,_xll.qlDayCounterYearFraction("Act/365 (Fixed)",C74,J74),AO74)</f>
        <v>#VALUE!</v>
      </c>
      <c r="AQ74" s="361" t="e">
        <f ca="1">_xll.qlBlackFormulaImpliedStdDev("Call",AD74,AD74,AO74)/SQRT(_xll.qlDayCounterYearFraction("Act/365 (Fixed)",C74,J74))</f>
        <v>#VALUE!</v>
      </c>
      <c r="AS74" s="363">
        <v>7.1664616804458696E-3</v>
      </c>
      <c r="AT74" s="363">
        <v>7.8176656474285514E-3</v>
      </c>
      <c r="AU74" s="365">
        <f t="shared" ca="1" si="6"/>
        <v>7.3538319554131149E-5</v>
      </c>
      <c r="AV74" s="365">
        <f t="shared" ca="1" si="7"/>
        <v>-5.7766564742855065E-4</v>
      </c>
    </row>
    <row r="75" spans="2:48">
      <c r="B75" s="348" t="str">
        <f t="shared" ca="1" si="5"/>
        <v>7Yx5Y</v>
      </c>
      <c r="C75" s="345">
        <f t="shared" ca="1" si="4"/>
        <v>42254</v>
      </c>
      <c r="D75" s="346" t="s">
        <v>13</v>
      </c>
      <c r="E75" s="346" t="s">
        <v>11</v>
      </c>
      <c r="F75" s="351">
        <f ca="1">VLOOKUP(F$3&amp;$D75&amp;$E75,'Swaption Volatilities'!$V:$W,2,FALSE)%%</f>
        <v>7.3900000000000007E-3</v>
      </c>
      <c r="G75" s="352">
        <f ca="1">VLOOKUP(G$3&amp;$D75&amp;$E75,'Swaption Volatilities'!$V:$W,2,FALSE)</f>
        <v>735</v>
      </c>
      <c r="H75" s="346" t="s">
        <v>20</v>
      </c>
      <c r="I75" s="346" t="s">
        <v>21</v>
      </c>
      <c r="J75" s="345">
        <f ca="1">_xll.qlCalendarAdvance(H75,C75,D75,I75)</f>
        <v>44811</v>
      </c>
      <c r="K75" s="345">
        <f ca="1">_xll.qlCalendarAdvance(H75,J75,"2d")</f>
        <v>44813</v>
      </c>
      <c r="L75" s="345">
        <f ca="1">_xll.qlCalendarAdvance(H75,K75,E75,"unadjusted")</f>
        <v>46639</v>
      </c>
      <c r="M75" s="346" t="s">
        <v>7</v>
      </c>
      <c r="N75" s="346" t="s">
        <v>20</v>
      </c>
      <c r="O75" s="346" t="s">
        <v>21</v>
      </c>
      <c r="P75" s="346" t="s">
        <v>21</v>
      </c>
      <c r="Q75" s="346" t="s">
        <v>70</v>
      </c>
      <c r="R75" s="353" t="str">
        <f ca="1">_xll.qlSchedule(,K75,L75,M75,N75,O75,P75,Q75)</f>
        <v>obj_00541#0001</v>
      </c>
      <c r="S75" s="346" t="s">
        <v>19</v>
      </c>
      <c r="T75" s="346" t="s">
        <v>20</v>
      </c>
      <c r="U75" s="346" t="s">
        <v>21</v>
      </c>
      <c r="V75" s="346" t="s">
        <v>21</v>
      </c>
      <c r="W75" s="346" t="s">
        <v>70</v>
      </c>
      <c r="X75" s="353" t="str">
        <f ca="1">_xll.qlSchedule(,K75,L75,S75,T75,U75,V75,W75)</f>
        <v>obj_00540#0001</v>
      </c>
      <c r="Y75" s="349" t="s">
        <v>1742</v>
      </c>
      <c r="Z75" s="354" t="s">
        <v>36</v>
      </c>
      <c r="AA75" s="354" t="s">
        <v>1745</v>
      </c>
      <c r="AB75" s="353" t="str">
        <f ca="1">_xll.qlVanillaSwap(,,,R75,,Y75,X75,Z75,,AA75)</f>
        <v>obj_005d3#0001</v>
      </c>
      <c r="AC75" s="353" t="b">
        <f ca="1">_xll.qlInstrumentSetPricingEngine(AB75,_xll.qlDiscountingSwapEngine(,Curve!$S$16))</f>
        <v>1</v>
      </c>
      <c r="AD75" s="355" t="e">
        <f ca="1">_xll.qlVanillaSwapFairRate(AB75,AC75)</f>
        <v>#NUM!</v>
      </c>
      <c r="AE75" s="346" t="s">
        <v>1752</v>
      </c>
      <c r="AF75" s="347">
        <v>10000</v>
      </c>
      <c r="AG75" s="350" t="str">
        <f ca="1">_xll.qlVanillaSwap(,AE75,AF75,R75,AD75,Y75,X75,Z75,,AA75)</f>
        <v>obj_0064f#0000</v>
      </c>
      <c r="AH75" s="347" t="str">
        <f ca="1">_xll.qlEuropeanExercise(,J75)</f>
        <v>obj_0027c#0001</v>
      </c>
      <c r="AI75" s="346" t="s">
        <v>1749</v>
      </c>
      <c r="AJ75" s="356" t="str">
        <f ca="1">_xll.qlSwaption(,AG75,AH75,AI75)</f>
        <v>obj_00757#0001</v>
      </c>
      <c r="AK75" s="357" t="str">
        <f ca="1">_xll.qlConstantSwaptionVolatility(,,H75,I75,F75)</f>
        <v>obj_000a9#0001</v>
      </c>
      <c r="AL75" s="357" t="b">
        <f ca="1">_xll.qlInstrumentSetPricingEngine(AJ75,_xll.qlBachelierBlackSwaptionEngine(,Curve!$S$16,AK75))</f>
        <v>1</v>
      </c>
      <c r="AM75" s="358">
        <f ca="1">_xll.qlInstrumentNPV(AJ75,AL75)*2/_xll.qlYieldTSDiscount(Curve!$S$16,K75)</f>
        <v>659.46216855678153</v>
      </c>
      <c r="AN75" s="358">
        <f ca="1">_xll.qlInstrumentResults(AJ75,"annuity",AL75)</f>
        <v>41139.966976038173</v>
      </c>
      <c r="AO75" s="359">
        <f ca="1">G75/2*_xll.qlYieldTSDiscount(Curve!$S$16,K75)/AN75</f>
        <v>8.6970284090486637E-3</v>
      </c>
      <c r="AP75" s="360" t="e">
        <f ca="1">_xll.qlBachelierBlackFormulaImpliedVol("Call",AD75,AD75,_xll.qlDayCounterYearFraction("Act/365 (Fixed)",C75,J75),AO75)</f>
        <v>#VALUE!</v>
      </c>
      <c r="AQ75" s="361" t="e">
        <f ca="1">_xll.qlBlackFormulaImpliedStdDev("Call",AD75,AD75,AO75)/SQRT(_xll.qlDayCounterYearFraction("Act/365 (Fixed)",C75,J75))</f>
        <v>#VALUE!</v>
      </c>
      <c r="AS75" s="363">
        <v>7.3192054103397288E-3</v>
      </c>
      <c r="AT75" s="363">
        <v>8.2364846066712832E-3</v>
      </c>
      <c r="AU75" s="365">
        <f t="shared" ca="1" si="6"/>
        <v>7.0794589660271891E-5</v>
      </c>
      <c r="AV75" s="365">
        <f t="shared" ca="1" si="7"/>
        <v>-8.4648460667128243E-4</v>
      </c>
    </row>
    <row r="76" spans="2:48">
      <c r="B76" s="348" t="str">
        <f t="shared" ca="1" si="5"/>
        <v>10Yx5Y</v>
      </c>
      <c r="C76" s="345">
        <f t="shared" ca="1" si="4"/>
        <v>42254</v>
      </c>
      <c r="D76" s="346" t="s">
        <v>16</v>
      </c>
      <c r="E76" s="346" t="s">
        <v>11</v>
      </c>
      <c r="F76" s="351">
        <f ca="1">VLOOKUP(F$3&amp;$D76&amp;$E76,'Swaption Volatilities'!$V:$W,2,FALSE)%%</f>
        <v>7.3299999999999997E-3</v>
      </c>
      <c r="G76" s="352">
        <f ca="1">VLOOKUP(G$3&amp;$D76&amp;$E76,'Swaption Volatilities'!$V:$W,2,FALSE)</f>
        <v>868</v>
      </c>
      <c r="H76" s="346" t="s">
        <v>20</v>
      </c>
      <c r="I76" s="346" t="s">
        <v>21</v>
      </c>
      <c r="J76" s="345">
        <f ca="1">_xll.qlCalendarAdvance(H76,C76,D76,I76)</f>
        <v>45908</v>
      </c>
      <c r="K76" s="345">
        <f ca="1">_xll.qlCalendarAdvance(H76,J76,"2d")</f>
        <v>45910</v>
      </c>
      <c r="L76" s="345">
        <f ca="1">_xll.qlCalendarAdvance(H76,K76,E76,"unadjusted")</f>
        <v>47736</v>
      </c>
      <c r="M76" s="346" t="s">
        <v>7</v>
      </c>
      <c r="N76" s="346" t="s">
        <v>20</v>
      </c>
      <c r="O76" s="346" t="s">
        <v>21</v>
      </c>
      <c r="P76" s="346" t="s">
        <v>21</v>
      </c>
      <c r="Q76" s="346" t="s">
        <v>70</v>
      </c>
      <c r="R76" s="353" t="str">
        <f ca="1">_xll.qlSchedule(,K76,L76,M76,N76,O76,P76,Q76)</f>
        <v>obj_002fc#0001</v>
      </c>
      <c r="S76" s="346" t="s">
        <v>19</v>
      </c>
      <c r="T76" s="346" t="s">
        <v>20</v>
      </c>
      <c r="U76" s="346" t="s">
        <v>21</v>
      </c>
      <c r="V76" s="346" t="s">
        <v>21</v>
      </c>
      <c r="W76" s="346" t="s">
        <v>70</v>
      </c>
      <c r="X76" s="353" t="str">
        <f ca="1">_xll.qlSchedule(,K76,L76,S76,T76,U76,V76,W76)</f>
        <v>obj_0038b#0001</v>
      </c>
      <c r="Y76" s="349" t="s">
        <v>1742</v>
      </c>
      <c r="Z76" s="354" t="s">
        <v>36</v>
      </c>
      <c r="AA76" s="354" t="s">
        <v>1745</v>
      </c>
      <c r="AB76" s="353" t="str">
        <f ca="1">_xll.qlVanillaSwap(,,,R76,,Y76,X76,Z76,,AA76)</f>
        <v>obj_0038c#0000</v>
      </c>
      <c r="AC76" s="353" t="b">
        <f ca="1">_xll.qlInstrumentSetPricingEngine(AB76,_xll.qlDiscountingSwapEngine(,Curve!$S$16))</f>
        <v>1</v>
      </c>
      <c r="AD76" s="355" t="e">
        <f ca="1">_xll.qlVanillaSwapFairRate(AB76,AC76)</f>
        <v>#NUM!</v>
      </c>
      <c r="AE76" s="346" t="s">
        <v>1752</v>
      </c>
      <c r="AF76" s="347">
        <v>10000</v>
      </c>
      <c r="AG76" s="350" t="str">
        <f ca="1">_xll.qlVanillaSwap(,AE76,AF76,R76,AD76,Y76,X76,Z76,,AA76)</f>
        <v>obj_006a5#0000</v>
      </c>
      <c r="AH76" s="347" t="str">
        <f ca="1">_xll.qlEuropeanExercise(,J76)</f>
        <v>obj_0012a#0001</v>
      </c>
      <c r="AI76" s="346" t="s">
        <v>1749</v>
      </c>
      <c r="AJ76" s="356" t="str">
        <f ca="1">_xll.qlSwaption(,AG76,AH76,AI76)</f>
        <v>obj_0078d#0001</v>
      </c>
      <c r="AK76" s="357" t="str">
        <f ca="1">_xll.qlConstantSwaptionVolatility(,,H76,I76,F76)</f>
        <v>obj_001c8#0001</v>
      </c>
      <c r="AL76" s="357" t="b">
        <f ca="1">_xll.qlInstrumentSetPricingEngine(AJ76,_xll.qlBachelierBlackSwaptionEngine(,Curve!$S$16,AK76))</f>
        <v>1</v>
      </c>
      <c r="AM76" s="358">
        <f ca="1">_xll.qlInstrumentNPV(AJ76,AL76)*2/_xll.qlYieldTSDiscount(Curve!$S$16,K76)</f>
        <v>757.1794938076265</v>
      </c>
      <c r="AN76" s="358">
        <f ca="1">_xll.qlInstrumentResults(AJ76,"annuity",AL76)</f>
        <v>37912.713592540909</v>
      </c>
      <c r="AO76" s="359">
        <f ca="1">G76/2*_xll.qlYieldTSDiscount(Curve!$S$16,K76)/AN76</f>
        <v>1.0606516237923852E-2</v>
      </c>
      <c r="AP76" s="360" t="e">
        <f ca="1">_xll.qlBachelierBlackFormulaImpliedVol("Call",AD76,AD76,_xll.qlDayCounterYearFraction("Act/365 (Fixed)",C76,J76),AO76)</f>
        <v>#VALUE!</v>
      </c>
      <c r="AQ76" s="361" t="e">
        <f ca="1">_xll.qlBlackFormulaImpliedStdDev("Call",AD76,AD76,AO76)/SQRT(_xll.qlDayCounterYearFraction("Act/365 (Fixed)",C76,J76))</f>
        <v>#VALUE!</v>
      </c>
      <c r="AS76" s="363">
        <v>7.2944034859541984E-3</v>
      </c>
      <c r="AT76" s="363">
        <v>8.4028160456448581E-3</v>
      </c>
      <c r="AU76" s="365">
        <f t="shared" ca="1" si="6"/>
        <v>3.5596514045801303E-5</v>
      </c>
      <c r="AV76" s="365">
        <f t="shared" ca="1" si="7"/>
        <v>-1.0728160456448584E-3</v>
      </c>
    </row>
    <row r="77" spans="2:48">
      <c r="B77" s="348" t="str">
        <f t="shared" ca="1" si="5"/>
        <v>15Yx5Y</v>
      </c>
      <c r="C77" s="345">
        <f t="shared" ca="1" si="4"/>
        <v>42254</v>
      </c>
      <c r="D77" s="346" t="s">
        <v>17</v>
      </c>
      <c r="E77" s="346" t="s">
        <v>11</v>
      </c>
      <c r="F77" s="351">
        <f ca="1">VLOOKUP(F$3&amp;$D77&amp;$E77,'Swaption Volatilities'!$V:$W,2,FALSE)%%</f>
        <v>7.0099999999999997E-3</v>
      </c>
      <c r="G77" s="352">
        <f ca="1">VLOOKUP(G$3&amp;$D77&amp;$E77,'Swaption Volatilities'!$V:$W,2,FALSE)</f>
        <v>1020</v>
      </c>
      <c r="H77" s="346" t="s">
        <v>20</v>
      </c>
      <c r="I77" s="346" t="s">
        <v>21</v>
      </c>
      <c r="J77" s="345">
        <f ca="1">_xll.qlCalendarAdvance(H77,C77,D77,I77)</f>
        <v>47735</v>
      </c>
      <c r="K77" s="345">
        <f ca="1">_xll.qlCalendarAdvance(H77,J77,"2d")</f>
        <v>47737</v>
      </c>
      <c r="L77" s="345">
        <f ca="1">_xll.qlCalendarAdvance(H77,K77,E77,"unadjusted")</f>
        <v>49563</v>
      </c>
      <c r="M77" s="346" t="s">
        <v>7</v>
      </c>
      <c r="N77" s="346" t="s">
        <v>20</v>
      </c>
      <c r="O77" s="346" t="s">
        <v>21</v>
      </c>
      <c r="P77" s="346" t="s">
        <v>21</v>
      </c>
      <c r="Q77" s="346" t="s">
        <v>70</v>
      </c>
      <c r="R77" s="353" t="str">
        <f ca="1">_xll.qlSchedule(,K77,L77,M77,N77,O77,P77,Q77)</f>
        <v>obj_005a9#0001</v>
      </c>
      <c r="S77" s="346" t="s">
        <v>19</v>
      </c>
      <c r="T77" s="346" t="s">
        <v>20</v>
      </c>
      <c r="U77" s="346" t="s">
        <v>21</v>
      </c>
      <c r="V77" s="346" t="s">
        <v>21</v>
      </c>
      <c r="W77" s="346" t="s">
        <v>70</v>
      </c>
      <c r="X77" s="353" t="str">
        <f ca="1">_xll.qlSchedule(,K77,L77,S77,T77,U77,V77,W77)</f>
        <v>obj_005a8#0000</v>
      </c>
      <c r="Y77" s="349" t="s">
        <v>1742</v>
      </c>
      <c r="Z77" s="354" t="s">
        <v>36</v>
      </c>
      <c r="AA77" s="354" t="s">
        <v>1745</v>
      </c>
      <c r="AB77" s="353" t="str">
        <f ca="1">_xll.qlVanillaSwap(,,,R77,,Y77,X77,Z77,,AA77)</f>
        <v>obj_00615#0001</v>
      </c>
      <c r="AC77" s="353" t="b">
        <f ca="1">_xll.qlInstrumentSetPricingEngine(AB77,_xll.qlDiscountingSwapEngine(,Curve!$S$16))</f>
        <v>1</v>
      </c>
      <c r="AD77" s="355" t="e">
        <f ca="1">_xll.qlVanillaSwapFairRate(AB77,AC77)</f>
        <v>#NUM!</v>
      </c>
      <c r="AE77" s="346" t="s">
        <v>1752</v>
      </c>
      <c r="AF77" s="347">
        <v>10000</v>
      </c>
      <c r="AG77" s="350" t="str">
        <f ca="1">_xll.qlVanillaSwap(,AE77,AF77,R77,AD77,Y77,X77,Z77,,AA77)</f>
        <v>obj_00646#0000</v>
      </c>
      <c r="AH77" s="347" t="str">
        <f ca="1">_xll.qlEuropeanExercise(,J77)</f>
        <v>obj_0050c#0001</v>
      </c>
      <c r="AI77" s="346" t="s">
        <v>1749</v>
      </c>
      <c r="AJ77" s="356" t="str">
        <f ca="1">_xll.qlSwaption(,AG77,AH77,AI77)</f>
        <v>obj_007bb#0001</v>
      </c>
      <c r="AK77" s="357" t="str">
        <f ca="1">_xll.qlConstantSwaptionVolatility(,,H77,I77,F77)</f>
        <v>obj_00193#0001</v>
      </c>
      <c r="AL77" s="357" t="b">
        <f ca="1">_xll.qlInstrumentSetPricingEngine(AJ77,_xll.qlBachelierBlackSwaptionEngine(,Curve!$S$16,AK77))</f>
        <v>1</v>
      </c>
      <c r="AM77" s="358">
        <f ca="1">_xll.qlInstrumentNPV(AJ77,AL77)*2/_xll.qlYieldTSDiscount(Curve!$S$16,K77)</f>
        <v>901.69344928517648</v>
      </c>
      <c r="AN77" s="358">
        <f ca="1">_xll.qlInstrumentResults(AJ77,"annuity",AL77)</f>
        <v>34881.692877649177</v>
      </c>
      <c r="AO77" s="359">
        <f ca="1">G77/2*_xll.qlYieldTSDiscount(Curve!$S$16,K77)/AN77</f>
        <v>1.2258936904427571E-2</v>
      </c>
      <c r="AP77" s="360" t="e">
        <f ca="1">_xll.qlBachelierBlackFormulaImpliedVol("Call",AD77,AD77,_xll.qlDayCounterYearFraction("Act/365 (Fixed)",C77,J77),AO77)</f>
        <v>#VALUE!</v>
      </c>
      <c r="AQ77" s="361" t="e">
        <f ca="1">_xll.qlBlackFormulaImpliedStdDev("Call",AD77,AD77,AO77)/SQRT(_xll.qlDayCounterYearFraction("Act/365 (Fixed)",C77,J77))</f>
        <v>#VALUE!</v>
      </c>
      <c r="AS77" s="363">
        <v>6.9913871055784184E-3</v>
      </c>
      <c r="AT77" s="363">
        <v>7.9297459748303295E-3</v>
      </c>
      <c r="AU77" s="365">
        <f t="shared" ca="1" si="6"/>
        <v>1.8612894421581386E-5</v>
      </c>
      <c r="AV77" s="365">
        <f t="shared" ca="1" si="7"/>
        <v>-9.1974597483032976E-4</v>
      </c>
    </row>
    <row r="78" spans="2:48">
      <c r="B78" s="348" t="str">
        <f t="shared" ca="1" si="5"/>
        <v>20Yx5Y</v>
      </c>
      <c r="C78" s="345">
        <f t="shared" ca="1" si="4"/>
        <v>42254</v>
      </c>
      <c r="D78" s="346" t="s">
        <v>104</v>
      </c>
      <c r="E78" s="346" t="s">
        <v>11</v>
      </c>
      <c r="F78" s="351">
        <f ca="1">VLOOKUP(F$3&amp;$D78&amp;$E78,'Swaption Volatilities'!$V:$W,2,FALSE)%%</f>
        <v>6.5700000000000003E-3</v>
      </c>
      <c r="G78" s="352">
        <f ca="1">VLOOKUP(G$3&amp;$D78&amp;$E78,'Swaption Volatilities'!$V:$W,2,FALSE)</f>
        <v>1116</v>
      </c>
      <c r="H78" s="346" t="s">
        <v>20</v>
      </c>
      <c r="I78" s="346" t="s">
        <v>21</v>
      </c>
      <c r="J78" s="345">
        <f ca="1">_xll.qlCalendarAdvance(H78,C78,D78,I78)</f>
        <v>49559</v>
      </c>
      <c r="K78" s="345">
        <f ca="1">_xll.qlCalendarAdvance(H78,J78,"2d")</f>
        <v>49563</v>
      </c>
      <c r="L78" s="345">
        <f ca="1">_xll.qlCalendarAdvance(H78,K78,E78,"unadjusted")</f>
        <v>51390</v>
      </c>
      <c r="M78" s="346" t="s">
        <v>7</v>
      </c>
      <c r="N78" s="346" t="s">
        <v>20</v>
      </c>
      <c r="O78" s="346" t="s">
        <v>21</v>
      </c>
      <c r="P78" s="346" t="s">
        <v>21</v>
      </c>
      <c r="Q78" s="346" t="s">
        <v>70</v>
      </c>
      <c r="R78" s="353" t="str">
        <f ca="1">_xll.qlSchedule(,K78,L78,M78,N78,O78,P78,Q78)</f>
        <v>obj_0049e#0001</v>
      </c>
      <c r="S78" s="346" t="s">
        <v>19</v>
      </c>
      <c r="T78" s="346" t="s">
        <v>20</v>
      </c>
      <c r="U78" s="346" t="s">
        <v>21</v>
      </c>
      <c r="V78" s="346" t="s">
        <v>21</v>
      </c>
      <c r="W78" s="346" t="s">
        <v>70</v>
      </c>
      <c r="X78" s="353" t="str">
        <f ca="1">_xll.qlSchedule(,K78,L78,S78,T78,U78,V78,W78)</f>
        <v>obj_0049f#0001</v>
      </c>
      <c r="Y78" s="349" t="s">
        <v>1742</v>
      </c>
      <c r="Z78" s="354" t="s">
        <v>36</v>
      </c>
      <c r="AA78" s="354" t="s">
        <v>1745</v>
      </c>
      <c r="AB78" s="353" t="str">
        <f ca="1">_xll.qlVanillaSwap(,,,R78,,Y78,X78,Z78,,AA78)</f>
        <v>obj_00561#0001</v>
      </c>
      <c r="AC78" s="353" t="b">
        <f ca="1">_xll.qlInstrumentSetPricingEngine(AB78,_xll.qlDiscountingSwapEngine(,Curve!$S$16))</f>
        <v>1</v>
      </c>
      <c r="AD78" s="355" t="e">
        <f ca="1">_xll.qlVanillaSwapFairRate(AB78,AC78)</f>
        <v>#NUM!</v>
      </c>
      <c r="AE78" s="346" t="s">
        <v>1752</v>
      </c>
      <c r="AF78" s="347">
        <v>10000</v>
      </c>
      <c r="AG78" s="350" t="e">
        <f ca="1">_xll.qlVanillaSwap(,AE78,AF78,R78,AD78,Y78,X78,Z78,,AA78)</f>
        <v>#NUM!</v>
      </c>
      <c r="AH78" s="347" t="str">
        <f ca="1">_xll.qlEuropeanExercise(,J78)</f>
        <v>obj_002e0#0001</v>
      </c>
      <c r="AI78" s="346" t="s">
        <v>1749</v>
      </c>
      <c r="AJ78" s="356" t="e">
        <f ca="1">_xll.qlSwaption(,AG78,AH78,AI78)</f>
        <v>#VALUE!</v>
      </c>
      <c r="AK78" s="357" t="str">
        <f ca="1">_xll.qlConstantSwaptionVolatility(,,H78,I78,F78)</f>
        <v>obj_000d8#0001</v>
      </c>
      <c r="AL78" s="357" t="e">
        <f ca="1">_xll.qlInstrumentSetPricingEngine(AJ78,_xll.qlBachelierBlackSwaptionEngine(,Curve!$S$16,AK78))</f>
        <v>#VALUE!</v>
      </c>
      <c r="AM78" s="358" t="e">
        <f ca="1">_xll.qlInstrumentNPV(AJ78,AL78)*2/_xll.qlYieldTSDiscount(Curve!$S$16,K78)</f>
        <v>#VALUE!</v>
      </c>
      <c r="AN78" s="358" t="e">
        <f ca="1">_xll.qlInstrumentResults(AJ78,"annuity",AL78)</f>
        <v>#VALUE!</v>
      </c>
      <c r="AO78" s="359" t="e">
        <f ca="1">G78/2*_xll.qlYieldTSDiscount(Curve!$S$16,K78)/AN78</f>
        <v>#VALUE!</v>
      </c>
      <c r="AP78" s="360" t="e">
        <f ca="1">_xll.qlBachelierBlackFormulaImpliedVol("Call",AD78,AD78,_xll.qlDayCounterYearFraction("Act/365 (Fixed)",C78,J78),AO78)</f>
        <v>#VALUE!</v>
      </c>
      <c r="AQ78" s="361" t="e">
        <f ca="1">_xll.qlBlackFormulaImpliedStdDev("Call",AD78,AD78,AO78)/SQRT(_xll.qlDayCounterYearFraction("Act/365 (Fixed)",C78,J78))</f>
        <v>#VALUE!</v>
      </c>
      <c r="AS78" s="363">
        <v>6.5700838332941134E-3</v>
      </c>
      <c r="AT78" s="363">
        <v>7.0024339200626942E-3</v>
      </c>
      <c r="AU78" s="365">
        <f t="shared" ca="1" si="6"/>
        <v>-8.3833294113079548E-8</v>
      </c>
      <c r="AV78" s="365">
        <f t="shared" ca="1" si="7"/>
        <v>-4.3243392006269386E-4</v>
      </c>
    </row>
    <row r="79" spans="2:48">
      <c r="B79" s="348" t="str">
        <f t="shared" ca="1" si="5"/>
        <v>1Mx6Y</v>
      </c>
      <c r="C79" s="345">
        <f t="shared" ca="1" si="4"/>
        <v>42254</v>
      </c>
      <c r="D79" s="346" t="s">
        <v>23</v>
      </c>
      <c r="E79" s="346" t="s">
        <v>12</v>
      </c>
      <c r="F79" s="351">
        <f ca="1">VLOOKUP(F$3&amp;$D79&amp;$E79,'Swaption Volatilities'!$V:$W,2,FALSE)%%</f>
        <v>4.4200000000000003E-3</v>
      </c>
      <c r="G79" s="352">
        <f ca="1">VLOOKUP(G$3&amp;$D79&amp;$E79,'Swaption Volatilities'!$V:$W,2,FALSE)</f>
        <v>59.5</v>
      </c>
      <c r="H79" s="346" t="s">
        <v>20</v>
      </c>
      <c r="I79" s="346" t="s">
        <v>21</v>
      </c>
      <c r="J79" s="345">
        <f ca="1">_xll.qlCalendarAdvance(H79,C79,D79,I79)</f>
        <v>42284</v>
      </c>
      <c r="K79" s="345">
        <f ca="1">_xll.qlCalendarAdvance(H79,J79,"2d")</f>
        <v>42286</v>
      </c>
      <c r="L79" s="345">
        <f ca="1">_xll.qlCalendarAdvance(H79,K79,E79,"unadjusted")</f>
        <v>44478</v>
      </c>
      <c r="M79" s="346" t="s">
        <v>7</v>
      </c>
      <c r="N79" s="346" t="s">
        <v>20</v>
      </c>
      <c r="O79" s="346" t="s">
        <v>21</v>
      </c>
      <c r="P79" s="346" t="s">
        <v>21</v>
      </c>
      <c r="Q79" s="346" t="s">
        <v>70</v>
      </c>
      <c r="R79" s="353" t="str">
        <f ca="1">_xll.qlSchedule(,K79,L79,M79,N79,O79,P79,Q79)</f>
        <v>obj_00504#0001</v>
      </c>
      <c r="S79" s="346" t="s">
        <v>19</v>
      </c>
      <c r="T79" s="346" t="s">
        <v>20</v>
      </c>
      <c r="U79" s="346" t="s">
        <v>21</v>
      </c>
      <c r="V79" s="346" t="s">
        <v>21</v>
      </c>
      <c r="W79" s="346" t="s">
        <v>70</v>
      </c>
      <c r="X79" s="353" t="str">
        <f ca="1">_xll.qlSchedule(,K79,L79,S79,T79,U79,V79,W79)</f>
        <v>obj_00505#0001</v>
      </c>
      <c r="Y79" s="349" t="s">
        <v>1742</v>
      </c>
      <c r="Z79" s="354" t="s">
        <v>36</v>
      </c>
      <c r="AA79" s="354" t="s">
        <v>1745</v>
      </c>
      <c r="AB79" s="353" t="str">
        <f ca="1">_xll.qlVanillaSwap(,,,R79,,Y79,X79,Z79,,AA79)</f>
        <v>obj_005a6#0001</v>
      </c>
      <c r="AC79" s="353" t="b">
        <f ca="1">_xll.qlInstrumentSetPricingEngine(AB79,_xll.qlDiscountingSwapEngine(,Curve!$S$16))</f>
        <v>1</v>
      </c>
      <c r="AD79" s="355" t="e">
        <f ca="1">_xll.qlVanillaSwapFairRate(AB79,AC79)</f>
        <v>#NUM!</v>
      </c>
      <c r="AE79" s="346" t="s">
        <v>1752</v>
      </c>
      <c r="AF79" s="347">
        <v>10000</v>
      </c>
      <c r="AG79" s="350" t="str">
        <f ca="1">_xll.qlVanillaSwap(,AE79,AF79,R79,AD79,Y79,X79,Z79,,AA79)</f>
        <v>obj_006c6#0000</v>
      </c>
      <c r="AH79" s="347" t="str">
        <f ca="1">_xll.qlEuropeanExercise(,J79)</f>
        <v>obj_001e3#0001</v>
      </c>
      <c r="AI79" s="346" t="s">
        <v>1749</v>
      </c>
      <c r="AJ79" s="356" t="str">
        <f ca="1">_xll.qlSwaption(,AG79,AH79,AI79)</f>
        <v>obj_0078a#0001</v>
      </c>
      <c r="AK79" s="357" t="str">
        <f ca="1">_xll.qlConstantSwaptionVolatility(,,H79,I79,F79)</f>
        <v>obj_000a8#0001</v>
      </c>
      <c r="AL79" s="357" t="b">
        <f ca="1">_xll.qlInstrumentSetPricingEngine(AJ79,_xll.qlBachelierBlackSwaptionEngine(,Curve!$S$16,AK79))</f>
        <v>1</v>
      </c>
      <c r="AM79" s="358">
        <f ca="1">_xll.qlInstrumentNPV(AJ79,AL79)*2/_xll.qlYieldTSDiscount(Curve!$S$16,K79)</f>
        <v>59.604430956033944</v>
      </c>
      <c r="AN79" s="358">
        <f ca="1">_xll.qlInstrumentResults(AJ79,"annuity",AL79)</f>
        <v>58959.292523158991</v>
      </c>
      <c r="AO79" s="359">
        <f ca="1">G79/2*_xll.qlYieldTSDiscount(Curve!$S$16,K79)/AN79</f>
        <v>5.0464380927732553E-4</v>
      </c>
      <c r="AP79" s="360" t="e">
        <f ca="1">_xll.qlBachelierBlackFormulaImpliedVol("Call",AD79,AD79,_xll.qlDayCounterYearFraction("Act/365 (Fixed)",C79,J79),AO79)</f>
        <v>#VALUE!</v>
      </c>
      <c r="AQ79" s="361" t="e">
        <f ca="1">_xll.qlBlackFormulaImpliedStdDev("Call",AD79,AD79,AO79)/SQRT(_xll.qlDayCounterYearFraction("Act/365 (Fixed)",C79,J79))</f>
        <v>#VALUE!</v>
      </c>
      <c r="AS79" s="363">
        <v>4.3426129287589856E-3</v>
      </c>
      <c r="AT79" s="363">
        <v>4.4122558638968433E-3</v>
      </c>
      <c r="AU79" s="365">
        <f t="shared" ca="1" si="6"/>
        <v>7.7387071241014765E-5</v>
      </c>
      <c r="AV79" s="365">
        <f t="shared" ca="1" si="7"/>
        <v>7.7441361031570233E-6</v>
      </c>
    </row>
    <row r="80" spans="2:48">
      <c r="B80" s="348" t="str">
        <f t="shared" ca="1" si="5"/>
        <v>2Mx6Y</v>
      </c>
      <c r="C80" s="345">
        <f t="shared" ca="1" si="4"/>
        <v>42254</v>
      </c>
      <c r="D80" s="346" t="s">
        <v>398</v>
      </c>
      <c r="E80" s="346" t="s">
        <v>12</v>
      </c>
      <c r="F80" s="351">
        <f ca="1">VLOOKUP(F$3&amp;$D80&amp;$E80,'Swaption Volatilities'!$V:$W,2,FALSE)%%</f>
        <v>4.5299999999999993E-3</v>
      </c>
      <c r="G80" s="352">
        <f ca="1">VLOOKUP(G$3&amp;$D80&amp;$E80,'Swaption Volatilities'!$V:$W,2,FALSE)</f>
        <v>88.5</v>
      </c>
      <c r="H80" s="346" t="s">
        <v>20</v>
      </c>
      <c r="I80" s="346" t="s">
        <v>21</v>
      </c>
      <c r="J80" s="345">
        <f ca="1">_xll.qlCalendarAdvance(H80,C80,D80,I80)</f>
        <v>42317</v>
      </c>
      <c r="K80" s="345">
        <f ca="1">_xll.qlCalendarAdvance(H80,J80,"2d")</f>
        <v>42319</v>
      </c>
      <c r="L80" s="345">
        <f ca="1">_xll.qlCalendarAdvance(H80,K80,E80,"unadjusted")</f>
        <v>44511</v>
      </c>
      <c r="M80" s="346" t="s">
        <v>7</v>
      </c>
      <c r="N80" s="346" t="s">
        <v>20</v>
      </c>
      <c r="O80" s="346" t="s">
        <v>21</v>
      </c>
      <c r="P80" s="346" t="s">
        <v>21</v>
      </c>
      <c r="Q80" s="346" t="s">
        <v>70</v>
      </c>
      <c r="R80" s="353" t="str">
        <f ca="1">_xll.qlSchedule(,K80,L80,M80,N80,O80,P80,Q80)</f>
        <v>obj_00572#0001</v>
      </c>
      <c r="S80" s="346" t="s">
        <v>19</v>
      </c>
      <c r="T80" s="346" t="s">
        <v>20</v>
      </c>
      <c r="U80" s="346" t="s">
        <v>21</v>
      </c>
      <c r="V80" s="346" t="s">
        <v>21</v>
      </c>
      <c r="W80" s="346" t="s">
        <v>70</v>
      </c>
      <c r="X80" s="353" t="str">
        <f ca="1">_xll.qlSchedule(,K80,L80,S80,T80,U80,V80,W80)</f>
        <v>obj_00573#0001</v>
      </c>
      <c r="Y80" s="349" t="s">
        <v>1742</v>
      </c>
      <c r="Z80" s="354" t="s">
        <v>36</v>
      </c>
      <c r="AA80" s="354" t="s">
        <v>1745</v>
      </c>
      <c r="AB80" s="353" t="str">
        <f ca="1">_xll.qlVanillaSwap(,,,R80,,Y80,X80,Z80,,AA80)</f>
        <v>obj_005f4#0001</v>
      </c>
      <c r="AC80" s="353" t="b">
        <f ca="1">_xll.qlInstrumentSetPricingEngine(AB80,_xll.qlDiscountingSwapEngine(,Curve!$S$16))</f>
        <v>1</v>
      </c>
      <c r="AD80" s="355" t="e">
        <f ca="1">_xll.qlVanillaSwapFairRate(AB80,AC80)</f>
        <v>#NUM!</v>
      </c>
      <c r="AE80" s="346" t="s">
        <v>1752</v>
      </c>
      <c r="AF80" s="347">
        <v>10000</v>
      </c>
      <c r="AG80" s="350" t="str">
        <f ca="1">_xll.qlVanillaSwap(,AE80,AF80,R80,AD80,Y80,X80,Z80,,AA80)</f>
        <v>obj_006e7#0000</v>
      </c>
      <c r="AH80" s="347" t="str">
        <f ca="1">_xll.qlEuropeanExercise(,J80)</f>
        <v>obj_004bf#0001</v>
      </c>
      <c r="AI80" s="346" t="s">
        <v>1749</v>
      </c>
      <c r="AJ80" s="356" t="str">
        <f ca="1">_xll.qlSwaption(,AG80,AH80,AI80)</f>
        <v>obj_00785#0001</v>
      </c>
      <c r="AK80" s="357" t="str">
        <f ca="1">_xll.qlConstantSwaptionVolatility(,,H80,I80,F80)</f>
        <v>obj_0010d#0001</v>
      </c>
      <c r="AL80" s="357" t="b">
        <f ca="1">_xll.qlInstrumentSetPricingEngine(AJ80,_xll.qlBachelierBlackSwaptionEngine(,Curve!$S$16,AK80))</f>
        <v>1</v>
      </c>
      <c r="AM80" s="358">
        <f ca="1">_xll.qlInstrumentNPV(AJ80,AL80)*2/_xll.qlYieldTSDiscount(Curve!$S$16,K80)</f>
        <v>88.332014485568692</v>
      </c>
      <c r="AN80" s="358">
        <f ca="1">_xll.qlInstrumentResults(AJ80,"annuity",AL80)</f>
        <v>58838.247667112053</v>
      </c>
      <c r="AO80" s="359">
        <f ca="1">G80/2*_xll.qlYieldTSDiscount(Curve!$S$16,K80)/AN80</f>
        <v>7.5224142539642117E-4</v>
      </c>
      <c r="AP80" s="360" t="e">
        <f ca="1">_xll.qlBachelierBlackFormulaImpliedVol("Call",AD80,AD80,_xll.qlDayCounterYearFraction("Act/365 (Fixed)",C80,J80),AO80)</f>
        <v>#VALUE!</v>
      </c>
      <c r="AQ80" s="361" t="e">
        <f ca="1">_xll.qlBlackFormulaImpliedStdDev("Call",AD80,AD80,AO80)/SQRT(_xll.qlDayCounterYearFraction("Act/365 (Fixed)",C80,J80))</f>
        <v>#VALUE!</v>
      </c>
      <c r="AS80" s="363">
        <v>4.4633443354865007E-3</v>
      </c>
      <c r="AT80" s="363">
        <v>4.5386149329302537E-3</v>
      </c>
      <c r="AU80" s="365">
        <f t="shared" ca="1" si="6"/>
        <v>6.665566451349858E-5</v>
      </c>
      <c r="AV80" s="365">
        <f t="shared" ca="1" si="7"/>
        <v>-8.6149329302544209E-6</v>
      </c>
    </row>
    <row r="81" spans="2:48">
      <c r="B81" s="348" t="str">
        <f t="shared" ca="1" si="5"/>
        <v>3Mx6Y</v>
      </c>
      <c r="C81" s="345">
        <f t="shared" ca="1" si="4"/>
        <v>42254</v>
      </c>
      <c r="D81" s="346" t="s">
        <v>26</v>
      </c>
      <c r="E81" s="346" t="s">
        <v>12</v>
      </c>
      <c r="F81" s="351">
        <f ca="1">VLOOKUP(F$3&amp;$D81&amp;$E81,'Swaption Volatilities'!$V:$W,2,FALSE)%%</f>
        <v>4.5599999999999998E-3</v>
      </c>
      <c r="G81" s="352">
        <f ca="1">VLOOKUP(G$3&amp;$D81&amp;$E81,'Swaption Volatilities'!$V:$W,2,FALSE)</f>
        <v>107</v>
      </c>
      <c r="H81" s="346" t="s">
        <v>20</v>
      </c>
      <c r="I81" s="346" t="s">
        <v>21</v>
      </c>
      <c r="J81" s="345">
        <f ca="1">_xll.qlCalendarAdvance(H81,C81,D81,I81)</f>
        <v>42345</v>
      </c>
      <c r="K81" s="345">
        <f ca="1">_xll.qlCalendarAdvance(H81,J81,"2d")</f>
        <v>42347</v>
      </c>
      <c r="L81" s="345">
        <f ca="1">_xll.qlCalendarAdvance(H81,K81,E81,"unadjusted")</f>
        <v>44539</v>
      </c>
      <c r="M81" s="346" t="s">
        <v>7</v>
      </c>
      <c r="N81" s="346" t="s">
        <v>20</v>
      </c>
      <c r="O81" s="346" t="s">
        <v>21</v>
      </c>
      <c r="P81" s="346" t="s">
        <v>21</v>
      </c>
      <c r="Q81" s="346" t="s">
        <v>70</v>
      </c>
      <c r="R81" s="353" t="str">
        <f ca="1">_xll.qlSchedule(,K81,L81,M81,N81,O81,P81,Q81)</f>
        <v>obj_002fe#0001</v>
      </c>
      <c r="S81" s="346" t="s">
        <v>19</v>
      </c>
      <c r="T81" s="346" t="s">
        <v>20</v>
      </c>
      <c r="U81" s="346" t="s">
        <v>21</v>
      </c>
      <c r="V81" s="346" t="s">
        <v>21</v>
      </c>
      <c r="W81" s="346" t="s">
        <v>70</v>
      </c>
      <c r="X81" s="353" t="str">
        <f ca="1">_xll.qlSchedule(,K81,L81,S81,T81,U81,V81,W81)</f>
        <v>obj_002e9#0000</v>
      </c>
      <c r="Y81" s="349" t="s">
        <v>1742</v>
      </c>
      <c r="Z81" s="354" t="s">
        <v>36</v>
      </c>
      <c r="AA81" s="354" t="s">
        <v>1745</v>
      </c>
      <c r="AB81" s="353" t="str">
        <f ca="1">_xll.qlVanillaSwap(,,,R81,,Y81,X81,Z81,,AA81)</f>
        <v>obj_003f5#0001</v>
      </c>
      <c r="AC81" s="353" t="b">
        <f ca="1">_xll.qlInstrumentSetPricingEngine(AB81,_xll.qlDiscountingSwapEngine(,Curve!$S$16))</f>
        <v>1</v>
      </c>
      <c r="AD81" s="355">
        <f ca="1">_xll.qlVanillaSwapFairRate(AB81,AC81)</f>
        <v>5.5122024203368139E-3</v>
      </c>
      <c r="AE81" s="346" t="s">
        <v>1752</v>
      </c>
      <c r="AF81" s="347">
        <v>10000</v>
      </c>
      <c r="AG81" s="350" t="str">
        <f ca="1">_xll.qlVanillaSwap(,AE81,AF81,R81,AD81,Y81,X81,Z81,,AA81)</f>
        <v>obj_00667#0000</v>
      </c>
      <c r="AH81" s="347" t="str">
        <f ca="1">_xll.qlEuropeanExercise(,J81)</f>
        <v>obj_0041c#0001</v>
      </c>
      <c r="AI81" s="346" t="s">
        <v>1749</v>
      </c>
      <c r="AJ81" s="356" t="str">
        <f ca="1">_xll.qlSwaption(,AG81,AH81,AI81)</f>
        <v>obj_00774#0001</v>
      </c>
      <c r="AK81" s="357" t="str">
        <f ca="1">_xll.qlConstantSwaptionVolatility(,,H81,I81,F81)</f>
        <v>obj_002d2#0001</v>
      </c>
      <c r="AL81" s="357" t="b">
        <f ca="1">_xll.qlInstrumentSetPricingEngine(AJ81,_xll.qlBachelierBlackSwaptionEngine(,Curve!$S$16,AK81))</f>
        <v>1</v>
      </c>
      <c r="AM81" s="358">
        <f ca="1">_xll.qlInstrumentNPV(AJ81,AL81)*2/_xll.qlYieldTSDiscount(Curve!$S$16,K81)</f>
        <v>106.74152607689291</v>
      </c>
      <c r="AN81" s="358">
        <f ca="1">_xll.qlInstrumentResults(AJ81,"annuity",AL81)</f>
        <v>58776.61377135045</v>
      </c>
      <c r="AO81" s="359">
        <f ca="1">G81/2*_xll.qlYieldTSDiscount(Curve!$S$16,K81)/AN81</f>
        <v>9.1054107642227189E-4</v>
      </c>
      <c r="AP81" s="360">
        <f ca="1">_xll.qlBachelierBlackFormulaImpliedVol("Call",AD81,AD81,_xll.qlDayCounterYearFraction("Act/365 (Fixed)",C81,J81),AO81)</f>
        <v>4.5710420108525142E-3</v>
      </c>
      <c r="AQ81" s="361">
        <f ca="1">_xll.qlBlackFormulaImpliedStdDev("Call",AD81,AD81,AO81)/SQRT(_xll.qlDayCounterYearFraction("Act/365 (Fixed)",C81,J81))</f>
        <v>0.8352731797943117</v>
      </c>
      <c r="AS81" s="363">
        <v>4.4918864618377569E-3</v>
      </c>
      <c r="AT81" s="363">
        <v>4.5710420108525142E-3</v>
      </c>
      <c r="AU81" s="365">
        <f t="shared" ca="1" si="6"/>
        <v>6.8113538162242922E-5</v>
      </c>
      <c r="AV81" s="365">
        <f t="shared" ca="1" si="7"/>
        <v>-1.104201085251437E-5</v>
      </c>
    </row>
    <row r="82" spans="2:48">
      <c r="B82" s="348" t="str">
        <f t="shared" ca="1" si="5"/>
        <v>6Mx6Y</v>
      </c>
      <c r="C82" s="345">
        <f t="shared" ca="1" si="4"/>
        <v>42254</v>
      </c>
      <c r="D82" s="346" t="s">
        <v>19</v>
      </c>
      <c r="E82" s="346" t="s">
        <v>12</v>
      </c>
      <c r="F82" s="351">
        <f ca="1">VLOOKUP(F$3&amp;$D82&amp;$E82,'Swaption Volatilities'!$V:$W,2,FALSE)%%</f>
        <v>4.7999999999999996E-3</v>
      </c>
      <c r="G82" s="352">
        <f ca="1">VLOOKUP(G$3&amp;$D82&amp;$E82,'Swaption Volatilities'!$V:$W,2,FALSE)</f>
        <v>159</v>
      </c>
      <c r="H82" s="346" t="s">
        <v>20</v>
      </c>
      <c r="I82" s="346" t="s">
        <v>21</v>
      </c>
      <c r="J82" s="345">
        <f ca="1">_xll.qlCalendarAdvance(H82,C82,D82,I82)</f>
        <v>42436</v>
      </c>
      <c r="K82" s="345">
        <f ca="1">_xll.qlCalendarAdvance(H82,J82,"2d")</f>
        <v>42438</v>
      </c>
      <c r="L82" s="345">
        <f ca="1">_xll.qlCalendarAdvance(H82,K82,E82,"unadjusted")</f>
        <v>44629</v>
      </c>
      <c r="M82" s="346" t="s">
        <v>7</v>
      </c>
      <c r="N82" s="346" t="s">
        <v>20</v>
      </c>
      <c r="O82" s="346" t="s">
        <v>21</v>
      </c>
      <c r="P82" s="346" t="s">
        <v>21</v>
      </c>
      <c r="Q82" s="346" t="s">
        <v>70</v>
      </c>
      <c r="R82" s="353" t="str">
        <f ca="1">_xll.qlSchedule(,K82,L82,M82,N82,O82,P82,Q82)</f>
        <v>obj_00503#0001</v>
      </c>
      <c r="S82" s="346" t="s">
        <v>19</v>
      </c>
      <c r="T82" s="346" t="s">
        <v>20</v>
      </c>
      <c r="U82" s="346" t="s">
        <v>21</v>
      </c>
      <c r="V82" s="346" t="s">
        <v>21</v>
      </c>
      <c r="W82" s="346" t="s">
        <v>70</v>
      </c>
      <c r="X82" s="353" t="str">
        <f ca="1">_xll.qlSchedule(,K82,L82,S82,T82,U82,V82,W82)</f>
        <v>obj_00502#0001</v>
      </c>
      <c r="Y82" s="349" t="s">
        <v>1742</v>
      </c>
      <c r="Z82" s="354" t="s">
        <v>36</v>
      </c>
      <c r="AA82" s="354" t="s">
        <v>1745</v>
      </c>
      <c r="AB82" s="353" t="str">
        <f ca="1">_xll.qlVanillaSwap(,,,R82,,Y82,X82,Z82,,AA82)</f>
        <v>obj_005a5#0001</v>
      </c>
      <c r="AC82" s="353" t="b">
        <f ca="1">_xll.qlInstrumentSetPricingEngine(AB82,_xll.qlDiscountingSwapEngine(,Curve!$S$16))</f>
        <v>1</v>
      </c>
      <c r="AD82" s="355" t="e">
        <f ca="1">_xll.qlVanillaSwapFairRate(AB82,AC82)</f>
        <v>#NUM!</v>
      </c>
      <c r="AE82" s="346" t="s">
        <v>1752</v>
      </c>
      <c r="AF82" s="347">
        <v>10000</v>
      </c>
      <c r="AG82" s="350" t="e">
        <f ca="1">_xll.qlVanillaSwap(,AE82,AF82,R82,AD82,Y82,X82,Z82,,AA82)</f>
        <v>#NUM!</v>
      </c>
      <c r="AH82" s="347" t="str">
        <f ca="1">_xll.qlEuropeanExercise(,J82)</f>
        <v>obj_0026f#0000</v>
      </c>
      <c r="AI82" s="346" t="s">
        <v>1749</v>
      </c>
      <c r="AJ82" s="356" t="e">
        <f ca="1">_xll.qlSwaption(,AG82,AH82,AI82)</f>
        <v>#VALUE!</v>
      </c>
      <c r="AK82" s="357" t="str">
        <f ca="1">_xll.qlConstantSwaptionVolatility(,,H82,I82,F82)</f>
        <v>obj_0026a#0001</v>
      </c>
      <c r="AL82" s="357" t="e">
        <f ca="1">_xll.qlInstrumentSetPricingEngine(AJ82,_xll.qlBachelierBlackSwaptionEngine(,Curve!$S$16,AK82))</f>
        <v>#VALUE!</v>
      </c>
      <c r="AM82" s="358" t="e">
        <f ca="1">_xll.qlInstrumentNPV(AJ82,AL82)*2/_xll.qlYieldTSDiscount(Curve!$S$16,K82)</f>
        <v>#VALUE!</v>
      </c>
      <c r="AN82" s="358" t="e">
        <f ca="1">_xll.qlInstrumentResults(AJ82,"annuity",AL82)</f>
        <v>#VALUE!</v>
      </c>
      <c r="AO82" s="359" t="e">
        <f ca="1">G82/2*_xll.qlYieldTSDiscount(Curve!$S$16,K82)/AN82</f>
        <v>#VALUE!</v>
      </c>
      <c r="AP82" s="360" t="e">
        <f ca="1">_xll.qlBachelierBlackFormulaImpliedVol("Call",AD82,AD82,_xll.qlDayCounterYearFraction("Act/365 (Fixed)",C82,J82),AO82)</f>
        <v>#VALUE!</v>
      </c>
      <c r="AQ82" s="361" t="e">
        <f ca="1">_xll.qlBlackFormulaImpliedStdDev("Call",AD82,AD82,AO82)/SQRT(_xll.qlDayCounterYearFraction("Act/365 (Fixed)",C82,J82))</f>
        <v>#VALUE!</v>
      </c>
      <c r="AS82" s="363">
        <v>4.7266582236067381E-3</v>
      </c>
      <c r="AT82" s="363">
        <v>4.8222980862498233E-3</v>
      </c>
      <c r="AU82" s="365">
        <f t="shared" ca="1" si="6"/>
        <v>7.3341776393261518E-5</v>
      </c>
      <c r="AV82" s="365">
        <f t="shared" ca="1" si="7"/>
        <v>-2.2298086249823712E-5</v>
      </c>
    </row>
    <row r="83" spans="2:48">
      <c r="B83" s="348" t="str">
        <f t="shared" ca="1" si="5"/>
        <v>9Mx6Y</v>
      </c>
      <c r="C83" s="345">
        <f t="shared" ca="1" si="4"/>
        <v>42254</v>
      </c>
      <c r="D83" s="346" t="s">
        <v>412</v>
      </c>
      <c r="E83" s="346" t="s">
        <v>12</v>
      </c>
      <c r="F83" s="351">
        <f ca="1">VLOOKUP(F$3&amp;$D83&amp;$E83,'Swaption Volatilities'!$V:$W,2,FALSE)%%</f>
        <v>5.0000000000000001E-3</v>
      </c>
      <c r="G83" s="352">
        <f ca="1">VLOOKUP(G$3&amp;$D83&amp;$E83,'Swaption Volatilities'!$V:$W,2,FALSE)</f>
        <v>203</v>
      </c>
      <c r="H83" s="346" t="s">
        <v>20</v>
      </c>
      <c r="I83" s="346" t="s">
        <v>21</v>
      </c>
      <c r="J83" s="345">
        <f ca="1">_xll.qlCalendarAdvance(H83,C83,D83,I83)</f>
        <v>42528</v>
      </c>
      <c r="K83" s="345">
        <f ca="1">_xll.qlCalendarAdvance(H83,J83,"2d")</f>
        <v>42530</v>
      </c>
      <c r="L83" s="345">
        <f ca="1">_xll.qlCalendarAdvance(H83,K83,E83,"unadjusted")</f>
        <v>44721</v>
      </c>
      <c r="M83" s="346" t="s">
        <v>7</v>
      </c>
      <c r="N83" s="346" t="s">
        <v>20</v>
      </c>
      <c r="O83" s="346" t="s">
        <v>21</v>
      </c>
      <c r="P83" s="346" t="s">
        <v>21</v>
      </c>
      <c r="Q83" s="346" t="s">
        <v>70</v>
      </c>
      <c r="R83" s="353" t="str">
        <f ca="1">_xll.qlSchedule(,K83,L83,M83,N83,O83,P83,Q83)</f>
        <v>obj_003ab#0001</v>
      </c>
      <c r="S83" s="346" t="s">
        <v>19</v>
      </c>
      <c r="T83" s="346" t="s">
        <v>20</v>
      </c>
      <c r="U83" s="346" t="s">
        <v>21</v>
      </c>
      <c r="V83" s="346" t="s">
        <v>21</v>
      </c>
      <c r="W83" s="346" t="s">
        <v>70</v>
      </c>
      <c r="X83" s="353" t="str">
        <f ca="1">_xll.qlSchedule(,K83,L83,S83,T83,U83,V83,W83)</f>
        <v>obj_002eb#0000</v>
      </c>
      <c r="Y83" s="349" t="s">
        <v>1742</v>
      </c>
      <c r="Z83" s="354" t="s">
        <v>36</v>
      </c>
      <c r="AA83" s="354" t="s">
        <v>1745</v>
      </c>
      <c r="AB83" s="353" t="str">
        <f ca="1">_xll.qlVanillaSwap(,,,R83,,Y83,X83,Z83,,AA83)</f>
        <v>obj_004e7#0001</v>
      </c>
      <c r="AC83" s="353" t="b">
        <f ca="1">_xll.qlInstrumentSetPricingEngine(AB83,_xll.qlDiscountingSwapEngine(,Curve!$S$16))</f>
        <v>1</v>
      </c>
      <c r="AD83" s="355" t="e">
        <f ca="1">_xll.qlVanillaSwapFairRate(AB83,AC83)</f>
        <v>#NUM!</v>
      </c>
      <c r="AE83" s="346" t="s">
        <v>1752</v>
      </c>
      <c r="AF83" s="347">
        <v>10000</v>
      </c>
      <c r="AG83" s="350" t="str">
        <f ca="1">_xll.qlVanillaSwap(,AE83,AF83,R83,AD83,Y83,X83,Z83,,AA83)</f>
        <v>obj_0069a#0000</v>
      </c>
      <c r="AH83" s="347" t="str">
        <f ca="1">_xll.qlEuropeanExercise(,J83)</f>
        <v>obj_0012f#0001</v>
      </c>
      <c r="AI83" s="346" t="s">
        <v>1749</v>
      </c>
      <c r="AJ83" s="356" t="str">
        <f ca="1">_xll.qlSwaption(,AG83,AH83,AI83)</f>
        <v>obj_0076d#0001</v>
      </c>
      <c r="AK83" s="357" t="str">
        <f ca="1">_xll.qlConstantSwaptionVolatility(,,H83,I83,F83)</f>
        <v>obj_000a7#0001</v>
      </c>
      <c r="AL83" s="357" t="b">
        <f ca="1">_xll.qlInstrumentSetPricingEngine(AJ83,_xll.qlBachelierBlackSwaptionEngine(,Curve!$S$16,AK83))</f>
        <v>1</v>
      </c>
      <c r="AM83" s="358">
        <f ca="1">_xll.qlInstrumentNPV(AJ83,AL83)*2/_xll.qlYieldTSDiscount(Curve!$S$16,K83)</f>
        <v>201.37822360907523</v>
      </c>
      <c r="AN83" s="358">
        <f ca="1">_xll.qlInstrumentResults(AJ83,"annuity",AL83)</f>
        <v>58325.213843991893</v>
      </c>
      <c r="AO83" s="359">
        <f ca="1">G83/2*_xll.qlYieldTSDiscount(Curve!$S$16,K83)/AN83</f>
        <v>1.7421777050557307E-3</v>
      </c>
      <c r="AP83" s="360" t="e">
        <f ca="1">_xll.qlBachelierBlackFormulaImpliedVol("Call",AD83,AD83,_xll.qlDayCounterYearFraction("Act/365 (Fixed)",C83,J83),AO83)</f>
        <v>#VALUE!</v>
      </c>
      <c r="AQ83" s="361" t="e">
        <f ca="1">_xll.qlBlackFormulaImpliedStdDev("Call",AD83,AD83,AO83)/SQRT(_xll.qlDayCounterYearFraction("Act/365 (Fixed)",C83,J83))</f>
        <v>#VALUE!</v>
      </c>
      <c r="AS83" s="363">
        <v>4.9263878254861794E-3</v>
      </c>
      <c r="AT83" s="363">
        <v>5.0402669256351508E-3</v>
      </c>
      <c r="AU83" s="365">
        <f t="shared" ca="1" si="6"/>
        <v>7.3612174513820738E-5</v>
      </c>
      <c r="AV83" s="365">
        <f t="shared" ca="1" si="7"/>
        <v>-4.0266925635150733E-5</v>
      </c>
    </row>
    <row r="84" spans="2:48">
      <c r="B84" s="348" t="str">
        <f t="shared" ca="1" si="5"/>
        <v>1Yx6Y</v>
      </c>
      <c r="C84" s="345">
        <f t="shared" ca="1" si="4"/>
        <v>42254</v>
      </c>
      <c r="D84" s="346" t="s">
        <v>7</v>
      </c>
      <c r="E84" s="346" t="s">
        <v>12</v>
      </c>
      <c r="F84" s="351">
        <f ca="1">VLOOKUP(F$3&amp;$D84&amp;$E84,'Swaption Volatilities'!$V:$W,2,FALSE)%%</f>
        <v>5.3400000000000001E-3</v>
      </c>
      <c r="G84" s="352">
        <f ca="1">VLOOKUP(G$3&amp;$D84&amp;$E84,'Swaption Volatilities'!$V:$W,2,FALSE)</f>
        <v>249</v>
      </c>
      <c r="H84" s="346" t="s">
        <v>20</v>
      </c>
      <c r="I84" s="346" t="s">
        <v>21</v>
      </c>
      <c r="J84" s="345">
        <f ca="1">_xll.qlCalendarAdvance(H84,C84,D84,I84)</f>
        <v>42620</v>
      </c>
      <c r="K84" s="345">
        <f ca="1">_xll.qlCalendarAdvance(H84,J84,"2d")</f>
        <v>42622</v>
      </c>
      <c r="L84" s="345">
        <f ca="1">_xll.qlCalendarAdvance(H84,K84,E84,"unadjusted")</f>
        <v>44813</v>
      </c>
      <c r="M84" s="346" t="s">
        <v>7</v>
      </c>
      <c r="N84" s="346" t="s">
        <v>20</v>
      </c>
      <c r="O84" s="346" t="s">
        <v>21</v>
      </c>
      <c r="P84" s="346" t="s">
        <v>21</v>
      </c>
      <c r="Q84" s="346" t="s">
        <v>70</v>
      </c>
      <c r="R84" s="353" t="str">
        <f ca="1">_xll.qlSchedule(,K84,L84,M84,N84,O84,P84,Q84)</f>
        <v>obj_003ea#0001</v>
      </c>
      <c r="S84" s="346" t="s">
        <v>19</v>
      </c>
      <c r="T84" s="346" t="s">
        <v>20</v>
      </c>
      <c r="U84" s="346" t="s">
        <v>21</v>
      </c>
      <c r="V84" s="346" t="s">
        <v>21</v>
      </c>
      <c r="W84" s="346" t="s">
        <v>70</v>
      </c>
      <c r="X84" s="353" t="str">
        <f ca="1">_xll.qlSchedule(,K84,L84,S84,T84,U84,V84,W84)</f>
        <v>obj_00296#0001</v>
      </c>
      <c r="Y84" s="349" t="s">
        <v>1742</v>
      </c>
      <c r="Z84" s="354" t="s">
        <v>36</v>
      </c>
      <c r="AA84" s="354" t="s">
        <v>1745</v>
      </c>
      <c r="AB84" s="353" t="str">
        <f ca="1">_xll.qlVanillaSwap(,,,R84,,Y84,X84,Z84,,AA84)</f>
        <v>obj_0050a#0001</v>
      </c>
      <c r="AC84" s="353" t="b">
        <f ca="1">_xll.qlInstrumentSetPricingEngine(AB84,_xll.qlDiscountingSwapEngine(,Curve!$S$16))</f>
        <v>1</v>
      </c>
      <c r="AD84" s="355" t="e">
        <f ca="1">_xll.qlVanillaSwapFairRate(AB84,AC84)</f>
        <v>#NUM!</v>
      </c>
      <c r="AE84" s="346" t="s">
        <v>1752</v>
      </c>
      <c r="AF84" s="347">
        <v>10000</v>
      </c>
      <c r="AG84" s="350" t="str">
        <f ca="1">_xll.qlVanillaSwap(,AE84,AF84,R84,AD84,Y84,X84,Z84,,AA84)</f>
        <v>obj_006cf#0000</v>
      </c>
      <c r="AH84" s="347" t="str">
        <f ca="1">_xll.qlEuropeanExercise(,J84)</f>
        <v>obj_001ad#0001</v>
      </c>
      <c r="AI84" s="346" t="s">
        <v>1749</v>
      </c>
      <c r="AJ84" s="356" t="str">
        <f ca="1">_xll.qlSwaption(,AG84,AH84,AI84)</f>
        <v>obj_00788#0001</v>
      </c>
      <c r="AK84" s="357" t="str">
        <f ca="1">_xll.qlConstantSwaptionVolatility(,,H84,I84,F84)</f>
        <v>obj_000d7#0001</v>
      </c>
      <c r="AL84" s="357" t="b">
        <f ca="1">_xll.qlInstrumentSetPricingEngine(AJ84,_xll.qlBachelierBlackSwaptionEngine(,Curve!$S$16,AK84))</f>
        <v>1</v>
      </c>
      <c r="AM84" s="358">
        <f ca="1">_xll.qlInstrumentNPV(AJ84,AL84)*2/_xll.qlYieldTSDiscount(Curve!$S$16,K84)</f>
        <v>247.35724738529524</v>
      </c>
      <c r="AN84" s="358">
        <f ca="1">_xll.qlInstrumentResults(AJ84,"annuity",AL84)</f>
        <v>58063.921444672851</v>
      </c>
      <c r="AO84" s="359">
        <f ca="1">G84/2*_xll.qlYieldTSDiscount(Curve!$S$16,K84)/AN84</f>
        <v>2.1474355628634746E-3</v>
      </c>
      <c r="AP84" s="360" t="e">
        <f ca="1">_xll.qlBachelierBlackFormulaImpliedVol("Call",AD84,AD84,_xll.qlDayCounterYearFraction("Act/365 (Fixed)",C84,J84),AO84)</f>
        <v>#VALUE!</v>
      </c>
      <c r="AQ84" s="361" t="e">
        <f ca="1">_xll.qlBlackFormulaImpliedStdDev("Call",AD84,AD84,AO84)/SQRT(_xll.qlDayCounterYearFraction("Act/365 (Fixed)",C84,J84))</f>
        <v>#VALUE!</v>
      </c>
      <c r="AS84" s="363">
        <v>5.2378840935039988E-3</v>
      </c>
      <c r="AT84" s="363">
        <v>5.3754640870856294E-3</v>
      </c>
      <c r="AU84" s="365">
        <f t="shared" ca="1" si="6"/>
        <v>1.0211590649600137E-4</v>
      </c>
      <c r="AV84" s="365">
        <f t="shared" ca="1" si="7"/>
        <v>-3.5464087085629314E-5</v>
      </c>
    </row>
    <row r="85" spans="2:48">
      <c r="B85" s="348" t="str">
        <f t="shared" ca="1" si="5"/>
        <v>18Mx6Y</v>
      </c>
      <c r="C85" s="345">
        <f t="shared" ca="1" si="4"/>
        <v>42254</v>
      </c>
      <c r="D85" s="346" t="s">
        <v>154</v>
      </c>
      <c r="E85" s="346" t="s">
        <v>12</v>
      </c>
      <c r="F85" s="351">
        <f ca="1">VLOOKUP(F$3&amp;$D85&amp;$E85,'Swaption Volatilities'!$V:$W,2,FALSE)%%</f>
        <v>5.8299999999999992E-3</v>
      </c>
      <c r="G85" s="352">
        <f ca="1">VLOOKUP(G$3&amp;$D85&amp;$E85,'Swaption Volatilities'!$V:$W,2,FALSE)</f>
        <v>332</v>
      </c>
      <c r="H85" s="346" t="s">
        <v>20</v>
      </c>
      <c r="I85" s="346" t="s">
        <v>21</v>
      </c>
      <c r="J85" s="345">
        <f ca="1">_xll.qlCalendarAdvance(H85,C85,D85,I85)</f>
        <v>42801</v>
      </c>
      <c r="K85" s="345">
        <f ca="1">_xll.qlCalendarAdvance(H85,J85,"2d")</f>
        <v>42803</v>
      </c>
      <c r="L85" s="345">
        <f ca="1">_xll.qlCalendarAdvance(H85,K85,E85,"unadjusted")</f>
        <v>44994</v>
      </c>
      <c r="M85" s="346" t="s">
        <v>7</v>
      </c>
      <c r="N85" s="346" t="s">
        <v>20</v>
      </c>
      <c r="O85" s="346" t="s">
        <v>21</v>
      </c>
      <c r="P85" s="346" t="s">
        <v>21</v>
      </c>
      <c r="Q85" s="346" t="s">
        <v>70</v>
      </c>
      <c r="R85" s="353" t="str">
        <f ca="1">_xll.qlSchedule(,K85,L85,M85,N85,O85,P85,Q85)</f>
        <v>obj_0034d#0001</v>
      </c>
      <c r="S85" s="346" t="s">
        <v>19</v>
      </c>
      <c r="T85" s="346" t="s">
        <v>20</v>
      </c>
      <c r="U85" s="346" t="s">
        <v>21</v>
      </c>
      <c r="V85" s="346" t="s">
        <v>21</v>
      </c>
      <c r="W85" s="346" t="s">
        <v>70</v>
      </c>
      <c r="X85" s="353" t="str">
        <f ca="1">_xll.qlSchedule(,K85,L85,S85,T85,U85,V85,W85)</f>
        <v>obj_003ec#0001</v>
      </c>
      <c r="Y85" s="349" t="s">
        <v>1742</v>
      </c>
      <c r="Z85" s="354" t="s">
        <v>36</v>
      </c>
      <c r="AA85" s="354" t="s">
        <v>1745</v>
      </c>
      <c r="AB85" s="353" t="str">
        <f ca="1">_xll.qlVanillaSwap(,,,R85,,Y85,X85,Z85,,AA85)</f>
        <v>obj_004ca#0001</v>
      </c>
      <c r="AC85" s="353" t="b">
        <f ca="1">_xll.qlInstrumentSetPricingEngine(AB85,_xll.qlDiscountingSwapEngine(,Curve!$S$16))</f>
        <v>1</v>
      </c>
      <c r="AD85" s="355" t="e">
        <f ca="1">_xll.qlVanillaSwapFairRate(AB85,AC85)</f>
        <v>#NUM!</v>
      </c>
      <c r="AE85" s="346" t="s">
        <v>1752</v>
      </c>
      <c r="AF85" s="347">
        <v>10000</v>
      </c>
      <c r="AG85" s="350" t="str">
        <f ca="1">_xll.qlVanillaSwap(,AE85,AF85,R85,AD85,Y85,X85,Z85,,AA85)</f>
        <v>obj_006d2#0000</v>
      </c>
      <c r="AH85" s="347" t="str">
        <f ca="1">_xll.qlEuropeanExercise(,J85)</f>
        <v>obj_0012d#0001</v>
      </c>
      <c r="AI85" s="346" t="s">
        <v>1749</v>
      </c>
      <c r="AJ85" s="356" t="str">
        <f ca="1">_xll.qlSwaption(,AG85,AH85,AI85)</f>
        <v>obj_007a6#0001</v>
      </c>
      <c r="AK85" s="357" t="str">
        <f ca="1">_xll.qlConstantSwaptionVolatility(,,H85,I85,F85)</f>
        <v>obj_001c7#0001</v>
      </c>
      <c r="AL85" s="357" t="b">
        <f ca="1">_xll.qlInstrumentSetPricingEngine(AJ85,_xll.qlBachelierBlackSwaptionEngine(,Curve!$S$16,AK85))</f>
        <v>1</v>
      </c>
      <c r="AM85" s="358">
        <f ca="1">_xll.qlInstrumentNPV(AJ85,AL85)*2/_xll.qlYieldTSDiscount(Curve!$S$16,K85)</f>
        <v>326.60736328789937</v>
      </c>
      <c r="AN85" s="358">
        <f ca="1">_xll.qlInstrumentResults(AJ85,"annuity",AL85)</f>
        <v>57483.597665289606</v>
      </c>
      <c r="AO85" s="359">
        <f ca="1">G85/2*_xll.qlYieldTSDiscount(Curve!$S$16,K85)/AN85</f>
        <v>2.8942628065917334E-3</v>
      </c>
      <c r="AP85" s="360" t="e">
        <f ca="1">_xll.qlBachelierBlackFormulaImpliedVol("Call",AD85,AD85,_xll.qlDayCounterYearFraction("Act/365 (Fixed)",C85,J85),AO85)</f>
        <v>#VALUE!</v>
      </c>
      <c r="AQ85" s="361" t="e">
        <f ca="1">_xll.qlBlackFormulaImpliedStdDev("Call",AD85,AD85,AO85)/SQRT(_xll.qlDayCounterYearFraction("Act/365 (Fixed)",C85,J85))</f>
        <v>#VALUE!</v>
      </c>
      <c r="AS85" s="363">
        <v>5.7356644670719277E-3</v>
      </c>
      <c r="AT85" s="363">
        <v>5.9262595322868653E-3</v>
      </c>
      <c r="AU85" s="365">
        <f t="shared" ca="1" si="6"/>
        <v>9.4335532928071543E-5</v>
      </c>
      <c r="AV85" s="365">
        <f t="shared" ca="1" si="7"/>
        <v>-9.6259532286866074E-5</v>
      </c>
    </row>
    <row r="86" spans="2:48">
      <c r="B86" s="348" t="str">
        <f t="shared" ca="1" si="5"/>
        <v>2Yx6Y</v>
      </c>
      <c r="C86" s="345">
        <f t="shared" ca="1" si="4"/>
        <v>42254</v>
      </c>
      <c r="D86" s="346" t="s">
        <v>8</v>
      </c>
      <c r="E86" s="346" t="s">
        <v>12</v>
      </c>
      <c r="F86" s="351">
        <f ca="1">VLOOKUP(F$3&amp;$D86&amp;$E86,'Swaption Volatilities'!$V:$W,2,FALSE)%%</f>
        <v>6.2199999999999998E-3</v>
      </c>
      <c r="G86" s="352">
        <f ca="1">VLOOKUP(G$3&amp;$D86&amp;$E86,'Swaption Volatilities'!$V:$W,2,FALSE)</f>
        <v>407</v>
      </c>
      <c r="H86" s="346" t="s">
        <v>20</v>
      </c>
      <c r="I86" s="346" t="s">
        <v>21</v>
      </c>
      <c r="J86" s="345">
        <f ca="1">_xll.qlCalendarAdvance(H86,C86,D86,I86)</f>
        <v>42985</v>
      </c>
      <c r="K86" s="345">
        <f ca="1">_xll.qlCalendarAdvance(H86,J86,"2d")</f>
        <v>42989</v>
      </c>
      <c r="L86" s="345">
        <f ca="1">_xll.qlCalendarAdvance(H86,K86,E86,"unadjusted")</f>
        <v>45180</v>
      </c>
      <c r="M86" s="346" t="s">
        <v>7</v>
      </c>
      <c r="N86" s="346" t="s">
        <v>20</v>
      </c>
      <c r="O86" s="346" t="s">
        <v>21</v>
      </c>
      <c r="P86" s="346" t="s">
        <v>21</v>
      </c>
      <c r="Q86" s="346" t="s">
        <v>70</v>
      </c>
      <c r="R86" s="353" t="str">
        <f ca="1">_xll.qlSchedule(,K86,L86,M86,N86,O86,P86,Q86)</f>
        <v>obj_0059d#0001</v>
      </c>
      <c r="S86" s="346" t="s">
        <v>19</v>
      </c>
      <c r="T86" s="346" t="s">
        <v>20</v>
      </c>
      <c r="U86" s="346" t="s">
        <v>21</v>
      </c>
      <c r="V86" s="346" t="s">
        <v>21</v>
      </c>
      <c r="W86" s="346" t="s">
        <v>70</v>
      </c>
      <c r="X86" s="353" t="str">
        <f ca="1">_xll.qlSchedule(,K86,L86,S86,T86,U86,V86,W86)</f>
        <v>obj_0059c#0001</v>
      </c>
      <c r="Y86" s="349" t="s">
        <v>1742</v>
      </c>
      <c r="Z86" s="354" t="s">
        <v>36</v>
      </c>
      <c r="AA86" s="354" t="s">
        <v>1745</v>
      </c>
      <c r="AB86" s="353" t="str">
        <f ca="1">_xll.qlVanillaSwap(,,,R86,,Y86,X86,Z86,,AA86)</f>
        <v>obj_0060f#0001</v>
      </c>
      <c r="AC86" s="353" t="b">
        <f ca="1">_xll.qlInstrumentSetPricingEngine(AB86,_xll.qlDiscountingSwapEngine(,Curve!$S$16))</f>
        <v>1</v>
      </c>
      <c r="AD86" s="355" t="e">
        <f ca="1">_xll.qlVanillaSwapFairRate(AB86,AC86)</f>
        <v>#NUM!</v>
      </c>
      <c r="AE86" s="346" t="s">
        <v>1752</v>
      </c>
      <c r="AF86" s="347">
        <v>10000</v>
      </c>
      <c r="AG86" s="350" t="str">
        <f ca="1">_xll.qlVanillaSwap(,AE86,AF86,R86,AD86,Y86,X86,Z86,,AA86)</f>
        <v>obj_00647#0000</v>
      </c>
      <c r="AH86" s="347" t="str">
        <f ca="1">_xll.qlEuropeanExercise(,J86)</f>
        <v>obj_00338#0001</v>
      </c>
      <c r="AI86" s="346" t="s">
        <v>1749</v>
      </c>
      <c r="AJ86" s="356" t="str">
        <f ca="1">_xll.qlSwaption(,AG86,AH86,AI86)</f>
        <v>obj_00798#0001</v>
      </c>
      <c r="AK86" s="357" t="str">
        <f ca="1">_xll.qlConstantSwaptionVolatility(,,H86,I86,F86)</f>
        <v>obj_0010c#0001</v>
      </c>
      <c r="AL86" s="357" t="b">
        <f ca="1">_xll.qlInstrumentSetPricingEngine(AJ86,_xll.qlBachelierBlackSwaptionEngine(,Curve!$S$16,AK86))</f>
        <v>1</v>
      </c>
      <c r="AM86" s="358">
        <f ca="1">_xll.qlInstrumentNPV(AJ86,AL86)*2/_xll.qlYieldTSDiscount(Curve!$S$16,K86)</f>
        <v>397.89784089790828</v>
      </c>
      <c r="AN86" s="358">
        <f ca="1">_xll.qlInstrumentResults(AJ86,"annuity",AL86)</f>
        <v>56811.412703395341</v>
      </c>
      <c r="AO86" s="359">
        <f ca="1">G86/2*_xll.qlYieldTSDiscount(Curve!$S$16,K86)/AN86</f>
        <v>3.5919934282894867E-3</v>
      </c>
      <c r="AP86" s="360" t="e">
        <f ca="1">_xll.qlBachelierBlackFormulaImpliedVol("Call",AD86,AD86,_xll.qlDayCounterYearFraction("Act/365 (Fixed)",C86,J86),AO86)</f>
        <v>#VALUE!</v>
      </c>
      <c r="AQ86" s="361" t="e">
        <f ca="1">_xll.qlBlackFormulaImpliedStdDev("Call",AD86,AD86,AO86)/SQRT(_xll.qlDayCounterYearFraction("Act/365 (Fixed)",C86,J86))</f>
        <v>#VALUE!</v>
      </c>
      <c r="AS86" s="363">
        <v>6.1104827059770593E-3</v>
      </c>
      <c r="AT86" s="363">
        <v>6.3622863453775711E-3</v>
      </c>
      <c r="AU86" s="365">
        <f t="shared" ca="1" si="6"/>
        <v>1.0951729402294049E-4</v>
      </c>
      <c r="AV86" s="365">
        <f t="shared" ca="1" si="7"/>
        <v>-1.4228634537757131E-4</v>
      </c>
    </row>
    <row r="87" spans="2:48">
      <c r="B87" s="348" t="str">
        <f t="shared" ca="1" si="5"/>
        <v>3Yx6Y</v>
      </c>
      <c r="C87" s="345">
        <f t="shared" ca="1" si="4"/>
        <v>42254</v>
      </c>
      <c r="D87" s="346" t="s">
        <v>9</v>
      </c>
      <c r="E87" s="346" t="s">
        <v>12</v>
      </c>
      <c r="F87" s="351">
        <f ca="1">VLOOKUP(F$3&amp;$D87&amp;$E87,'Swaption Volatilities'!$V:$W,2,FALSE)%%</f>
        <v>6.8099999999999992E-3</v>
      </c>
      <c r="G87" s="352">
        <f ca="1">VLOOKUP(G$3&amp;$D87&amp;$E87,'Swaption Volatilities'!$V:$W,2,FALSE)</f>
        <v>540</v>
      </c>
      <c r="H87" s="346" t="s">
        <v>20</v>
      </c>
      <c r="I87" s="346" t="s">
        <v>21</v>
      </c>
      <c r="J87" s="345">
        <f ca="1">_xll.qlCalendarAdvance(H87,C87,D87,I87)</f>
        <v>43350</v>
      </c>
      <c r="K87" s="345">
        <f ca="1">_xll.qlCalendarAdvance(H87,J87,"2d")</f>
        <v>43354</v>
      </c>
      <c r="L87" s="345">
        <f ca="1">_xll.qlCalendarAdvance(H87,K87,E87,"unadjusted")</f>
        <v>45546</v>
      </c>
      <c r="M87" s="346" t="s">
        <v>7</v>
      </c>
      <c r="N87" s="346" t="s">
        <v>20</v>
      </c>
      <c r="O87" s="346" t="s">
        <v>21</v>
      </c>
      <c r="P87" s="346" t="s">
        <v>21</v>
      </c>
      <c r="Q87" s="346" t="s">
        <v>70</v>
      </c>
      <c r="R87" s="353" t="str">
        <f ca="1">_xll.qlSchedule(,K87,L87,M87,N87,O87,P87,Q87)</f>
        <v>obj_0052f#0001</v>
      </c>
      <c r="S87" s="346" t="s">
        <v>19</v>
      </c>
      <c r="T87" s="346" t="s">
        <v>20</v>
      </c>
      <c r="U87" s="346" t="s">
        <v>21</v>
      </c>
      <c r="V87" s="346" t="s">
        <v>21</v>
      </c>
      <c r="W87" s="346" t="s">
        <v>70</v>
      </c>
      <c r="X87" s="353" t="str">
        <f ca="1">_xll.qlSchedule(,K87,L87,S87,T87,U87,V87,W87)</f>
        <v>obj_0052e#0001</v>
      </c>
      <c r="Y87" s="349" t="s">
        <v>1742</v>
      </c>
      <c r="Z87" s="354" t="s">
        <v>36</v>
      </c>
      <c r="AA87" s="354" t="s">
        <v>1745</v>
      </c>
      <c r="AB87" s="353" t="str">
        <f ca="1">_xll.qlVanillaSwap(,,,R87,,Y87,X87,Z87,,AA87)</f>
        <v>obj_005c9#0001</v>
      </c>
      <c r="AC87" s="353" t="b">
        <f ca="1">_xll.qlInstrumentSetPricingEngine(AB87,_xll.qlDiscountingSwapEngine(,Curve!$S$16))</f>
        <v>1</v>
      </c>
      <c r="AD87" s="355" t="e">
        <f ca="1">_xll.qlVanillaSwapFairRate(AB87,AC87)</f>
        <v>#NUM!</v>
      </c>
      <c r="AE87" s="346" t="s">
        <v>1752</v>
      </c>
      <c r="AF87" s="347">
        <v>10000</v>
      </c>
      <c r="AG87" s="350" t="str">
        <f ca="1">_xll.qlVanillaSwap(,AE87,AF87,R87,AD87,Y87,X87,Z87,,AA87)</f>
        <v>obj_006c2#0000</v>
      </c>
      <c r="AH87" s="347" t="str">
        <f ca="1">_xll.qlEuropeanExercise(,J87)</f>
        <v>obj_002dc#0001</v>
      </c>
      <c r="AI87" s="346" t="s">
        <v>1749</v>
      </c>
      <c r="AJ87" s="356" t="str">
        <f ca="1">_xll.qlSwaption(,AG87,AH87,AI87)</f>
        <v>obj_00768#0001</v>
      </c>
      <c r="AK87" s="357" t="str">
        <f ca="1">_xll.qlConstantSwaptionVolatility(,,H87,I87,F87)</f>
        <v>obj_000a6#0001</v>
      </c>
      <c r="AL87" s="357" t="b">
        <f ca="1">_xll.qlInstrumentSetPricingEngine(AJ87,_xll.qlBachelierBlackSwaptionEngine(,Curve!$S$16,AK87))</f>
        <v>1</v>
      </c>
      <c r="AM87" s="358">
        <f ca="1">_xll.qlInstrumentNPV(AJ87,AL87)*2/_xll.qlYieldTSDiscount(Curve!$S$16,K87)</f>
        <v>519.32422141385723</v>
      </c>
      <c r="AN87" s="358">
        <f ca="1">_xll.qlInstrumentResults(AJ87,"annuity",AL87)</f>
        <v>55297.68064957684</v>
      </c>
      <c r="AO87" s="359">
        <f ca="1">G87/2*_xll.qlYieldTSDiscount(Curve!$S$16,K87)/AN87</f>
        <v>4.8952086063524117E-3</v>
      </c>
      <c r="AP87" s="360" t="e">
        <f ca="1">_xll.qlBachelierBlackFormulaImpliedVol("Call",AD87,AD87,_xll.qlDayCounterYearFraction("Act/365 (Fixed)",C87,J87),AO87)</f>
        <v>#VALUE!</v>
      </c>
      <c r="AQ87" s="361" t="e">
        <f ca="1">_xll.qlBlackFormulaImpliedStdDev("Call",AD87,AD87,AO87)/SQRT(_xll.qlDayCounterYearFraction("Act/365 (Fixed)",C87,J87))</f>
        <v>#VALUE!</v>
      </c>
      <c r="AS87" s="363">
        <v>6.6866148264718046E-3</v>
      </c>
      <c r="AT87" s="363">
        <v>7.0811255249915309E-3</v>
      </c>
      <c r="AU87" s="365">
        <f t="shared" ca="1" si="6"/>
        <v>1.2338517352819458E-4</v>
      </c>
      <c r="AV87" s="365">
        <f t="shared" ca="1" si="7"/>
        <v>-2.7112552499153168E-4</v>
      </c>
    </row>
    <row r="88" spans="2:48">
      <c r="B88" s="348" t="str">
        <f t="shared" ca="1" si="5"/>
        <v>4Yx6Y</v>
      </c>
      <c r="C88" s="345">
        <f t="shared" ca="1" si="4"/>
        <v>42254</v>
      </c>
      <c r="D88" s="346" t="s">
        <v>10</v>
      </c>
      <c r="E88" s="346" t="s">
        <v>12</v>
      </c>
      <c r="F88" s="351">
        <f ca="1">VLOOKUP(F$3&amp;$D88&amp;$E88,'Swaption Volatilities'!$V:$W,2,FALSE)%%</f>
        <v>7.0999999999999995E-3</v>
      </c>
      <c r="G88" s="352">
        <f ca="1">VLOOKUP(G$3&amp;$D88&amp;$E88,'Swaption Volatilities'!$V:$W,2,FALSE)</f>
        <v>646</v>
      </c>
      <c r="H88" s="346" t="s">
        <v>20</v>
      </c>
      <c r="I88" s="346" t="s">
        <v>21</v>
      </c>
      <c r="J88" s="345">
        <f ca="1">_xll.qlCalendarAdvance(H88,C88,D88,I88)</f>
        <v>43717</v>
      </c>
      <c r="K88" s="345">
        <f ca="1">_xll.qlCalendarAdvance(H88,J88,"2d")</f>
        <v>43719</v>
      </c>
      <c r="L88" s="345">
        <f ca="1">_xll.qlCalendarAdvance(H88,K88,E88,"unadjusted")</f>
        <v>45911</v>
      </c>
      <c r="M88" s="346" t="s">
        <v>7</v>
      </c>
      <c r="N88" s="346" t="s">
        <v>20</v>
      </c>
      <c r="O88" s="346" t="s">
        <v>21</v>
      </c>
      <c r="P88" s="346" t="s">
        <v>21</v>
      </c>
      <c r="Q88" s="346" t="s">
        <v>70</v>
      </c>
      <c r="R88" s="353" t="str">
        <f ca="1">_xll.qlSchedule(,K88,L88,M88,N88,O88,P88,Q88)</f>
        <v>obj_00594#0001</v>
      </c>
      <c r="S88" s="346" t="s">
        <v>19</v>
      </c>
      <c r="T88" s="346" t="s">
        <v>20</v>
      </c>
      <c r="U88" s="346" t="s">
        <v>21</v>
      </c>
      <c r="V88" s="346" t="s">
        <v>21</v>
      </c>
      <c r="W88" s="346" t="s">
        <v>70</v>
      </c>
      <c r="X88" s="353" t="str">
        <f ca="1">_xll.qlSchedule(,K88,L88,S88,T88,U88,V88,W88)</f>
        <v>obj_00593#0000</v>
      </c>
      <c r="Y88" s="349" t="s">
        <v>1742</v>
      </c>
      <c r="Z88" s="354" t="s">
        <v>36</v>
      </c>
      <c r="AA88" s="354" t="s">
        <v>1745</v>
      </c>
      <c r="AB88" s="353" t="str">
        <f ca="1">_xll.qlVanillaSwap(,,,R88,,Y88,X88,Z88,,AA88)</f>
        <v>obj_0060a#0001</v>
      </c>
      <c r="AC88" s="353" t="b">
        <f ca="1">_xll.qlInstrumentSetPricingEngine(AB88,_xll.qlDiscountingSwapEngine(,Curve!$S$16))</f>
        <v>1</v>
      </c>
      <c r="AD88" s="355" t="e">
        <f ca="1">_xll.qlVanillaSwapFairRate(AB88,AC88)</f>
        <v>#NUM!</v>
      </c>
      <c r="AE88" s="346" t="s">
        <v>1752</v>
      </c>
      <c r="AF88" s="347">
        <v>10000</v>
      </c>
      <c r="AG88" s="350" t="str">
        <f ca="1">_xll.qlVanillaSwap(,AE88,AF88,R88,AD88,Y88,X88,Z88,,AA88)</f>
        <v>obj_00682#0000</v>
      </c>
      <c r="AH88" s="347" t="str">
        <f ca="1">_xll.qlEuropeanExercise(,J88)</f>
        <v>obj_004ec#0001</v>
      </c>
      <c r="AI88" s="346" t="s">
        <v>1749</v>
      </c>
      <c r="AJ88" s="356" t="str">
        <f ca="1">_xll.qlSwaption(,AG88,AH88,AI88)</f>
        <v>obj_00771#0001</v>
      </c>
      <c r="AK88" s="357" t="str">
        <f ca="1">_xll.qlConstantSwaptionVolatility(,,H88,I88,F88)</f>
        <v>obj_00192#0001</v>
      </c>
      <c r="AL88" s="357" t="b">
        <f ca="1">_xll.qlInstrumentSetPricingEngine(AJ88,_xll.qlBachelierBlackSwaptionEngine(,Curve!$S$16,AK88))</f>
        <v>1</v>
      </c>
      <c r="AM88" s="358">
        <f ca="1">_xll.qlInstrumentNPV(AJ88,AL88)*2/_xll.qlYieldTSDiscount(Curve!$S$16,K88)</f>
        <v>608.54318685457281</v>
      </c>
      <c r="AN88" s="358">
        <f ca="1">_xll.qlInstrumentResults(AJ88,"annuity",AL88)</f>
        <v>53650.742707086159</v>
      </c>
      <c r="AO88" s="359">
        <f ca="1">G88/2*_xll.qlYieldTSDiscount(Curve!$S$16,K88)/AN88</f>
        <v>6.0198443035567872E-3</v>
      </c>
      <c r="AP88" s="360" t="e">
        <f ca="1">_xll.qlBachelierBlackFormulaImpliedVol("Call",AD88,AD88,_xll.qlDayCounterYearFraction("Act/365 (Fixed)",C88,J88),AO88)</f>
        <v>#VALUE!</v>
      </c>
      <c r="AQ88" s="361" t="e">
        <f ca="1">_xll.qlBlackFormulaImpliedStdDev("Call",AD88,AD88,AO88)/SQRT(_xll.qlDayCounterYearFraction("Act/365 (Fixed)",C88,J88))</f>
        <v>#VALUE!</v>
      </c>
      <c r="AS88" s="363">
        <v>6.9927896680118656E-3</v>
      </c>
      <c r="AT88" s="363">
        <v>7.5370164338000954E-3</v>
      </c>
      <c r="AU88" s="365">
        <f t="shared" ca="1" si="6"/>
        <v>1.0721033198813398E-4</v>
      </c>
      <c r="AV88" s="365">
        <f t="shared" ca="1" si="7"/>
        <v>-4.3701643380009581E-4</v>
      </c>
    </row>
    <row r="89" spans="2:48">
      <c r="B89" s="348" t="str">
        <f t="shared" ca="1" si="5"/>
        <v>5Yx6Y</v>
      </c>
      <c r="C89" s="345">
        <f t="shared" ca="1" si="4"/>
        <v>42254</v>
      </c>
      <c r="D89" s="346" t="s">
        <v>11</v>
      </c>
      <c r="E89" s="346" t="s">
        <v>12</v>
      </c>
      <c r="F89" s="351">
        <f ca="1">VLOOKUP(F$3&amp;$D89&amp;$E89,'Swaption Volatilities'!$V:$W,2,FALSE)%%</f>
        <v>7.3000000000000001E-3</v>
      </c>
      <c r="G89" s="352">
        <f ca="1">VLOOKUP(G$3&amp;$D89&amp;$E89,'Swaption Volatilities'!$V:$W,2,FALSE)</f>
        <v>736</v>
      </c>
      <c r="H89" s="346" t="s">
        <v>20</v>
      </c>
      <c r="I89" s="346" t="s">
        <v>21</v>
      </c>
      <c r="J89" s="345">
        <f ca="1">_xll.qlCalendarAdvance(H89,C89,D89,I89)</f>
        <v>44081</v>
      </c>
      <c r="K89" s="345">
        <f ca="1">_xll.qlCalendarAdvance(H89,J89,"2d")</f>
        <v>44083</v>
      </c>
      <c r="L89" s="345">
        <f ca="1">_xll.qlCalendarAdvance(H89,K89,E89,"unadjusted")</f>
        <v>46274</v>
      </c>
      <c r="M89" s="346" t="s">
        <v>7</v>
      </c>
      <c r="N89" s="346" t="s">
        <v>20</v>
      </c>
      <c r="O89" s="346" t="s">
        <v>21</v>
      </c>
      <c r="P89" s="346" t="s">
        <v>21</v>
      </c>
      <c r="Q89" s="346" t="s">
        <v>70</v>
      </c>
      <c r="R89" s="353" t="str">
        <f ca="1">_xll.qlSchedule(,K89,L89,M89,N89,O89,P89,Q89)</f>
        <v>obj_00348#0001</v>
      </c>
      <c r="S89" s="346" t="s">
        <v>19</v>
      </c>
      <c r="T89" s="346" t="s">
        <v>20</v>
      </c>
      <c r="U89" s="346" t="s">
        <v>21</v>
      </c>
      <c r="V89" s="346" t="s">
        <v>21</v>
      </c>
      <c r="W89" s="346" t="s">
        <v>70</v>
      </c>
      <c r="X89" s="353" t="str">
        <f ca="1">_xll.qlSchedule(,K89,L89,S89,T89,U89,V89,W89)</f>
        <v>obj_002e5#0000</v>
      </c>
      <c r="Y89" s="349" t="s">
        <v>1742</v>
      </c>
      <c r="Z89" s="354" t="s">
        <v>36</v>
      </c>
      <c r="AA89" s="354" t="s">
        <v>1745</v>
      </c>
      <c r="AB89" s="353" t="str">
        <f ca="1">_xll.qlVanillaSwap(,,,R89,,Y89,X89,Z89,,AA89)</f>
        <v>obj_004c7#0001</v>
      </c>
      <c r="AC89" s="353" t="b">
        <f ca="1">_xll.qlInstrumentSetPricingEngine(AB89,_xll.qlDiscountingSwapEngine(,Curve!$S$16))</f>
        <v>1</v>
      </c>
      <c r="AD89" s="355" t="e">
        <f ca="1">_xll.qlVanillaSwapFairRate(AB89,AC89)</f>
        <v>#NUM!</v>
      </c>
      <c r="AE89" s="346" t="s">
        <v>1752</v>
      </c>
      <c r="AF89" s="347">
        <v>10000</v>
      </c>
      <c r="AG89" s="350" t="str">
        <f ca="1">_xll.qlVanillaSwap(,AE89,AF89,R89,AD89,Y89,X89,Z89,,AA89)</f>
        <v>obj_0069c#0000</v>
      </c>
      <c r="AH89" s="347" t="str">
        <f ca="1">_xll.qlEuropeanExercise(,J89)</f>
        <v>obj_001db#0001</v>
      </c>
      <c r="AI89" s="346" t="s">
        <v>1749</v>
      </c>
      <c r="AJ89" s="356" t="str">
        <f ca="1">_xll.qlSwaption(,AG89,AH89,AI89)</f>
        <v>obj_0074d#0001</v>
      </c>
      <c r="AK89" s="357" t="str">
        <f ca="1">_xll.qlConstantSwaptionVolatility(,,H89,I89,F89)</f>
        <v>obj_000d6#0001</v>
      </c>
      <c r="AL89" s="357" t="b">
        <f ca="1">_xll.qlInstrumentSetPricingEngine(AJ89,_xll.qlBachelierBlackSwaptionEngine(,Curve!$S$16,AK89))</f>
        <v>1</v>
      </c>
      <c r="AM89" s="358">
        <f ca="1">_xll.qlInstrumentNPV(AJ89,AL89)*2/_xll.qlYieldTSDiscount(Curve!$S$16,K89)</f>
        <v>680.51944612581735</v>
      </c>
      <c r="AN89" s="358">
        <f ca="1">_xll.qlInstrumentResults(AJ89,"annuity",AL89)</f>
        <v>51933.584311919723</v>
      </c>
      <c r="AO89" s="359">
        <f ca="1">G89/2*_xll.qlYieldTSDiscount(Curve!$S$16,K89)/AN89</f>
        <v>7.0468177867820687E-3</v>
      </c>
      <c r="AP89" s="360" t="e">
        <f ca="1">_xll.qlBachelierBlackFormulaImpliedVol("Call",AD89,AD89,_xll.qlDayCounterYearFraction("Act/365 (Fixed)",C89,J89),AO89)</f>
        <v>#VALUE!</v>
      </c>
      <c r="AQ89" s="361" t="e">
        <f ca="1">_xll.qlBlackFormulaImpliedStdDev("Call",AD89,AD89,AO89)/SQRT(_xll.qlDayCounterYearFraction("Act/365 (Fixed)",C89,J89))</f>
        <v>#VALUE!</v>
      </c>
      <c r="AS89" s="363">
        <v>7.1964117573637063E-3</v>
      </c>
      <c r="AT89" s="363">
        <v>7.8951454371909754E-3</v>
      </c>
      <c r="AU89" s="365">
        <f t="shared" ca="1" si="6"/>
        <v>1.0358824263629381E-4</v>
      </c>
      <c r="AV89" s="365">
        <f t="shared" ca="1" si="7"/>
        <v>-5.9514543719097531E-4</v>
      </c>
    </row>
    <row r="90" spans="2:48">
      <c r="B90" s="348" t="str">
        <f t="shared" ca="1" si="5"/>
        <v>7Yx6Y</v>
      </c>
      <c r="C90" s="345">
        <f t="shared" ca="1" si="4"/>
        <v>42254</v>
      </c>
      <c r="D90" s="346" t="s">
        <v>13</v>
      </c>
      <c r="E90" s="346" t="s">
        <v>12</v>
      </c>
      <c r="F90" s="351">
        <f ca="1">VLOOKUP(F$3&amp;$D90&amp;$E90,'Swaption Volatilities'!$V:$W,2,FALSE)%%</f>
        <v>7.3900000000000007E-3</v>
      </c>
      <c r="G90" s="352">
        <f ca="1">VLOOKUP(G$3&amp;$D90&amp;$E90,'Swaption Volatilities'!$V:$W,2,FALSE)</f>
        <v>874</v>
      </c>
      <c r="H90" s="346" t="s">
        <v>20</v>
      </c>
      <c r="I90" s="346" t="s">
        <v>21</v>
      </c>
      <c r="J90" s="345">
        <f ca="1">_xll.qlCalendarAdvance(H90,C90,D90,I90)</f>
        <v>44811</v>
      </c>
      <c r="K90" s="345">
        <f ca="1">_xll.qlCalendarAdvance(H90,J90,"2d")</f>
        <v>44813</v>
      </c>
      <c r="L90" s="345">
        <f ca="1">_xll.qlCalendarAdvance(H90,K90,E90,"unadjusted")</f>
        <v>47005</v>
      </c>
      <c r="M90" s="346" t="s">
        <v>7</v>
      </c>
      <c r="N90" s="346" t="s">
        <v>20</v>
      </c>
      <c r="O90" s="346" t="s">
        <v>21</v>
      </c>
      <c r="P90" s="346" t="s">
        <v>21</v>
      </c>
      <c r="Q90" s="346" t="s">
        <v>70</v>
      </c>
      <c r="R90" s="353" t="str">
        <f ca="1">_xll.qlSchedule(,K90,L90,M90,N90,O90,P90,Q90)</f>
        <v>obj_005f0#0001</v>
      </c>
      <c r="S90" s="346" t="s">
        <v>19</v>
      </c>
      <c r="T90" s="346" t="s">
        <v>20</v>
      </c>
      <c r="U90" s="346" t="s">
        <v>21</v>
      </c>
      <c r="V90" s="346" t="s">
        <v>21</v>
      </c>
      <c r="W90" s="346" t="s">
        <v>70</v>
      </c>
      <c r="X90" s="353" t="str">
        <f ca="1">_xll.qlSchedule(,K90,L90,S90,T90,U90,V90,W90)</f>
        <v>obj_005f1#0001</v>
      </c>
      <c r="Y90" s="349" t="s">
        <v>1742</v>
      </c>
      <c r="Z90" s="354" t="s">
        <v>36</v>
      </c>
      <c r="AA90" s="354" t="s">
        <v>1745</v>
      </c>
      <c r="AB90" s="353" t="str">
        <f ca="1">_xll.qlVanillaSwap(,,,R90,,Y90,X90,Z90,,AA90)</f>
        <v>obj_0062b#0001</v>
      </c>
      <c r="AC90" s="353" t="b">
        <f ca="1">_xll.qlInstrumentSetPricingEngine(AB90,_xll.qlDiscountingSwapEngine(,Curve!$S$16))</f>
        <v>1</v>
      </c>
      <c r="AD90" s="355" t="e">
        <f ca="1">_xll.qlVanillaSwapFairRate(AB90,AC90)</f>
        <v>#NUM!</v>
      </c>
      <c r="AE90" s="346" t="s">
        <v>1752</v>
      </c>
      <c r="AF90" s="347">
        <v>10000</v>
      </c>
      <c r="AG90" s="350" t="str">
        <f ca="1">_xll.qlVanillaSwap(,AE90,AF90,R90,AD90,Y90,X90,Z90,,AA90)</f>
        <v>obj_006b3#0000</v>
      </c>
      <c r="AH90" s="347" t="str">
        <f ca="1">_xll.qlEuropeanExercise(,J90)</f>
        <v>obj_004be#0001</v>
      </c>
      <c r="AI90" s="346" t="s">
        <v>1749</v>
      </c>
      <c r="AJ90" s="356" t="str">
        <f ca="1">_xll.qlSwaption(,AG90,AH90,AI90)</f>
        <v>obj_0074a#0001</v>
      </c>
      <c r="AK90" s="357" t="str">
        <f ca="1">_xll.qlConstantSwaptionVolatility(,,H90,I90,F90)</f>
        <v>obj_003c9#0001</v>
      </c>
      <c r="AL90" s="357" t="b">
        <f ca="1">_xll.qlInstrumentSetPricingEngine(AJ90,_xll.qlBachelierBlackSwaptionEngine(,Curve!$S$16,AK90))</f>
        <v>1</v>
      </c>
      <c r="AM90" s="358">
        <f ca="1">_xll.qlInstrumentNPV(AJ90,AL90)*2/_xll.qlYieldTSDiscount(Curve!$S$16,K90)</f>
        <v>781.86971715333857</v>
      </c>
      <c r="AN90" s="358">
        <f ca="1">_xll.qlInstrumentResults(AJ90,"annuity",AL90)</f>
        <v>48776.254161246827</v>
      </c>
      <c r="AO90" s="359">
        <f ca="1">G90/2*_xll.qlYieldTSDiscount(Curve!$S$16,K90)/AN90</f>
        <v>8.7226907599039141E-3</v>
      </c>
      <c r="AP90" s="360" t="e">
        <f ca="1">_xll.qlBachelierBlackFormulaImpliedVol("Call",AD90,AD90,_xll.qlDayCounterYearFraction("Act/365 (Fixed)",C90,J90),AO90)</f>
        <v>#VALUE!</v>
      </c>
      <c r="AQ90" s="361" t="e">
        <f ca="1">_xll.qlBlackFormulaImpliedStdDev("Call",AD90,AD90,AO90)/SQRT(_xll.qlDayCounterYearFraction("Act/365 (Fixed)",C90,J90))</f>
        <v>#VALUE!</v>
      </c>
      <c r="AS90" s="363">
        <v>7.3159338784565282E-3</v>
      </c>
      <c r="AT90" s="363">
        <v>8.2607880293863734E-3</v>
      </c>
      <c r="AU90" s="365">
        <f t="shared" ca="1" si="6"/>
        <v>7.4066121543472571E-5</v>
      </c>
      <c r="AV90" s="365">
        <f t="shared" ca="1" si="7"/>
        <v>-8.7078802938637262E-4</v>
      </c>
    </row>
    <row r="91" spans="2:48">
      <c r="B91" s="348" t="str">
        <f t="shared" ca="1" si="5"/>
        <v>10Yx6Y</v>
      </c>
      <c r="C91" s="345">
        <f t="shared" ca="1" si="4"/>
        <v>42254</v>
      </c>
      <c r="D91" s="346" t="s">
        <v>16</v>
      </c>
      <c r="E91" s="346" t="s">
        <v>12</v>
      </c>
      <c r="F91" s="351">
        <f ca="1">VLOOKUP(F$3&amp;$D91&amp;$E91,'Swaption Volatilities'!$V:$W,2,FALSE)%%</f>
        <v>7.3200000000000001E-3</v>
      </c>
      <c r="G91" s="352">
        <f ca="1">VLOOKUP(G$3&amp;$D91&amp;$E91,'Swaption Volatilities'!$V:$W,2,FALSE)</f>
        <v>1029</v>
      </c>
      <c r="H91" s="346" t="s">
        <v>20</v>
      </c>
      <c r="I91" s="346" t="s">
        <v>21</v>
      </c>
      <c r="J91" s="345">
        <f ca="1">_xll.qlCalendarAdvance(H91,C91,D91,I91)</f>
        <v>45908</v>
      </c>
      <c r="K91" s="345">
        <f ca="1">_xll.qlCalendarAdvance(H91,J91,"2d")</f>
        <v>45910</v>
      </c>
      <c r="L91" s="345">
        <f ca="1">_xll.qlCalendarAdvance(H91,K91,E91,"unadjusted")</f>
        <v>48101</v>
      </c>
      <c r="M91" s="346" t="s">
        <v>7</v>
      </c>
      <c r="N91" s="346" t="s">
        <v>20</v>
      </c>
      <c r="O91" s="346" t="s">
        <v>21</v>
      </c>
      <c r="P91" s="346" t="s">
        <v>21</v>
      </c>
      <c r="Q91" s="346" t="s">
        <v>70</v>
      </c>
      <c r="R91" s="353" t="str">
        <f ca="1">_xll.qlSchedule(,K91,L91,M91,N91,O91,P91,Q91)</f>
        <v>obj_004b5#0001</v>
      </c>
      <c r="S91" s="346" t="s">
        <v>19</v>
      </c>
      <c r="T91" s="346" t="s">
        <v>20</v>
      </c>
      <c r="U91" s="346" t="s">
        <v>21</v>
      </c>
      <c r="V91" s="346" t="s">
        <v>21</v>
      </c>
      <c r="W91" s="346" t="s">
        <v>70</v>
      </c>
      <c r="X91" s="353" t="str">
        <f ca="1">_xll.qlSchedule(,K91,L91,S91,T91,U91,V91,W91)</f>
        <v>obj_004b6#0001</v>
      </c>
      <c r="Y91" s="349" t="s">
        <v>1742</v>
      </c>
      <c r="Z91" s="354" t="s">
        <v>36</v>
      </c>
      <c r="AA91" s="354" t="s">
        <v>1745</v>
      </c>
      <c r="AB91" s="353" t="str">
        <f ca="1">_xll.qlVanillaSwap(,,,R91,,Y91,X91,Z91,,AA91)</f>
        <v>obj_0056f#0001</v>
      </c>
      <c r="AC91" s="353" t="b">
        <f ca="1">_xll.qlInstrumentSetPricingEngine(AB91,_xll.qlDiscountingSwapEngine(,Curve!$S$16))</f>
        <v>1</v>
      </c>
      <c r="AD91" s="355" t="e">
        <f ca="1">_xll.qlVanillaSwapFairRate(AB91,AC91)</f>
        <v>#NUM!</v>
      </c>
      <c r="AE91" s="346" t="s">
        <v>1752</v>
      </c>
      <c r="AF91" s="347">
        <v>10000</v>
      </c>
      <c r="AG91" s="350" t="str">
        <f ca="1">_xll.qlVanillaSwap(,AE91,AF91,R91,AD91,Y91,X91,Z91,,AA91)</f>
        <v>obj_00692#0000</v>
      </c>
      <c r="AH91" s="347" t="str">
        <f ca="1">_xll.qlEuropeanExercise(,J91)</f>
        <v>obj_001de#0001</v>
      </c>
      <c r="AI91" s="346" t="s">
        <v>1749</v>
      </c>
      <c r="AJ91" s="356" t="str">
        <f ca="1">_xll.qlSwaption(,AG91,AH91,AI91)</f>
        <v>obj_007b0#0001</v>
      </c>
      <c r="AK91" s="357" t="str">
        <f ca="1">_xll.qlConstantSwaptionVolatility(,,H91,I91,F91)</f>
        <v>obj_000a5#0001</v>
      </c>
      <c r="AL91" s="357" t="b">
        <f ca="1">_xll.qlInstrumentSetPricingEngine(AJ91,_xll.qlBachelierBlackSwaptionEngine(,Curve!$S$16,AK91))</f>
        <v>1</v>
      </c>
      <c r="AM91" s="358">
        <f ca="1">_xll.qlInstrumentNPV(AJ91,AL91)*2/_xll.qlYieldTSDiscount(Curve!$S$16,K91)</f>
        <v>898.62044285537729</v>
      </c>
      <c r="AN91" s="358">
        <f ca="1">_xll.qlInstrumentResults(AJ91,"annuity",AL91)</f>
        <v>45056.267764320393</v>
      </c>
      <c r="AO91" s="359">
        <f ca="1">G91/2*_xll.qlYieldTSDiscount(Curve!$S$16,K91)/AN91</f>
        <v>1.0580302061203873E-2</v>
      </c>
      <c r="AP91" s="360" t="e">
        <f ca="1">_xll.qlBachelierBlackFormulaImpliedVol("Call",AD91,AD91,_xll.qlDayCounterYearFraction("Act/365 (Fixed)",C91,J91),AO91)</f>
        <v>#VALUE!</v>
      </c>
      <c r="AQ91" s="361" t="e">
        <f ca="1">_xll.qlBlackFormulaImpliedStdDev("Call",AD91,AD91,AO91)/SQRT(_xll.qlDayCounterYearFraction("Act/365 (Fixed)",C91,J91))</f>
        <v>#VALUE!</v>
      </c>
      <c r="AS91" s="363">
        <v>7.2777652798217416E-3</v>
      </c>
      <c r="AT91" s="363">
        <v>8.3820483496526137E-3</v>
      </c>
      <c r="AU91" s="365">
        <f t="shared" ca="1" si="6"/>
        <v>4.2234720178258543E-5</v>
      </c>
      <c r="AV91" s="365">
        <f t="shared" ca="1" si="7"/>
        <v>-1.0620483496526136E-3</v>
      </c>
    </row>
    <row r="92" spans="2:48">
      <c r="B92" s="348" t="str">
        <f t="shared" ca="1" si="5"/>
        <v>15Yx6Y</v>
      </c>
      <c r="C92" s="345">
        <f t="shared" ca="1" si="4"/>
        <v>42254</v>
      </c>
      <c r="D92" s="346" t="s">
        <v>17</v>
      </c>
      <c r="E92" s="346" t="s">
        <v>12</v>
      </c>
      <c r="F92" s="351">
        <f ca="1">VLOOKUP(F$3&amp;$D92&amp;$E92,'Swaption Volatilities'!$V:$W,2,FALSE)%%</f>
        <v>6.9900000000000006E-3</v>
      </c>
      <c r="G92" s="352">
        <f ca="1">VLOOKUP(G$3&amp;$D92&amp;$E92,'Swaption Volatilities'!$V:$W,2,FALSE)</f>
        <v>1210</v>
      </c>
      <c r="H92" s="346" t="s">
        <v>20</v>
      </c>
      <c r="I92" s="346" t="s">
        <v>21</v>
      </c>
      <c r="J92" s="345">
        <f ca="1">_xll.qlCalendarAdvance(H92,C92,D92,I92)</f>
        <v>47735</v>
      </c>
      <c r="K92" s="345">
        <f ca="1">_xll.qlCalendarAdvance(H92,J92,"2d")</f>
        <v>47737</v>
      </c>
      <c r="L92" s="345">
        <f ca="1">_xll.qlCalendarAdvance(H92,K92,E92,"unadjusted")</f>
        <v>49929</v>
      </c>
      <c r="M92" s="346" t="s">
        <v>7</v>
      </c>
      <c r="N92" s="346" t="s">
        <v>20</v>
      </c>
      <c r="O92" s="346" t="s">
        <v>21</v>
      </c>
      <c r="P92" s="346" t="s">
        <v>21</v>
      </c>
      <c r="Q92" s="346" t="s">
        <v>70</v>
      </c>
      <c r="R92" s="353" t="str">
        <f ca="1">_xll.qlSchedule(,K92,L92,M92,N92,O92,P92,Q92)</f>
        <v>obj_00286#0000</v>
      </c>
      <c r="S92" s="346" t="s">
        <v>19</v>
      </c>
      <c r="T92" s="346" t="s">
        <v>20</v>
      </c>
      <c r="U92" s="346" t="s">
        <v>21</v>
      </c>
      <c r="V92" s="346" t="s">
        <v>21</v>
      </c>
      <c r="W92" s="346" t="s">
        <v>70</v>
      </c>
      <c r="X92" s="353" t="str">
        <f ca="1">_xll.qlSchedule(,K92,L92,S92,T92,U92,V92,W92)</f>
        <v>obj_00450#0001</v>
      </c>
      <c r="Y92" s="349" t="s">
        <v>1742</v>
      </c>
      <c r="Z92" s="354" t="s">
        <v>36</v>
      </c>
      <c r="AA92" s="354" t="s">
        <v>1745</v>
      </c>
      <c r="AB92" s="353" t="str">
        <f ca="1">_xll.qlVanillaSwap(,,,R92,,Y92,X92,Z92,,AA92)</f>
        <v>obj_00451#0000</v>
      </c>
      <c r="AC92" s="353" t="b">
        <f ca="1">_xll.qlInstrumentSetPricingEngine(AB92,_xll.qlDiscountingSwapEngine(,Curve!$S$16))</f>
        <v>1</v>
      </c>
      <c r="AD92" s="355" t="e">
        <f ca="1">_xll.qlVanillaSwapFairRate(AB92,AC92)</f>
        <v>#NUM!</v>
      </c>
      <c r="AE92" s="346" t="s">
        <v>1752</v>
      </c>
      <c r="AF92" s="347">
        <v>10000</v>
      </c>
      <c r="AG92" s="350" t="e">
        <f ca="1">_xll.qlVanillaSwap(,AE92,AF92,R92,AD92,Y92,X92,Z92,,AA92)</f>
        <v>#NUM!</v>
      </c>
      <c r="AH92" s="347" t="str">
        <f ca="1">_xll.qlEuropeanExercise(,J92)</f>
        <v>obj_001ac#0001</v>
      </c>
      <c r="AI92" s="346" t="s">
        <v>1749</v>
      </c>
      <c r="AJ92" s="356" t="e">
        <f ca="1">_xll.qlSwaption(,AG92,AH92,AI92)</f>
        <v>#VALUE!</v>
      </c>
      <c r="AK92" s="357" t="str">
        <f ca="1">_xll.qlConstantSwaptionVolatility(,,H92,I92,F92)</f>
        <v>obj_00332#0001</v>
      </c>
      <c r="AL92" s="357" t="e">
        <f ca="1">_xll.qlInstrumentSetPricingEngine(AJ92,_xll.qlBachelierBlackSwaptionEngine(,Curve!$S$16,AK92))</f>
        <v>#VALUE!</v>
      </c>
      <c r="AM92" s="358" t="e">
        <f ca="1">_xll.qlInstrumentNPV(AJ92,AL92)*2/_xll.qlYieldTSDiscount(Curve!$S$16,K92)</f>
        <v>#VALUE!</v>
      </c>
      <c r="AN92" s="358" t="e">
        <f ca="1">_xll.qlInstrumentResults(AJ92,"annuity",AL92)</f>
        <v>#VALUE!</v>
      </c>
      <c r="AO92" s="359" t="e">
        <f ca="1">G92/2*_xll.qlYieldTSDiscount(Curve!$S$16,K92)/AN92</f>
        <v>#VALUE!</v>
      </c>
      <c r="AP92" s="360" t="e">
        <f ca="1">_xll.qlBachelierBlackFormulaImpliedVol("Call",AD92,AD92,_xll.qlDayCounterYearFraction("Act/365 (Fixed)",C92,J92),AO92)</f>
        <v>#VALUE!</v>
      </c>
      <c r="AQ92" s="361" t="e">
        <f ca="1">_xll.qlBlackFormulaImpliedStdDev("Call",AD92,AD92,AO92)/SQRT(_xll.qlDayCounterYearFraction("Act/365 (Fixed)",C92,J92))</f>
        <v>#VALUE!</v>
      </c>
      <c r="AS92" s="363">
        <v>6.9734502677057889E-3</v>
      </c>
      <c r="AT92" s="363">
        <v>7.8679705281758071E-3</v>
      </c>
      <c r="AU92" s="365">
        <f t="shared" ca="1" si="6"/>
        <v>1.6549732294211632E-5</v>
      </c>
      <c r="AV92" s="365">
        <f t="shared" ca="1" si="7"/>
        <v>-8.7797052817580653E-4</v>
      </c>
    </row>
    <row r="93" spans="2:48">
      <c r="B93" s="348" t="str">
        <f t="shared" ca="1" si="5"/>
        <v>20Yx6Y</v>
      </c>
      <c r="C93" s="345">
        <f t="shared" ca="1" si="4"/>
        <v>42254</v>
      </c>
      <c r="D93" s="346" t="s">
        <v>104</v>
      </c>
      <c r="E93" s="346" t="s">
        <v>12</v>
      </c>
      <c r="F93" s="351">
        <f ca="1">VLOOKUP(F$3&amp;$D93&amp;$E93,'Swaption Volatilities'!$V:$W,2,FALSE)%%</f>
        <v>6.5500000000000003E-3</v>
      </c>
      <c r="G93" s="352">
        <f ca="1">VLOOKUP(G$3&amp;$D93&amp;$E93,'Swaption Volatilities'!$V:$W,2,FALSE)</f>
        <v>1323</v>
      </c>
      <c r="H93" s="346" t="s">
        <v>20</v>
      </c>
      <c r="I93" s="346" t="s">
        <v>21</v>
      </c>
      <c r="J93" s="345">
        <f ca="1">_xll.qlCalendarAdvance(H93,C93,D93,I93)</f>
        <v>49559</v>
      </c>
      <c r="K93" s="345">
        <f ca="1">_xll.qlCalendarAdvance(H93,J93,"2d")</f>
        <v>49563</v>
      </c>
      <c r="L93" s="345">
        <f ca="1">_xll.qlCalendarAdvance(H93,K93,E93,"unadjusted")</f>
        <v>51755</v>
      </c>
      <c r="M93" s="346" t="s">
        <v>7</v>
      </c>
      <c r="N93" s="346" t="s">
        <v>20</v>
      </c>
      <c r="O93" s="346" t="s">
        <v>21</v>
      </c>
      <c r="P93" s="346" t="s">
        <v>21</v>
      </c>
      <c r="Q93" s="346" t="s">
        <v>70</v>
      </c>
      <c r="R93" s="353" t="str">
        <f ca="1">_xll.qlSchedule(,K93,L93,M93,N93,O93,P93,Q93)</f>
        <v>obj_00423#0001</v>
      </c>
      <c r="S93" s="346" t="s">
        <v>19</v>
      </c>
      <c r="T93" s="346" t="s">
        <v>20</v>
      </c>
      <c r="U93" s="346" t="s">
        <v>21</v>
      </c>
      <c r="V93" s="346" t="s">
        <v>21</v>
      </c>
      <c r="W93" s="346" t="s">
        <v>70</v>
      </c>
      <c r="X93" s="353" t="str">
        <f ca="1">_xll.qlSchedule(,K93,L93,S93,T93,U93,V93,W93)</f>
        <v>obj_001f8#0000</v>
      </c>
      <c r="Y93" s="349" t="s">
        <v>1742</v>
      </c>
      <c r="Z93" s="354" t="s">
        <v>36</v>
      </c>
      <c r="AA93" s="354" t="s">
        <v>1745</v>
      </c>
      <c r="AB93" s="353" t="str">
        <f ca="1">_xll.qlVanillaSwap(,,,R93,,Y93,X93,Z93,,AA93)</f>
        <v>obj_00519#0001</v>
      </c>
      <c r="AC93" s="353" t="b">
        <f ca="1">_xll.qlInstrumentSetPricingEngine(AB93,_xll.qlDiscountingSwapEngine(,Curve!$S$16))</f>
        <v>1</v>
      </c>
      <c r="AD93" s="355" t="e">
        <f ca="1">_xll.qlVanillaSwapFairRate(AB93,AC93)</f>
        <v>#NUM!</v>
      </c>
      <c r="AE93" s="346" t="s">
        <v>1752</v>
      </c>
      <c r="AF93" s="347">
        <v>10000</v>
      </c>
      <c r="AG93" s="350" t="e">
        <f ca="1">_xll.qlVanillaSwap(,AE93,AF93,R93,AD93,Y93,X93,Z93,,AA93)</f>
        <v>#NUM!</v>
      </c>
      <c r="AH93" s="347" t="str">
        <f ca="1">_xll.qlEuropeanExercise(,J93)</f>
        <v>obj_002df#0001</v>
      </c>
      <c r="AI93" s="346" t="s">
        <v>1749</v>
      </c>
      <c r="AJ93" s="356" t="e">
        <f ca="1">_xll.qlSwaption(,AG93,AH93,AI93)</f>
        <v>#VALUE!</v>
      </c>
      <c r="AK93" s="357" t="str">
        <f ca="1">_xll.qlConstantSwaptionVolatility(,,H93,I93,F93)</f>
        <v>obj_0010b#0001</v>
      </c>
      <c r="AL93" s="357" t="e">
        <f ca="1">_xll.qlInstrumentSetPricingEngine(AJ93,_xll.qlBachelierBlackSwaptionEngine(,Curve!$S$16,AK93))</f>
        <v>#VALUE!</v>
      </c>
      <c r="AM93" s="358" t="e">
        <f ca="1">_xll.qlInstrumentNPV(AJ93,AL93)*2/_xll.qlYieldTSDiscount(Curve!$S$16,K93)</f>
        <v>#VALUE!</v>
      </c>
      <c r="AN93" s="358" t="e">
        <f ca="1">_xll.qlInstrumentResults(AJ93,"annuity",AL93)</f>
        <v>#VALUE!</v>
      </c>
      <c r="AO93" s="359" t="e">
        <f ca="1">G93/2*_xll.qlYieldTSDiscount(Curve!$S$16,K93)/AN93</f>
        <v>#VALUE!</v>
      </c>
      <c r="AP93" s="360" t="e">
        <f ca="1">_xll.qlBachelierBlackFormulaImpliedVol("Call",AD93,AD93,_xll.qlDayCounterYearFraction("Act/365 (Fixed)",C93,J93),AO93)</f>
        <v>#VALUE!</v>
      </c>
      <c r="AQ93" s="361" t="e">
        <f ca="1">_xll.qlBlackFormulaImpliedStdDev("Call",AD93,AD93,AO93)/SQRT(_xll.qlDayCounterYearFraction("Act/365 (Fixed)",C93,J93))</f>
        <v>#VALUE!</v>
      </c>
      <c r="AS93" s="363">
        <v>6.5408492593674447E-3</v>
      </c>
      <c r="AT93" s="363">
        <v>6.9485715752840025E-3</v>
      </c>
      <c r="AU93" s="365">
        <f t="shared" ca="1" si="6"/>
        <v>9.1507406325555887E-6</v>
      </c>
      <c r="AV93" s="365">
        <f t="shared" ca="1" si="7"/>
        <v>-3.985715752840022E-4</v>
      </c>
    </row>
    <row r="94" spans="2:48">
      <c r="B94" s="348" t="str">
        <f t="shared" ca="1" si="5"/>
        <v>1Mx7Y</v>
      </c>
      <c r="C94" s="345">
        <f t="shared" ca="1" si="4"/>
        <v>42254</v>
      </c>
      <c r="D94" s="346" t="s">
        <v>23</v>
      </c>
      <c r="E94" s="346" t="s">
        <v>13</v>
      </c>
      <c r="F94" s="351">
        <f ca="1">VLOOKUP(F$3&amp;$D94&amp;$E94,'Swaption Volatilities'!$V:$W,2,FALSE)%%</f>
        <v>5.1800000000000006E-3</v>
      </c>
      <c r="G94" s="352">
        <f ca="1">VLOOKUP(G$3&amp;$D94&amp;$E94,'Swaption Volatilities'!$V:$W,2,FALSE)</f>
        <v>81</v>
      </c>
      <c r="H94" s="346" t="s">
        <v>20</v>
      </c>
      <c r="I94" s="346" t="s">
        <v>21</v>
      </c>
      <c r="J94" s="345">
        <f ca="1">_xll.qlCalendarAdvance(H94,C94,D94,I94)</f>
        <v>42284</v>
      </c>
      <c r="K94" s="345">
        <f ca="1">_xll.qlCalendarAdvance(H94,J94,"2d")</f>
        <v>42286</v>
      </c>
      <c r="L94" s="345">
        <f ca="1">_xll.qlCalendarAdvance(H94,K94,E94,"unadjusted")</f>
        <v>44843</v>
      </c>
      <c r="M94" s="346" t="s">
        <v>7</v>
      </c>
      <c r="N94" s="346" t="s">
        <v>20</v>
      </c>
      <c r="O94" s="346" t="s">
        <v>21</v>
      </c>
      <c r="P94" s="346" t="s">
        <v>21</v>
      </c>
      <c r="Q94" s="346" t="s">
        <v>70</v>
      </c>
      <c r="R94" s="353" t="str">
        <f ca="1">_xll.qlSchedule(,K94,L94,M94,N94,O94,P94,Q94)</f>
        <v>obj_005e6#0001</v>
      </c>
      <c r="S94" s="346" t="s">
        <v>19</v>
      </c>
      <c r="T94" s="346" t="s">
        <v>20</v>
      </c>
      <c r="U94" s="346" t="s">
        <v>21</v>
      </c>
      <c r="V94" s="346" t="s">
        <v>21</v>
      </c>
      <c r="W94" s="346" t="s">
        <v>70</v>
      </c>
      <c r="X94" s="353" t="str">
        <f ca="1">_xll.qlSchedule(,K94,L94,S94,T94,U94,V94,W94)</f>
        <v>obj_005e7#0001</v>
      </c>
      <c r="Y94" s="349" t="s">
        <v>1742</v>
      </c>
      <c r="Z94" s="354" t="s">
        <v>36</v>
      </c>
      <c r="AA94" s="354" t="s">
        <v>1745</v>
      </c>
      <c r="AB94" s="353" t="str">
        <f ca="1">_xll.qlVanillaSwap(,,,R94,,Y94,X94,Z94,,AA94)</f>
        <v>obj_00628#0001</v>
      </c>
      <c r="AC94" s="353" t="b">
        <f ca="1">_xll.qlInstrumentSetPricingEngine(AB94,_xll.qlDiscountingSwapEngine(,Curve!$S$16))</f>
        <v>1</v>
      </c>
      <c r="AD94" s="355" t="e">
        <f ca="1">_xll.qlVanillaSwapFairRate(AB94,AC94)</f>
        <v>#NUM!</v>
      </c>
      <c r="AE94" s="346" t="s">
        <v>1752</v>
      </c>
      <c r="AF94" s="347">
        <v>10000</v>
      </c>
      <c r="AG94" s="350" t="str">
        <f ca="1">_xll.qlVanillaSwap(,AE94,AF94,R94,AD94,Y94,X94,Z94,,AA94)</f>
        <v>obj_0067c#0000</v>
      </c>
      <c r="AH94" s="347" t="str">
        <f ca="1">_xll.qlEuropeanExercise(,J94)</f>
        <v>obj_0049d#0001</v>
      </c>
      <c r="AI94" s="346" t="s">
        <v>1749</v>
      </c>
      <c r="AJ94" s="356" t="str">
        <f ca="1">_xll.qlSwaption(,AG94,AH94,AI94)</f>
        <v>obj_00752#0001</v>
      </c>
      <c r="AK94" s="357" t="str">
        <f ca="1">_xll.qlConstantSwaptionVolatility(,,H94,I94,F94)</f>
        <v>obj_000d5#0001</v>
      </c>
      <c r="AL94" s="357" t="b">
        <f ca="1">_xll.qlInstrumentSetPricingEngine(AJ94,_xll.qlBachelierBlackSwaptionEngine(,Curve!$S$16,AK94))</f>
        <v>1</v>
      </c>
      <c r="AM94" s="358">
        <f ca="1">_xll.qlInstrumentNPV(AJ94,AL94)*2/_xll.qlYieldTSDiscount(Curve!$S$16,K94)</f>
        <v>80.798828520775501</v>
      </c>
      <c r="AN94" s="358">
        <f ca="1">_xll.qlInstrumentResults(AJ94,"annuity",AL94)</f>
        <v>68197.945452672051</v>
      </c>
      <c r="AO94" s="359">
        <f ca="1">G94/2*_xll.qlYieldTSDiscount(Curve!$S$16,K94)/AN94</f>
        <v>5.9392823991712216E-4</v>
      </c>
      <c r="AP94" s="360" t="e">
        <f ca="1">_xll.qlBachelierBlackFormulaImpliedVol("Call",AD94,AD94,_xll.qlDayCounterYearFraction("Act/365 (Fixed)",C94,J94),AO94)</f>
        <v>#VALUE!</v>
      </c>
      <c r="AQ94" s="361" t="e">
        <f ca="1">_xll.qlBlackFormulaImpliedStdDev("Call",AD94,AD94,AO94)/SQRT(_xll.qlDayCounterYearFraction("Act/365 (Fixed)",C94,J94))</f>
        <v>#VALUE!</v>
      </c>
      <c r="AS94" s="363">
        <v>5.0881070056709105E-3</v>
      </c>
      <c r="AT94" s="363">
        <v>5.1928970714235608E-3</v>
      </c>
      <c r="AU94" s="365">
        <f t="shared" ca="1" si="6"/>
        <v>9.1892994329090087E-5</v>
      </c>
      <c r="AV94" s="365">
        <f t="shared" ca="1" si="7"/>
        <v>-1.2897071423560204E-5</v>
      </c>
    </row>
    <row r="95" spans="2:48">
      <c r="B95" s="348" t="str">
        <f t="shared" ca="1" si="5"/>
        <v>2Mx7Y</v>
      </c>
      <c r="C95" s="345">
        <f t="shared" ca="1" si="4"/>
        <v>42254</v>
      </c>
      <c r="D95" s="346" t="s">
        <v>398</v>
      </c>
      <c r="E95" s="346" t="s">
        <v>13</v>
      </c>
      <c r="F95" s="351">
        <f ca="1">VLOOKUP(F$3&amp;$D95&amp;$E95,'Swaption Volatilities'!$V:$W,2,FALSE)%%</f>
        <v>5.2700000000000004E-3</v>
      </c>
      <c r="G95" s="352">
        <f ca="1">VLOOKUP(G$3&amp;$D95&amp;$E95,'Swaption Volatilities'!$V:$W,2,FALSE)</f>
        <v>119</v>
      </c>
      <c r="H95" s="346" t="s">
        <v>20</v>
      </c>
      <c r="I95" s="346" t="s">
        <v>21</v>
      </c>
      <c r="J95" s="345">
        <f ca="1">_xll.qlCalendarAdvance(H95,C95,D95,I95)</f>
        <v>42317</v>
      </c>
      <c r="K95" s="345">
        <f ca="1">_xll.qlCalendarAdvance(H95,J95,"2d")</f>
        <v>42319</v>
      </c>
      <c r="L95" s="345">
        <f ca="1">_xll.qlCalendarAdvance(H95,K95,E95,"unadjusted")</f>
        <v>44876</v>
      </c>
      <c r="M95" s="346" t="s">
        <v>7</v>
      </c>
      <c r="N95" s="346" t="s">
        <v>20</v>
      </c>
      <c r="O95" s="346" t="s">
        <v>21</v>
      </c>
      <c r="P95" s="346" t="s">
        <v>21</v>
      </c>
      <c r="Q95" s="346" t="s">
        <v>70</v>
      </c>
      <c r="R95" s="353" t="str">
        <f ca="1">_xll.qlSchedule(,K95,L95,M95,N95,O95,P95,Q95)</f>
        <v>obj_00500#0001</v>
      </c>
      <c r="S95" s="346" t="s">
        <v>19</v>
      </c>
      <c r="T95" s="346" t="s">
        <v>20</v>
      </c>
      <c r="U95" s="346" t="s">
        <v>21</v>
      </c>
      <c r="V95" s="346" t="s">
        <v>21</v>
      </c>
      <c r="W95" s="346" t="s">
        <v>70</v>
      </c>
      <c r="X95" s="353" t="str">
        <f ca="1">_xll.qlSchedule(,K95,L95,S95,T95,U95,V95,W95)</f>
        <v>obj_00501#0001</v>
      </c>
      <c r="Y95" s="349" t="s">
        <v>1742</v>
      </c>
      <c r="Z95" s="354" t="s">
        <v>36</v>
      </c>
      <c r="AA95" s="354" t="s">
        <v>1745</v>
      </c>
      <c r="AB95" s="353" t="str">
        <f ca="1">_xll.qlVanillaSwap(,,,R95,,Y95,X95,Z95,,AA95)</f>
        <v>obj_005a4#0001</v>
      </c>
      <c r="AC95" s="353" t="b">
        <f ca="1">_xll.qlInstrumentSetPricingEngine(AB95,_xll.qlDiscountingSwapEngine(,Curve!$S$16))</f>
        <v>1</v>
      </c>
      <c r="AD95" s="355" t="e">
        <f ca="1">_xll.qlVanillaSwapFairRate(AB95,AC95)</f>
        <v>#NUM!</v>
      </c>
      <c r="AE95" s="346" t="s">
        <v>1752</v>
      </c>
      <c r="AF95" s="347">
        <v>10000</v>
      </c>
      <c r="AG95" s="350" t="str">
        <f ca="1">_xll.qlVanillaSwap(,AE95,AF95,R95,AD95,Y95,X95,Z95,,AA95)</f>
        <v>obj_00655#0000</v>
      </c>
      <c r="AH95" s="347" t="str">
        <f ca="1">_xll.qlEuropeanExercise(,J95)</f>
        <v>obj_001dd#0001</v>
      </c>
      <c r="AI95" s="346" t="s">
        <v>1749</v>
      </c>
      <c r="AJ95" s="356" t="str">
        <f ca="1">_xll.qlSwaption(,AG95,AH95,AI95)</f>
        <v>obj_00776#0001</v>
      </c>
      <c r="AK95" s="357" t="str">
        <f ca="1">_xll.qlConstantSwaptionVolatility(,,H95,I95,F95)</f>
        <v>obj_000a4#0001</v>
      </c>
      <c r="AL95" s="357" t="b">
        <f ca="1">_xll.qlInstrumentSetPricingEngine(AJ95,_xll.qlBachelierBlackSwaptionEngine(,Curve!$S$16,AK95))</f>
        <v>1</v>
      </c>
      <c r="AM95" s="358">
        <f ca="1">_xll.qlInstrumentNPV(AJ95,AL95)*2/_xll.qlYieldTSDiscount(Curve!$S$16,K95)</f>
        <v>118.89627180309449</v>
      </c>
      <c r="AN95" s="358">
        <f ca="1">_xll.qlInstrumentResults(AJ95,"annuity",AL95)</f>
        <v>68076.531225932136</v>
      </c>
      <c r="AO95" s="359">
        <f ca="1">G95/2*_xll.qlYieldTSDiscount(Curve!$S$16,K95)/AN95</f>
        <v>8.7422505313672805E-4</v>
      </c>
      <c r="AP95" s="360" t="e">
        <f ca="1">_xll.qlBachelierBlackFormulaImpliedVol("Call",AD95,AD95,_xll.qlDayCounterYearFraction("Act/365 (Fixed)",C95,J95),AO95)</f>
        <v>#VALUE!</v>
      </c>
      <c r="AQ95" s="361" t="e">
        <f ca="1">_xll.qlBlackFormulaImpliedStdDev("Call",AD95,AD95,AO95)/SQRT(_xll.qlDayCounterYearFraction("Act/365 (Fixed)",C95,J95))</f>
        <v>#VALUE!</v>
      </c>
      <c r="AS95" s="363">
        <v>5.1633413948388709E-3</v>
      </c>
      <c r="AT95" s="363">
        <v>5.2745976849349081E-3</v>
      </c>
      <c r="AU95" s="365">
        <f t="shared" ca="1" si="6"/>
        <v>1.0665860516112947E-4</v>
      </c>
      <c r="AV95" s="365">
        <f t="shared" ca="1" si="7"/>
        <v>-4.5976849349076837E-6</v>
      </c>
    </row>
    <row r="96" spans="2:48">
      <c r="B96" s="348" t="str">
        <f t="shared" ca="1" si="5"/>
        <v>3Mx7Y</v>
      </c>
      <c r="C96" s="345">
        <f t="shared" ca="1" si="4"/>
        <v>42254</v>
      </c>
      <c r="D96" s="346" t="s">
        <v>26</v>
      </c>
      <c r="E96" s="346" t="s">
        <v>13</v>
      </c>
      <c r="F96" s="351">
        <f ca="1">VLOOKUP(F$3&amp;$D96&amp;$E96,'Swaption Volatilities'!$V:$W,2,FALSE)%%</f>
        <v>5.3200000000000001E-3</v>
      </c>
      <c r="G96" s="352">
        <f ca="1">VLOOKUP(G$3&amp;$D96&amp;$E96,'Swaption Volatilities'!$V:$W,2,FALSE)</f>
        <v>144</v>
      </c>
      <c r="H96" s="346" t="s">
        <v>20</v>
      </c>
      <c r="I96" s="346" t="s">
        <v>21</v>
      </c>
      <c r="J96" s="345">
        <f ca="1">_xll.qlCalendarAdvance(H96,C96,D96,I96)</f>
        <v>42345</v>
      </c>
      <c r="K96" s="345">
        <f ca="1">_xll.qlCalendarAdvance(H96,J96,"2d")</f>
        <v>42347</v>
      </c>
      <c r="L96" s="345">
        <f ca="1">_xll.qlCalendarAdvance(H96,K96,E96,"unadjusted")</f>
        <v>44904</v>
      </c>
      <c r="M96" s="346" t="s">
        <v>7</v>
      </c>
      <c r="N96" s="346" t="s">
        <v>20</v>
      </c>
      <c r="O96" s="346" t="s">
        <v>21</v>
      </c>
      <c r="P96" s="346" t="s">
        <v>21</v>
      </c>
      <c r="Q96" s="346" t="s">
        <v>70</v>
      </c>
      <c r="R96" s="353" t="str">
        <f ca="1">_xll.qlSchedule(,K96,L96,M96,N96,O96,P96,Q96)</f>
        <v>obj_00207#0001</v>
      </c>
      <c r="S96" s="346" t="s">
        <v>19</v>
      </c>
      <c r="T96" s="346" t="s">
        <v>20</v>
      </c>
      <c r="U96" s="346" t="s">
        <v>21</v>
      </c>
      <c r="V96" s="346" t="s">
        <v>21</v>
      </c>
      <c r="W96" s="346" t="s">
        <v>70</v>
      </c>
      <c r="X96" s="353" t="str">
        <f ca="1">_xll.qlSchedule(,K96,L96,S96,T96,U96,V96,W96)</f>
        <v>obj_001f1#0000</v>
      </c>
      <c r="Y96" s="349" t="s">
        <v>1742</v>
      </c>
      <c r="Z96" s="354" t="s">
        <v>36</v>
      </c>
      <c r="AA96" s="354" t="s">
        <v>1745</v>
      </c>
      <c r="AB96" s="353" t="str">
        <f ca="1">_xll.qlVanillaSwap(,,,R96,,Y96,X96,Z96,,AA96)</f>
        <v>obj_00208#0000</v>
      </c>
      <c r="AC96" s="353" t="b">
        <f ca="1">_xll.qlInstrumentSetPricingEngine(AB96,_xll.qlDiscountingSwapEngine(,Curve!$S$16))</f>
        <v>1</v>
      </c>
      <c r="AD96" s="355">
        <f ca="1">_xll.qlVanillaSwapFairRate(AB96,AC96)</f>
        <v>6.8870956999315218E-3</v>
      </c>
      <c r="AE96" s="346" t="s">
        <v>1752</v>
      </c>
      <c r="AF96" s="347">
        <v>10000</v>
      </c>
      <c r="AG96" s="350" t="str">
        <f ca="1">_xll.qlVanillaSwap(,AE96,AF96,R96,AD96,Y96,X96,Z96,,AA96)</f>
        <v>obj_006da#0000</v>
      </c>
      <c r="AH96" s="347" t="str">
        <f ca="1">_xll.qlEuropeanExercise(,J96)</f>
        <v>obj_003d3#0001</v>
      </c>
      <c r="AI96" s="346" t="s">
        <v>1749</v>
      </c>
      <c r="AJ96" s="356" t="str">
        <f ca="1">_xll.qlSwaption(,AG96,AH96,AI96)</f>
        <v>obj_00786#0001</v>
      </c>
      <c r="AK96" s="357" t="str">
        <f ca="1">_xll.qlConstantSwaptionVolatility(,,H96,I96,F96)</f>
        <v>obj_001c6#0001</v>
      </c>
      <c r="AL96" s="357" t="b">
        <f ca="1">_xll.qlInstrumentSetPricingEngine(AJ96,_xll.qlBachelierBlackSwaptionEngine(,Curve!$S$16,AK96))</f>
        <v>1</v>
      </c>
      <c r="AM96" s="358">
        <f ca="1">_xll.qlInstrumentNPV(AJ96,AL96)*2/_xll.qlYieldTSDiscount(Curve!$S$16,K96)</f>
        <v>144.05545742409086</v>
      </c>
      <c r="AN96" s="358">
        <f ca="1">_xll.qlInstrumentResults(AJ96,"annuity",AL96)</f>
        <v>67991.415154490911</v>
      </c>
      <c r="AO96" s="359">
        <f ca="1">G96/2*_xll.qlYieldTSDiscount(Curve!$S$16,K96)/AN96</f>
        <v>1.0593238208901009E-3</v>
      </c>
      <c r="AP96" s="360">
        <f ca="1">_xll.qlBachelierBlackFormulaImpliedVol("Call",AD96,AD96,_xll.qlDayCounterYearFraction("Act/365 (Fixed)",C96,J96),AO96)</f>
        <v>5.3179519450255244E-3</v>
      </c>
      <c r="AQ96" s="361">
        <f ca="1">_xll.qlBlackFormulaImpliedStdDev("Call",AD96,AD96,AO96)/SQRT(_xll.qlDayCounterYearFraction("Act/365 (Fixed)",C96,J96))</f>
        <v>0.77700756335897758</v>
      </c>
      <c r="AS96" s="363">
        <v>5.2014095991659345E-3</v>
      </c>
      <c r="AT96" s="363">
        <v>5.3179519450255244E-3</v>
      </c>
      <c r="AU96" s="365">
        <f t="shared" ca="1" si="6"/>
        <v>1.1859040083406561E-4</v>
      </c>
      <c r="AV96" s="365">
        <f t="shared" ca="1" si="7"/>
        <v>2.0480549744756466E-6</v>
      </c>
    </row>
    <row r="97" spans="2:48">
      <c r="B97" s="348" t="str">
        <f t="shared" ca="1" si="5"/>
        <v>6Mx7Y</v>
      </c>
      <c r="C97" s="345">
        <f t="shared" ca="1" si="4"/>
        <v>42254</v>
      </c>
      <c r="D97" s="346" t="s">
        <v>19</v>
      </c>
      <c r="E97" s="346" t="s">
        <v>13</v>
      </c>
      <c r="F97" s="351">
        <f ca="1">VLOOKUP(F$3&amp;$D97&amp;$E97,'Swaption Volatilities'!$V:$W,2,FALSE)%%</f>
        <v>5.47E-3</v>
      </c>
      <c r="G97" s="352">
        <f ca="1">VLOOKUP(G$3&amp;$D97&amp;$E97,'Swaption Volatilities'!$V:$W,2,FALSE)</f>
        <v>209</v>
      </c>
      <c r="H97" s="346" t="s">
        <v>20</v>
      </c>
      <c r="I97" s="346" t="s">
        <v>21</v>
      </c>
      <c r="J97" s="345">
        <f ca="1">_xll.qlCalendarAdvance(H97,C97,D97,I97)</f>
        <v>42436</v>
      </c>
      <c r="K97" s="345">
        <f ca="1">_xll.qlCalendarAdvance(H97,J97,"2d")</f>
        <v>42438</v>
      </c>
      <c r="L97" s="345">
        <f ca="1">_xll.qlCalendarAdvance(H97,K97,E97,"unadjusted")</f>
        <v>44994</v>
      </c>
      <c r="M97" s="346" t="s">
        <v>7</v>
      </c>
      <c r="N97" s="346" t="s">
        <v>20</v>
      </c>
      <c r="O97" s="346" t="s">
        <v>21</v>
      </c>
      <c r="P97" s="346" t="s">
        <v>21</v>
      </c>
      <c r="Q97" s="346" t="s">
        <v>70</v>
      </c>
      <c r="R97" s="353" t="str">
        <f ca="1">_xll.qlSchedule(,K97,L97,M97,N97,O97,P97,Q97)</f>
        <v>obj_0034a#0001</v>
      </c>
      <c r="S97" s="346" t="s">
        <v>19</v>
      </c>
      <c r="T97" s="346" t="s">
        <v>20</v>
      </c>
      <c r="U97" s="346" t="s">
        <v>21</v>
      </c>
      <c r="V97" s="346" t="s">
        <v>21</v>
      </c>
      <c r="W97" s="346" t="s">
        <v>70</v>
      </c>
      <c r="X97" s="353" t="str">
        <f ca="1">_xll.qlSchedule(,K97,L97,S97,T97,U97,V97,W97)</f>
        <v>obj_003e9#0001</v>
      </c>
      <c r="Y97" s="349" t="s">
        <v>1742</v>
      </c>
      <c r="Z97" s="354" t="s">
        <v>36</v>
      </c>
      <c r="AA97" s="354" t="s">
        <v>1745</v>
      </c>
      <c r="AB97" s="353" t="str">
        <f ca="1">_xll.qlVanillaSwap(,,,R97,,Y97,X97,Z97,,AA97)</f>
        <v>obj_004c9#0001</v>
      </c>
      <c r="AC97" s="353" t="b">
        <f ca="1">_xll.qlInstrumentSetPricingEngine(AB97,_xll.qlDiscountingSwapEngine(,Curve!$S$16))</f>
        <v>1</v>
      </c>
      <c r="AD97" s="355" t="e">
        <f ca="1">_xll.qlVanillaSwapFairRate(AB97,AC97)</f>
        <v>#NUM!</v>
      </c>
      <c r="AE97" s="346" t="s">
        <v>1752</v>
      </c>
      <c r="AF97" s="347">
        <v>10000</v>
      </c>
      <c r="AG97" s="350" t="e">
        <f ca="1">_xll.qlVanillaSwap(,AE97,AF97,R97,AD97,Y97,X97,Z97,,AA97)</f>
        <v>#NUM!</v>
      </c>
      <c r="AH97" s="347" t="str">
        <f ca="1">_xll.qlEuropeanExercise(,J97)</f>
        <v>obj_00446#0001</v>
      </c>
      <c r="AI97" s="346" t="s">
        <v>1749</v>
      </c>
      <c r="AJ97" s="356" t="e">
        <f ca="1">_xll.qlSwaption(,AG97,AH97,AI97)</f>
        <v>#VALUE!</v>
      </c>
      <c r="AK97" s="357" t="str">
        <f ca="1">_xll.qlConstantSwaptionVolatility(,,H97,I97,F97)</f>
        <v>obj_00191#0001</v>
      </c>
      <c r="AL97" s="357" t="e">
        <f ca="1">_xll.qlInstrumentSetPricingEngine(AJ97,_xll.qlBachelierBlackSwaptionEngine(,Curve!$S$16,AK97))</f>
        <v>#VALUE!</v>
      </c>
      <c r="AM97" s="358" t="e">
        <f ca="1">_xll.qlInstrumentNPV(AJ97,AL97)*2/_xll.qlYieldTSDiscount(Curve!$S$16,K97)</f>
        <v>#VALUE!</v>
      </c>
      <c r="AN97" s="358" t="e">
        <f ca="1">_xll.qlInstrumentResults(AJ97,"annuity",AL97)</f>
        <v>#VALUE!</v>
      </c>
      <c r="AO97" s="359" t="e">
        <f ca="1">G97/2*_xll.qlYieldTSDiscount(Curve!$S$16,K97)/AN97</f>
        <v>#VALUE!</v>
      </c>
      <c r="AP97" s="360" t="e">
        <f ca="1">_xll.qlBachelierBlackFormulaImpliedVol("Call",AD97,AD97,_xll.qlDayCounterYearFraction("Act/365 (Fixed)",C97,J97),AO97)</f>
        <v>#VALUE!</v>
      </c>
      <c r="AQ97" s="361" t="e">
        <f ca="1">_xll.qlBlackFormulaImpliedStdDev("Call",AD97,AD97,AO97)/SQRT(_xll.qlDayCounterYearFraction("Act/365 (Fixed)",C97,J97))</f>
        <v>#VALUE!</v>
      </c>
      <c r="AS97" s="363">
        <v>5.3476960873182541E-3</v>
      </c>
      <c r="AT97" s="363">
        <v>5.4831639353101445E-3</v>
      </c>
      <c r="AU97" s="365">
        <f t="shared" ca="1" si="6"/>
        <v>1.2230391268174597E-4</v>
      </c>
      <c r="AV97" s="365">
        <f t="shared" ca="1" si="7"/>
        <v>-1.3163935310144502E-5</v>
      </c>
    </row>
    <row r="98" spans="2:48">
      <c r="B98" s="348" t="str">
        <f t="shared" ca="1" si="5"/>
        <v>9Mx7Y</v>
      </c>
      <c r="C98" s="345">
        <f t="shared" ca="1" si="4"/>
        <v>42254</v>
      </c>
      <c r="D98" s="346" t="s">
        <v>412</v>
      </c>
      <c r="E98" s="346" t="s">
        <v>13</v>
      </c>
      <c r="F98" s="351">
        <f ca="1">VLOOKUP(F$3&amp;$D98&amp;$E98,'Swaption Volatilities'!$V:$W,2,FALSE)%%</f>
        <v>5.5600000000000007E-3</v>
      </c>
      <c r="G98" s="352">
        <f ca="1">VLOOKUP(G$3&amp;$D98&amp;$E98,'Swaption Volatilities'!$V:$W,2,FALSE)</f>
        <v>261</v>
      </c>
      <c r="H98" s="346" t="s">
        <v>20</v>
      </c>
      <c r="I98" s="346" t="s">
        <v>21</v>
      </c>
      <c r="J98" s="345">
        <f ca="1">_xll.qlCalendarAdvance(H98,C98,D98,I98)</f>
        <v>42528</v>
      </c>
      <c r="K98" s="345">
        <f ca="1">_xll.qlCalendarAdvance(H98,J98,"2d")</f>
        <v>42530</v>
      </c>
      <c r="L98" s="345">
        <f ca="1">_xll.qlCalendarAdvance(H98,K98,E98,"unadjusted")</f>
        <v>45086</v>
      </c>
      <c r="M98" s="346" t="s">
        <v>7</v>
      </c>
      <c r="N98" s="346" t="s">
        <v>20</v>
      </c>
      <c r="O98" s="346" t="s">
        <v>21</v>
      </c>
      <c r="P98" s="346" t="s">
        <v>21</v>
      </c>
      <c r="Q98" s="346" t="s">
        <v>70</v>
      </c>
      <c r="R98" s="353" t="str">
        <f ca="1">_xll.qlSchedule(,K98,L98,M98,N98,O98,P98,Q98)</f>
        <v>obj_00388#0001</v>
      </c>
      <c r="S98" s="346" t="s">
        <v>19</v>
      </c>
      <c r="T98" s="346" t="s">
        <v>20</v>
      </c>
      <c r="U98" s="346" t="s">
        <v>21</v>
      </c>
      <c r="V98" s="346" t="s">
        <v>21</v>
      </c>
      <c r="W98" s="346" t="s">
        <v>70</v>
      </c>
      <c r="X98" s="353" t="str">
        <f ca="1">_xll.qlSchedule(,K98,L98,S98,T98,U98,V98,W98)</f>
        <v>obj_003a9#0001</v>
      </c>
      <c r="Y98" s="349" t="s">
        <v>1742</v>
      </c>
      <c r="Z98" s="354" t="s">
        <v>36</v>
      </c>
      <c r="AA98" s="354" t="s">
        <v>1745</v>
      </c>
      <c r="AB98" s="353" t="str">
        <f ca="1">_xll.qlVanillaSwap(,,,R98,,Y98,X98,Z98,,AA98)</f>
        <v>obj_00459#0001</v>
      </c>
      <c r="AC98" s="353" t="b">
        <f ca="1">_xll.qlInstrumentSetPricingEngine(AB98,_xll.qlDiscountingSwapEngine(,Curve!$S$16))</f>
        <v>1</v>
      </c>
      <c r="AD98" s="355" t="e">
        <f ca="1">_xll.qlVanillaSwapFairRate(AB98,AC98)</f>
        <v>#NUM!</v>
      </c>
      <c r="AE98" s="346" t="s">
        <v>1752</v>
      </c>
      <c r="AF98" s="347">
        <v>10000</v>
      </c>
      <c r="AG98" s="350" t="str">
        <f ca="1">_xll.qlVanillaSwap(,AE98,AF98,R98,AD98,Y98,X98,Z98,,AA98)</f>
        <v>obj_006d6#0000</v>
      </c>
      <c r="AH98" s="347" t="str">
        <f ca="1">_xll.qlEuropeanExercise(,J98)</f>
        <v>obj_00336#0001</v>
      </c>
      <c r="AI98" s="346" t="s">
        <v>1749</v>
      </c>
      <c r="AJ98" s="356" t="str">
        <f ca="1">_xll.qlSwaption(,AG98,AH98,AI98)</f>
        <v>obj_00764#0001</v>
      </c>
      <c r="AK98" s="357" t="str">
        <f ca="1">_xll.qlConstantSwaptionVolatility(,,H98,I98,F98)</f>
        <v>obj_002d1#0001</v>
      </c>
      <c r="AL98" s="357" t="b">
        <f ca="1">_xll.qlInstrumentSetPricingEngine(AJ98,_xll.qlBachelierBlackSwaptionEngine(,Curve!$S$16,AK98))</f>
        <v>1</v>
      </c>
      <c r="AM98" s="358">
        <f ca="1">_xll.qlInstrumentNPV(AJ98,AL98)*2/_xll.qlYieldTSDiscount(Curve!$S$16,K98)</f>
        <v>258.71414616565409</v>
      </c>
      <c r="AN98" s="358">
        <f ca="1">_xll.qlInstrumentResults(AJ98,"annuity",AL98)</f>
        <v>67384.377860596651</v>
      </c>
      <c r="AO98" s="359">
        <f ca="1">G98/2*_xll.qlYieldTSDiscount(Curve!$S$16,K98)/AN98</f>
        <v>1.9388045840248141E-3</v>
      </c>
      <c r="AP98" s="360" t="e">
        <f ca="1">_xll.qlBachelierBlackFormulaImpliedVol("Call",AD98,AD98,_xll.qlDayCounterYearFraction("Act/365 (Fixed)",C98,J98),AO98)</f>
        <v>#VALUE!</v>
      </c>
      <c r="AQ98" s="361" t="e">
        <f ca="1">_xll.qlBlackFormulaImpliedStdDev("Call",AD98,AD98,AO98)/SQRT(_xll.qlDayCounterYearFraction("Act/365 (Fixed)",C98,J98))</f>
        <v>#VALUE!</v>
      </c>
      <c r="AS98" s="363">
        <v>5.4536688293465099E-3</v>
      </c>
      <c r="AT98" s="363">
        <v>5.6091250575482981E-3</v>
      </c>
      <c r="AU98" s="365">
        <f t="shared" ca="1" si="6"/>
        <v>1.0633117065349078E-4</v>
      </c>
      <c r="AV98" s="365">
        <f t="shared" ca="1" si="7"/>
        <v>-4.9125057548297414E-5</v>
      </c>
    </row>
    <row r="99" spans="2:48">
      <c r="B99" s="348" t="str">
        <f t="shared" ca="1" si="5"/>
        <v>1Yx7Y</v>
      </c>
      <c r="C99" s="345">
        <f t="shared" ca="1" si="4"/>
        <v>42254</v>
      </c>
      <c r="D99" s="346" t="s">
        <v>7</v>
      </c>
      <c r="E99" s="346" t="s">
        <v>13</v>
      </c>
      <c r="F99" s="351">
        <f ca="1">VLOOKUP(F$3&amp;$D99&amp;$E99,'Swaption Volatilities'!$V:$W,2,FALSE)%%</f>
        <v>5.8700000000000011E-3</v>
      </c>
      <c r="G99" s="352">
        <f ca="1">VLOOKUP(G$3&amp;$D99&amp;$E99,'Swaption Volatilities'!$V:$W,2,FALSE)</f>
        <v>317</v>
      </c>
      <c r="H99" s="346" t="s">
        <v>20</v>
      </c>
      <c r="I99" s="346" t="s">
        <v>21</v>
      </c>
      <c r="J99" s="345">
        <f ca="1">_xll.qlCalendarAdvance(H99,C99,D99,I99)</f>
        <v>42620</v>
      </c>
      <c r="K99" s="345">
        <f ca="1">_xll.qlCalendarAdvance(H99,J99,"2d")</f>
        <v>42622</v>
      </c>
      <c r="L99" s="345">
        <f ca="1">_xll.qlCalendarAdvance(H99,K99,E99,"unadjusted")</f>
        <v>45178</v>
      </c>
      <c r="M99" s="346" t="s">
        <v>7</v>
      </c>
      <c r="N99" s="346" t="s">
        <v>20</v>
      </c>
      <c r="O99" s="346" t="s">
        <v>21</v>
      </c>
      <c r="P99" s="346" t="s">
        <v>21</v>
      </c>
      <c r="Q99" s="346" t="s">
        <v>70</v>
      </c>
      <c r="R99" s="353" t="str">
        <f ca="1">_xll.qlSchedule(,K99,L99,M99,N99,O99,P99,Q99)</f>
        <v>obj_002f8#0001</v>
      </c>
      <c r="S99" s="346" t="s">
        <v>19</v>
      </c>
      <c r="T99" s="346" t="s">
        <v>20</v>
      </c>
      <c r="U99" s="346" t="s">
        <v>21</v>
      </c>
      <c r="V99" s="346" t="s">
        <v>21</v>
      </c>
      <c r="W99" s="346" t="s">
        <v>70</v>
      </c>
      <c r="X99" s="353" t="str">
        <f ca="1">_xll.qlSchedule(,K99,L99,S99,T99,U99,V99,W99)</f>
        <v>obj_00281#0000</v>
      </c>
      <c r="Y99" s="349" t="s">
        <v>1742</v>
      </c>
      <c r="Z99" s="354" t="s">
        <v>36</v>
      </c>
      <c r="AA99" s="354" t="s">
        <v>1745</v>
      </c>
      <c r="AB99" s="353" t="str">
        <f ca="1">_xll.qlVanillaSwap(,,,R99,,Y99,X99,Z99,,AA99)</f>
        <v>obj_00390#0001</v>
      </c>
      <c r="AC99" s="353" t="b">
        <f ca="1">_xll.qlInstrumentSetPricingEngine(AB99,_xll.qlDiscountingSwapEngine(,Curve!$S$16))</f>
        <v>1</v>
      </c>
      <c r="AD99" s="355">
        <f ca="1">_xll.qlVanillaSwapFairRate(AB99,AC99)</f>
        <v>8.6962984837200882E-3</v>
      </c>
      <c r="AE99" s="346" t="s">
        <v>1752</v>
      </c>
      <c r="AF99" s="347">
        <v>10000</v>
      </c>
      <c r="AG99" s="350" t="str">
        <f ca="1">_xll.qlVanillaSwap(,AE99,AF99,R99,AD99,Y99,X99,Z99,,AA99)</f>
        <v>obj_0072f#0001</v>
      </c>
      <c r="AH99" s="347" t="str">
        <f ca="1">_xll.qlEuropeanExercise(,J99)</f>
        <v>obj_001c3#0000</v>
      </c>
      <c r="AI99" s="346" t="s">
        <v>1749</v>
      </c>
      <c r="AJ99" s="356" t="str">
        <f ca="1">_xll.qlSwaption(,AG99,AH99,AI99)</f>
        <v>obj_0079b#0001</v>
      </c>
      <c r="AK99" s="357" t="str">
        <f ca="1">_xll.qlConstantSwaptionVolatility(,,H99,I99,F99)</f>
        <v>obj_000a3#0001</v>
      </c>
      <c r="AL99" s="357" t="b">
        <f ca="1">_xll.qlInstrumentSetPricingEngine(AJ99,_xll.qlBachelierBlackSwaptionEngine(,Curve!$S$16,AK99))</f>
        <v>1</v>
      </c>
      <c r="AM99" s="358">
        <f ca="1">_xll.qlInstrumentNPV(AJ99,AL99)*2/_xll.qlYieldTSDiscount(Curve!$S$16,K99)</f>
        <v>314.18681689631734</v>
      </c>
      <c r="AN99" s="358">
        <f ca="1">_xll.qlInstrumentResults(AJ99,"annuity",AL99)</f>
        <v>67092.324373990414</v>
      </c>
      <c r="AO99" s="359">
        <f ca="1">G99/2*_xll.qlYieldTSDiscount(Curve!$S$16,K99)/AN99</f>
        <v>2.3659936865896287E-3</v>
      </c>
      <c r="AP99" s="360">
        <f ca="1">_xll.qlBachelierBlackFormulaImpliedVol("Call",AD99,AD99,_xll.qlDayCounterYearFraction("Act/365 (Fixed)",C99,J99),AO99)</f>
        <v>5.9225591270244135E-3</v>
      </c>
      <c r="AQ99" s="361">
        <f ca="1">_xll.qlBlackFormulaImpliedStdDev("Call",AD99,AD99,AO99)/SQRT(_xll.qlDayCounterYearFraction("Act/365 (Fixed)",C99,J99))</f>
        <v>0.69480715128570814</v>
      </c>
      <c r="AS99" s="363">
        <v>5.7392219780384463E-3</v>
      </c>
      <c r="AT99" s="363">
        <v>5.9225591270244135E-3</v>
      </c>
      <c r="AU99" s="365">
        <f t="shared" ca="1" si="6"/>
        <v>1.3077802196155477E-4</v>
      </c>
      <c r="AV99" s="365">
        <f t="shared" ca="1" si="7"/>
        <v>-5.2559127024412455E-5</v>
      </c>
    </row>
    <row r="100" spans="2:48">
      <c r="B100" s="348" t="str">
        <f t="shared" ca="1" si="5"/>
        <v>18Mx7Y</v>
      </c>
      <c r="C100" s="345">
        <f t="shared" ca="1" si="4"/>
        <v>42254</v>
      </c>
      <c r="D100" s="346" t="s">
        <v>154</v>
      </c>
      <c r="E100" s="346" t="s">
        <v>13</v>
      </c>
      <c r="F100" s="351">
        <f ca="1">VLOOKUP(F$3&amp;$D100&amp;$E100,'Swaption Volatilities'!$V:$W,2,FALSE)%%</f>
        <v>6.2100000000000002E-3</v>
      </c>
      <c r="G100" s="352">
        <f ca="1">VLOOKUP(G$3&amp;$D100&amp;$E100,'Swaption Volatilities'!$V:$W,2,FALSE)</f>
        <v>408</v>
      </c>
      <c r="H100" s="346" t="s">
        <v>20</v>
      </c>
      <c r="I100" s="346" t="s">
        <v>21</v>
      </c>
      <c r="J100" s="345">
        <f ca="1">_xll.qlCalendarAdvance(H100,C100,D100,I100)</f>
        <v>42801</v>
      </c>
      <c r="K100" s="345">
        <f ca="1">_xll.qlCalendarAdvance(H100,J100,"2d")</f>
        <v>42803</v>
      </c>
      <c r="L100" s="345">
        <f ca="1">_xll.qlCalendarAdvance(H100,K100,E100,"unadjusted")</f>
        <v>45360</v>
      </c>
      <c r="M100" s="346" t="s">
        <v>7</v>
      </c>
      <c r="N100" s="346" t="s">
        <v>20</v>
      </c>
      <c r="O100" s="346" t="s">
        <v>21</v>
      </c>
      <c r="P100" s="346" t="s">
        <v>21</v>
      </c>
      <c r="Q100" s="346" t="s">
        <v>70</v>
      </c>
      <c r="R100" s="353" t="str">
        <f ca="1">_xll.qlSchedule(,K100,L100,M100,N100,O100,P100,Q100)</f>
        <v>obj_0028f#0001</v>
      </c>
      <c r="S100" s="346" t="s">
        <v>19</v>
      </c>
      <c r="T100" s="346" t="s">
        <v>20</v>
      </c>
      <c r="U100" s="346" t="s">
        <v>21</v>
      </c>
      <c r="V100" s="346" t="s">
        <v>21</v>
      </c>
      <c r="W100" s="346" t="s">
        <v>70</v>
      </c>
      <c r="X100" s="353" t="str">
        <f ca="1">_xll.qlSchedule(,K100,L100,S100,T100,U100,V100,W100)</f>
        <v>obj_00206#0001</v>
      </c>
      <c r="Y100" s="349" t="s">
        <v>1742</v>
      </c>
      <c r="Z100" s="354" t="s">
        <v>36</v>
      </c>
      <c r="AA100" s="354" t="s">
        <v>1745</v>
      </c>
      <c r="AB100" s="353" t="str">
        <f ca="1">_xll.qlVanillaSwap(,,,R100,,Y100,X100,Z100,,AA100)</f>
        <v>obj_00290#0000</v>
      </c>
      <c r="AC100" s="353" t="b">
        <f ca="1">_xll.qlInstrumentSetPricingEngine(AB100,_xll.qlDiscountingSwapEngine(,Curve!$S$16))</f>
        <v>1</v>
      </c>
      <c r="AD100" s="355" t="e">
        <f ca="1">_xll.qlVanillaSwapFairRate(AB100,AC100)</f>
        <v>#NUM!</v>
      </c>
      <c r="AE100" s="346" t="s">
        <v>1752</v>
      </c>
      <c r="AF100" s="347">
        <v>10000</v>
      </c>
      <c r="AG100" s="350" t="str">
        <f ca="1">_xll.qlVanillaSwap(,AE100,AF100,R100,AD100,Y100,X100,Z100,,AA100)</f>
        <v>obj_00675#0000</v>
      </c>
      <c r="AH100" s="347" t="str">
        <f ca="1">_xll.qlEuropeanExercise(,J100)</f>
        <v>obj_001a8#0001</v>
      </c>
      <c r="AI100" s="346" t="s">
        <v>1749</v>
      </c>
      <c r="AJ100" s="356" t="str">
        <f ca="1">_xll.qlSwaption(,AG100,AH100,AI100)</f>
        <v>obj_00772#0001</v>
      </c>
      <c r="AK100" s="357" t="str">
        <f ca="1">_xll.qlConstantSwaptionVolatility(,,H100,I100,F100)</f>
        <v>obj_000d4#0001</v>
      </c>
      <c r="AL100" s="357" t="b">
        <f ca="1">_xll.qlInstrumentSetPricingEngine(AJ100,_xll.qlBachelierBlackSwaptionEngine(,Curve!$S$16,AK100))</f>
        <v>1</v>
      </c>
      <c r="AM100" s="358">
        <f ca="1">_xll.qlInstrumentNPV(AJ100,AL100)*2/_xll.qlYieldTSDiscount(Curve!$S$16,K100)</f>
        <v>401.55891687560461</v>
      </c>
      <c r="AN100" s="358">
        <f ca="1">_xll.qlInstrumentResults(AJ100,"annuity",AL100)</f>
        <v>66350.499731565447</v>
      </c>
      <c r="AO100" s="359">
        <f ca="1">G100/2*_xll.qlYieldTSDiscount(Curve!$S$16,K100)/AN100</f>
        <v>3.0814830691032143E-3</v>
      </c>
      <c r="AP100" s="360" t="e">
        <f ca="1">_xll.qlBachelierBlackFormulaImpliedVol("Call",AD100,AD100,_xll.qlDayCounterYearFraction("Act/365 (Fixed)",C100,J100),AO100)</f>
        <v>#VALUE!</v>
      </c>
      <c r="AQ100" s="361" t="e">
        <f ca="1">_xll.qlBlackFormulaImpliedStdDev("Call",AD100,AD100,AO100)/SQRT(_xll.qlDayCounterYearFraction("Act/365 (Fixed)",C100,J100))</f>
        <v>#VALUE!</v>
      </c>
      <c r="AS100" s="363">
        <v>6.0706733467473673E-3</v>
      </c>
      <c r="AT100" s="363">
        <v>6.3096096077599603E-3</v>
      </c>
      <c r="AU100" s="365">
        <f t="shared" ca="1" si="6"/>
        <v>1.3932665325263292E-4</v>
      </c>
      <c r="AV100" s="365">
        <f t="shared" ca="1" si="7"/>
        <v>-9.9609607759960049E-5</v>
      </c>
    </row>
    <row r="101" spans="2:48">
      <c r="B101" s="348" t="str">
        <f t="shared" ca="1" si="5"/>
        <v>2Yx7Y</v>
      </c>
      <c r="C101" s="345">
        <f t="shared" ca="1" si="4"/>
        <v>42254</v>
      </c>
      <c r="D101" s="346" t="s">
        <v>8</v>
      </c>
      <c r="E101" s="346" t="s">
        <v>13</v>
      </c>
      <c r="F101" s="351">
        <f ca="1">VLOOKUP(F$3&amp;$D101&amp;$E101,'Swaption Volatilities'!$V:$W,2,FALSE)%%</f>
        <v>6.6099999999999996E-3</v>
      </c>
      <c r="G101" s="352">
        <f ca="1">VLOOKUP(G$3&amp;$D101&amp;$E101,'Swaption Volatilities'!$V:$W,2,FALSE)</f>
        <v>499</v>
      </c>
      <c r="H101" s="346" t="s">
        <v>20</v>
      </c>
      <c r="I101" s="346" t="s">
        <v>21</v>
      </c>
      <c r="J101" s="345">
        <f ca="1">_xll.qlCalendarAdvance(H101,C101,D101,I101)</f>
        <v>42985</v>
      </c>
      <c r="K101" s="345">
        <f ca="1">_xll.qlCalendarAdvance(H101,J101,"2d")</f>
        <v>42989</v>
      </c>
      <c r="L101" s="345">
        <f ca="1">_xll.qlCalendarAdvance(H101,K101,E101,"unadjusted")</f>
        <v>45546</v>
      </c>
      <c r="M101" s="346" t="s">
        <v>7</v>
      </c>
      <c r="N101" s="346" t="s">
        <v>20</v>
      </c>
      <c r="O101" s="346" t="s">
        <v>21</v>
      </c>
      <c r="P101" s="346" t="s">
        <v>21</v>
      </c>
      <c r="Q101" s="346" t="s">
        <v>70</v>
      </c>
      <c r="R101" s="353" t="str">
        <f ca="1">_xll.qlSchedule(,K101,L101,M101,N101,O101,P101,Q101)</f>
        <v>obj_003e6#0001</v>
      </c>
      <c r="S101" s="346" t="s">
        <v>19</v>
      </c>
      <c r="T101" s="346" t="s">
        <v>20</v>
      </c>
      <c r="U101" s="346" t="s">
        <v>21</v>
      </c>
      <c r="V101" s="346" t="s">
        <v>21</v>
      </c>
      <c r="W101" s="346" t="s">
        <v>70</v>
      </c>
      <c r="X101" s="353" t="str">
        <f ca="1">_xll.qlSchedule(,K101,L101,S101,T101,U101,V101,W101)</f>
        <v>obj_003a6#0000</v>
      </c>
      <c r="Y101" s="349" t="s">
        <v>1742</v>
      </c>
      <c r="Z101" s="354" t="s">
        <v>36</v>
      </c>
      <c r="AA101" s="354" t="s">
        <v>1745</v>
      </c>
      <c r="AB101" s="353" t="str">
        <f ca="1">_xll.qlVanillaSwap(,,,R101,,Y101,X101,Z101,,AA101)</f>
        <v>obj_00508#0001</v>
      </c>
      <c r="AC101" s="353" t="b">
        <f ca="1">_xll.qlInstrumentSetPricingEngine(AB101,_xll.qlDiscountingSwapEngine(,Curve!$S$16))</f>
        <v>1</v>
      </c>
      <c r="AD101" s="355" t="e">
        <f ca="1">_xll.qlVanillaSwapFairRate(AB101,AC101)</f>
        <v>#NUM!</v>
      </c>
      <c r="AE101" s="346" t="s">
        <v>1752</v>
      </c>
      <c r="AF101" s="347">
        <v>10000</v>
      </c>
      <c r="AG101" s="350" t="str">
        <f ca="1">_xll.qlVanillaSwap(,AE101,AF101,R101,AD101,Y101,X101,Z101,,AA101)</f>
        <v>obj_0065e#0000</v>
      </c>
      <c r="AH101" s="347" t="str">
        <f ca="1">_xll.qlEuropeanExercise(,J101)</f>
        <v>obj_00279#0001</v>
      </c>
      <c r="AI101" s="346" t="s">
        <v>1749</v>
      </c>
      <c r="AJ101" s="356" t="str">
        <f ca="1">_xll.qlSwaption(,AG101,AH101,AI101)</f>
        <v>obj_00794#0001</v>
      </c>
      <c r="AK101" s="357" t="str">
        <f ca="1">_xll.qlConstantSwaptionVolatility(,,H101,I101,F101)</f>
        <v>obj_0010a#0001</v>
      </c>
      <c r="AL101" s="357" t="b">
        <f ca="1">_xll.qlInstrumentSetPricingEngine(AJ101,_xll.qlBachelierBlackSwaptionEngine(,Curve!$S$16,AK101))</f>
        <v>1</v>
      </c>
      <c r="AM101" s="358">
        <f ca="1">_xll.qlInstrumentNPV(AJ101,AL101)*2/_xll.qlYieldTSDiscount(Curve!$S$16,K101)</f>
        <v>487.32480319710595</v>
      </c>
      <c r="AN101" s="358">
        <f ca="1">_xll.qlInstrumentResults(AJ101,"annuity",AL101)</f>
        <v>65474.387977127932</v>
      </c>
      <c r="AO101" s="359">
        <f ca="1">G101/2*_xll.qlYieldTSDiscount(Curve!$S$16,K101)/AN101</f>
        <v>3.8212531620179097E-3</v>
      </c>
      <c r="AP101" s="360" t="e">
        <f ca="1">_xll.qlBachelierBlackFormulaImpliedVol("Call",AD101,AD101,_xll.qlDayCounterYearFraction("Act/365 (Fixed)",C101,J101),AO101)</f>
        <v>#VALUE!</v>
      </c>
      <c r="AQ101" s="361" t="e">
        <f ca="1">_xll.qlBlackFormulaImpliedStdDev("Call",AD101,AD101,AO101)/SQRT(_xll.qlDayCounterYearFraction("Act/365 (Fixed)",C101,J101))</f>
        <v>#VALUE!</v>
      </c>
      <c r="AS101" s="363">
        <v>6.4612991105081263E-3</v>
      </c>
      <c r="AT101" s="363">
        <v>6.7683606054131287E-3</v>
      </c>
      <c r="AU101" s="365">
        <f t="shared" ca="1" si="6"/>
        <v>1.4870088949187326E-4</v>
      </c>
      <c r="AV101" s="365">
        <f t="shared" ca="1" si="7"/>
        <v>-1.583606054131291E-4</v>
      </c>
    </row>
    <row r="102" spans="2:48">
      <c r="B102" s="348" t="str">
        <f t="shared" ca="1" si="5"/>
        <v>3Yx7Y</v>
      </c>
      <c r="C102" s="345">
        <f t="shared" ca="1" si="4"/>
        <v>42254</v>
      </c>
      <c r="D102" s="346" t="s">
        <v>9</v>
      </c>
      <c r="E102" s="346" t="s">
        <v>13</v>
      </c>
      <c r="F102" s="351">
        <f ca="1">VLOOKUP(F$3&amp;$D102&amp;$E102,'Swaption Volatilities'!$V:$W,2,FALSE)%%</f>
        <v>6.9599999999999992E-3</v>
      </c>
      <c r="G102" s="352">
        <f ca="1">VLOOKUP(G$3&amp;$D102&amp;$E102,'Swaption Volatilities'!$V:$W,2,FALSE)</f>
        <v>638</v>
      </c>
      <c r="H102" s="346" t="s">
        <v>20</v>
      </c>
      <c r="I102" s="346" t="s">
        <v>21</v>
      </c>
      <c r="J102" s="345">
        <f ca="1">_xll.qlCalendarAdvance(H102,C102,D102,I102)</f>
        <v>43350</v>
      </c>
      <c r="K102" s="345">
        <f ca="1">_xll.qlCalendarAdvance(H102,J102,"2d")</f>
        <v>43354</v>
      </c>
      <c r="L102" s="345">
        <f ca="1">_xll.qlCalendarAdvance(H102,K102,E102,"unadjusted")</f>
        <v>45911</v>
      </c>
      <c r="M102" s="346" t="s">
        <v>7</v>
      </c>
      <c r="N102" s="346" t="s">
        <v>20</v>
      </c>
      <c r="O102" s="346" t="s">
        <v>21</v>
      </c>
      <c r="P102" s="346" t="s">
        <v>21</v>
      </c>
      <c r="Q102" s="346" t="s">
        <v>70</v>
      </c>
      <c r="R102" s="353" t="str">
        <f ca="1">_xll.qlSchedule(,K102,L102,M102,N102,O102,P102,Q102)</f>
        <v>obj_002fb#0001</v>
      </c>
      <c r="S102" s="346" t="s">
        <v>19</v>
      </c>
      <c r="T102" s="346" t="s">
        <v>20</v>
      </c>
      <c r="U102" s="346" t="s">
        <v>21</v>
      </c>
      <c r="V102" s="346" t="s">
        <v>21</v>
      </c>
      <c r="W102" s="346" t="s">
        <v>70</v>
      </c>
      <c r="X102" s="353" t="str">
        <f ca="1">_xll.qlSchedule(,K102,L102,S102,T102,U102,V102,W102)</f>
        <v>obj_002e8#0000</v>
      </c>
      <c r="Y102" s="349" t="s">
        <v>1742</v>
      </c>
      <c r="Z102" s="354" t="s">
        <v>36</v>
      </c>
      <c r="AA102" s="354" t="s">
        <v>1745</v>
      </c>
      <c r="AB102" s="353" t="str">
        <f ca="1">_xll.qlVanillaSwap(,,,R102,,Y102,X102,Z102,,AA102)</f>
        <v>obj_003f4#0001</v>
      </c>
      <c r="AC102" s="353" t="b">
        <f ca="1">_xll.qlInstrumentSetPricingEngine(AB102,_xll.qlDiscountingSwapEngine(,Curve!$S$16))</f>
        <v>1</v>
      </c>
      <c r="AD102" s="355" t="e">
        <f ca="1">_xll.qlVanillaSwapFairRate(AB102,AC102)</f>
        <v>#NUM!</v>
      </c>
      <c r="AE102" s="346" t="s">
        <v>1752</v>
      </c>
      <c r="AF102" s="347">
        <v>10000</v>
      </c>
      <c r="AG102" s="350" t="str">
        <f ca="1">_xll.qlVanillaSwap(,AE102,AF102,R102,AD102,Y102,X102,Z102,,AA102)</f>
        <v>obj_006ef#0000</v>
      </c>
      <c r="AH102" s="347" t="str">
        <f ca="1">_xll.qlEuropeanExercise(,J102)</f>
        <v>obj_00129#0001</v>
      </c>
      <c r="AI102" s="346" t="s">
        <v>1749</v>
      </c>
      <c r="AJ102" s="356" t="str">
        <f ca="1">_xll.qlSwaption(,AG102,AH102,AI102)</f>
        <v>obj_00762#0001</v>
      </c>
      <c r="AK102" s="357" t="str">
        <f ca="1">_xll.qlConstantSwaptionVolatility(,,H102,I102,F102)</f>
        <v>obj_00268#0001</v>
      </c>
      <c r="AL102" s="357" t="b">
        <f ca="1">_xll.qlInstrumentSetPricingEngine(AJ102,_xll.qlBachelierBlackSwaptionEngine(,Curve!$S$16,AK102))</f>
        <v>1</v>
      </c>
      <c r="AM102" s="358">
        <f ca="1">_xll.qlInstrumentNPV(AJ102,AL102)*2/_xll.qlYieldTSDiscount(Curve!$S$16,K102)</f>
        <v>611.19592511737108</v>
      </c>
      <c r="AN102" s="358">
        <f ca="1">_xll.qlInstrumentResults(AJ102,"annuity",AL102)</f>
        <v>63677.596081308788</v>
      </c>
      <c r="AO102" s="359">
        <f ca="1">G102/2*_xll.qlYieldTSDiscount(Curve!$S$16,K102)/AN102</f>
        <v>5.0224818835343885E-3</v>
      </c>
      <c r="AP102" s="360" t="e">
        <f ca="1">_xll.qlBachelierBlackFormulaImpliedVol("Call",AD102,AD102,_xll.qlDayCounterYearFraction("Act/365 (Fixed)",C102,J102),AO102)</f>
        <v>#VALUE!</v>
      </c>
      <c r="AQ102" s="361" t="e">
        <f ca="1">_xll.qlBlackFormulaImpliedStdDev("Call",AD102,AD102,AO102)/SQRT(_xll.qlDayCounterYearFraction("Act/365 (Fixed)",C102,J102))</f>
        <v>#VALUE!</v>
      </c>
      <c r="AS102" s="363">
        <v>6.8209473094209367E-3</v>
      </c>
      <c r="AT102" s="363">
        <v>7.2652316835182789E-3</v>
      </c>
      <c r="AU102" s="365">
        <f t="shared" ca="1" si="6"/>
        <v>1.3905269057906244E-4</v>
      </c>
      <c r="AV102" s="365">
        <f t="shared" ca="1" si="7"/>
        <v>-3.0523168351827973E-4</v>
      </c>
    </row>
    <row r="103" spans="2:48">
      <c r="B103" s="348" t="str">
        <f t="shared" ca="1" si="5"/>
        <v>4Yx7Y</v>
      </c>
      <c r="C103" s="345">
        <f t="shared" ca="1" si="4"/>
        <v>42254</v>
      </c>
      <c r="D103" s="346" t="s">
        <v>10</v>
      </c>
      <c r="E103" s="346" t="s">
        <v>13</v>
      </c>
      <c r="F103" s="351">
        <f ca="1">VLOOKUP(F$3&amp;$D103&amp;$E103,'Swaption Volatilities'!$V:$W,2,FALSE)%%</f>
        <v>7.2199999999999999E-3</v>
      </c>
      <c r="G103" s="352">
        <f ca="1">VLOOKUP(G$3&amp;$D103&amp;$E103,'Swaption Volatilities'!$V:$W,2,FALSE)</f>
        <v>758</v>
      </c>
      <c r="H103" s="346" t="s">
        <v>20</v>
      </c>
      <c r="I103" s="346" t="s">
        <v>21</v>
      </c>
      <c r="J103" s="345">
        <f ca="1">_xll.qlCalendarAdvance(H103,C103,D103,I103)</f>
        <v>43717</v>
      </c>
      <c r="K103" s="345">
        <f ca="1">_xll.qlCalendarAdvance(H103,J103,"2d")</f>
        <v>43719</v>
      </c>
      <c r="L103" s="345">
        <f ca="1">_xll.qlCalendarAdvance(H103,K103,E103,"unadjusted")</f>
        <v>46276</v>
      </c>
      <c r="M103" s="346" t="s">
        <v>7</v>
      </c>
      <c r="N103" s="346" t="s">
        <v>20</v>
      </c>
      <c r="O103" s="346" t="s">
        <v>21</v>
      </c>
      <c r="P103" s="346" t="s">
        <v>21</v>
      </c>
      <c r="Q103" s="346" t="s">
        <v>70</v>
      </c>
      <c r="R103" s="353" t="str">
        <f ca="1">_xll.qlSchedule(,K103,L103,M103,N103,O103,P103,Q103)</f>
        <v>obj_005ad#0001</v>
      </c>
      <c r="S103" s="346" t="s">
        <v>19</v>
      </c>
      <c r="T103" s="346" t="s">
        <v>20</v>
      </c>
      <c r="U103" s="346" t="s">
        <v>21</v>
      </c>
      <c r="V103" s="346" t="s">
        <v>21</v>
      </c>
      <c r="W103" s="346" t="s">
        <v>70</v>
      </c>
      <c r="X103" s="353" t="str">
        <f ca="1">_xll.qlSchedule(,K103,L103,S103,T103,U103,V103,W103)</f>
        <v>obj_005ac#0001</v>
      </c>
      <c r="Y103" s="349" t="s">
        <v>1742</v>
      </c>
      <c r="Z103" s="354" t="s">
        <v>36</v>
      </c>
      <c r="AA103" s="354" t="s">
        <v>1745</v>
      </c>
      <c r="AB103" s="353" t="str">
        <f ca="1">_xll.qlVanillaSwap(,,,R103,,Y103,X103,Z103,,AA103)</f>
        <v>obj_00617#0001</v>
      </c>
      <c r="AC103" s="353" t="b">
        <f ca="1">_xll.qlInstrumentSetPricingEngine(AB103,_xll.qlDiscountingSwapEngine(,Curve!$S$16))</f>
        <v>1</v>
      </c>
      <c r="AD103" s="355" t="e">
        <f ca="1">_xll.qlVanillaSwapFairRate(AB103,AC103)</f>
        <v>#NUM!</v>
      </c>
      <c r="AE103" s="346" t="s">
        <v>1752</v>
      </c>
      <c r="AF103" s="347">
        <v>10000</v>
      </c>
      <c r="AG103" s="350" t="str">
        <f ca="1">_xll.qlVanillaSwap(,AE103,AF103,R103,AD103,Y103,X103,Z103,,AA103)</f>
        <v>obj_006b7#0000</v>
      </c>
      <c r="AH103" s="347" t="str">
        <f ca="1">_xll.qlEuropeanExercise(,J103)</f>
        <v>obj_0026e#0000</v>
      </c>
      <c r="AI103" s="346" t="s">
        <v>1749</v>
      </c>
      <c r="AJ103" s="356" t="str">
        <f ca="1">_xll.qlSwaption(,AG103,AH103,AI103)</f>
        <v>obj_007ab#0001</v>
      </c>
      <c r="AK103" s="357" t="str">
        <f ca="1">_xll.qlConstantSwaptionVolatility(,,H103,I103,F103)</f>
        <v>obj_000a2#0001</v>
      </c>
      <c r="AL103" s="357" t="b">
        <f ca="1">_xll.qlInstrumentSetPricingEngine(AJ103,_xll.qlBachelierBlackSwaptionEngine(,Curve!$S$16,AK103))</f>
        <v>1</v>
      </c>
      <c r="AM103" s="358">
        <f ca="1">_xll.qlInstrumentNPV(AJ103,AL103)*2/_xll.qlYieldTSDiscount(Curve!$S$16,K103)</f>
        <v>712.09373512632033</v>
      </c>
      <c r="AN103" s="358">
        <f ca="1">_xll.qlInstrumentResults(AJ103,"annuity",AL103)</f>
        <v>61736.591753550048</v>
      </c>
      <c r="AO103" s="359">
        <f ca="1">G103/2*_xll.qlYieldTSDiscount(Curve!$S$16,K103)/AN103</f>
        <v>6.1383978759593115E-3</v>
      </c>
      <c r="AP103" s="360" t="e">
        <f ca="1">_xll.qlBachelierBlackFormulaImpliedVol("Call",AD103,AD103,_xll.qlDayCounterYearFraction("Act/365 (Fixed)",C103,J103),AO103)</f>
        <v>#VALUE!</v>
      </c>
      <c r="AQ103" s="361" t="e">
        <f ca="1">_xll.qlBlackFormulaImpliedStdDev("Call",AD103,AD103,AO103)/SQRT(_xll.qlDayCounterYearFraction("Act/365 (Fixed)",C103,J103))</f>
        <v>#VALUE!</v>
      </c>
      <c r="AS103" s="363">
        <v>7.0906335671504089E-3</v>
      </c>
      <c r="AT103" s="363">
        <v>7.6854488812897409E-3</v>
      </c>
      <c r="AU103" s="365">
        <f t="shared" ca="1" si="6"/>
        <v>1.2936643284959092E-4</v>
      </c>
      <c r="AV103" s="365">
        <f t="shared" ca="1" si="7"/>
        <v>-4.6544888128974109E-4</v>
      </c>
    </row>
    <row r="104" spans="2:48">
      <c r="B104" s="348" t="str">
        <f t="shared" ca="1" si="5"/>
        <v>5Yx7Y</v>
      </c>
      <c r="C104" s="345">
        <f t="shared" ca="1" si="4"/>
        <v>42254</v>
      </c>
      <c r="D104" s="346" t="s">
        <v>11</v>
      </c>
      <c r="E104" s="346" t="s">
        <v>13</v>
      </c>
      <c r="F104" s="351">
        <f ca="1">VLOOKUP(F$3&amp;$D104&amp;$E104,'Swaption Volatilities'!$V:$W,2,FALSE)%%</f>
        <v>7.3499999999999998E-3</v>
      </c>
      <c r="G104" s="352">
        <f ca="1">VLOOKUP(G$3&amp;$D104&amp;$E104,'Swaption Volatilities'!$V:$W,2,FALSE)</f>
        <v>855</v>
      </c>
      <c r="H104" s="346" t="s">
        <v>20</v>
      </c>
      <c r="I104" s="346" t="s">
        <v>21</v>
      </c>
      <c r="J104" s="345">
        <f ca="1">_xll.qlCalendarAdvance(H104,C104,D104,I104)</f>
        <v>44081</v>
      </c>
      <c r="K104" s="345">
        <f ca="1">_xll.qlCalendarAdvance(H104,J104,"2d")</f>
        <v>44083</v>
      </c>
      <c r="L104" s="345">
        <f ca="1">_xll.qlCalendarAdvance(H104,K104,E104,"unadjusted")</f>
        <v>46639</v>
      </c>
      <c r="M104" s="346" t="s">
        <v>7</v>
      </c>
      <c r="N104" s="346" t="s">
        <v>20</v>
      </c>
      <c r="O104" s="346" t="s">
        <v>21</v>
      </c>
      <c r="P104" s="346" t="s">
        <v>21</v>
      </c>
      <c r="Q104" s="346" t="s">
        <v>70</v>
      </c>
      <c r="R104" s="353" t="str">
        <f ca="1">_xll.qlSchedule(,K104,L104,M104,N104,O104,P104,Q104)</f>
        <v>obj_004d9#0001</v>
      </c>
      <c r="S104" s="346" t="s">
        <v>19</v>
      </c>
      <c r="T104" s="346" t="s">
        <v>20</v>
      </c>
      <c r="U104" s="346" t="s">
        <v>21</v>
      </c>
      <c r="V104" s="346" t="s">
        <v>21</v>
      </c>
      <c r="W104" s="346" t="s">
        <v>70</v>
      </c>
      <c r="X104" s="353" t="str">
        <f ca="1">_xll.qlSchedule(,K104,L104,S104,T104,U104,V104,W104)</f>
        <v>obj_004d8#0001</v>
      </c>
      <c r="Y104" s="349" t="s">
        <v>1742</v>
      </c>
      <c r="Z104" s="354" t="s">
        <v>36</v>
      </c>
      <c r="AA104" s="354" t="s">
        <v>1745</v>
      </c>
      <c r="AB104" s="353" t="str">
        <f ca="1">_xll.qlVanillaSwap(,,,R104,,Y104,X104,Z104,,AA104)</f>
        <v>obj_00580#0001</v>
      </c>
      <c r="AC104" s="353" t="b">
        <f ca="1">_xll.qlInstrumentSetPricingEngine(AB104,_xll.qlDiscountingSwapEngine(,Curve!$S$16))</f>
        <v>1</v>
      </c>
      <c r="AD104" s="355" t="e">
        <f ca="1">_xll.qlVanillaSwapFairRate(AB104,AC104)</f>
        <v>#NUM!</v>
      </c>
      <c r="AE104" s="346" t="s">
        <v>1752</v>
      </c>
      <c r="AF104" s="347">
        <v>10000</v>
      </c>
      <c r="AG104" s="350" t="str">
        <f ca="1">_xll.qlVanillaSwap(,AE104,AF104,R104,AD104,Y104,X104,Z104,,AA104)</f>
        <v>obj_00657#0000</v>
      </c>
      <c r="AH104" s="347" t="str">
        <f ca="1">_xll.qlEuropeanExercise(,J104)</f>
        <v>obj_00124#0001</v>
      </c>
      <c r="AI104" s="346" t="s">
        <v>1749</v>
      </c>
      <c r="AJ104" s="356" t="str">
        <f ca="1">_xll.qlSwaption(,AG104,AH104,AI104)</f>
        <v>obj_007b8#0001</v>
      </c>
      <c r="AK104" s="357" t="str">
        <f ca="1">_xll.qlConstantSwaptionVolatility(,,H104,I104,F104)</f>
        <v>obj_001c5#0001</v>
      </c>
      <c r="AL104" s="357" t="b">
        <f ca="1">_xll.qlInstrumentSetPricingEngine(AJ104,_xll.qlBachelierBlackSwaptionEngine(,Curve!$S$16,AK104))</f>
        <v>1</v>
      </c>
      <c r="AM104" s="358">
        <f ca="1">_xll.qlInstrumentNPV(AJ104,AL104)*2/_xll.qlYieldTSDiscount(Curve!$S$16,K104)</f>
        <v>788.52341917575006</v>
      </c>
      <c r="AN104" s="358">
        <f ca="1">_xll.qlInstrumentResults(AJ104,"annuity",AL104)</f>
        <v>59766.507055085989</v>
      </c>
      <c r="AO104" s="359">
        <f ca="1">G104/2*_xll.qlYieldTSDiscount(Curve!$S$16,K104)/AN104</f>
        <v>7.113310473013482E-3</v>
      </c>
      <c r="AP104" s="360" t="e">
        <f ca="1">_xll.qlBachelierBlackFormulaImpliedVol("Call",AD104,AD104,_xll.qlDayCounterYearFraction("Act/365 (Fixed)",C104,J104),AO104)</f>
        <v>#VALUE!</v>
      </c>
      <c r="AQ104" s="361" t="e">
        <f ca="1">_xll.qlBlackFormulaImpliedStdDev("Call",AD104,AD104,AO104)/SQRT(_xll.qlDayCounterYearFraction("Act/365 (Fixed)",C104,J104))</f>
        <v>#VALUE!</v>
      </c>
      <c r="AS104" s="363">
        <v>7.2292862720925556E-3</v>
      </c>
      <c r="AT104" s="363">
        <v>7.9696428123453636E-3</v>
      </c>
      <c r="AU104" s="365">
        <f t="shared" ca="1" si="6"/>
        <v>1.2071372790744411E-4</v>
      </c>
      <c r="AV104" s="365">
        <f t="shared" ca="1" si="7"/>
        <v>-6.1964281234536383E-4</v>
      </c>
    </row>
    <row r="105" spans="2:48">
      <c r="B105" s="348" t="str">
        <f t="shared" ca="1" si="5"/>
        <v>7Yx7Y</v>
      </c>
      <c r="C105" s="345">
        <f t="shared" ca="1" si="4"/>
        <v>42254</v>
      </c>
      <c r="D105" s="346" t="s">
        <v>13</v>
      </c>
      <c r="E105" s="346" t="s">
        <v>13</v>
      </c>
      <c r="F105" s="351">
        <f ca="1">VLOOKUP(F$3&amp;$D105&amp;$E105,'Swaption Volatilities'!$V:$W,2,FALSE)%%</f>
        <v>7.4000000000000003E-3</v>
      </c>
      <c r="G105" s="352">
        <f ca="1">VLOOKUP(G$3&amp;$D105&amp;$E105,'Swaption Volatilities'!$V:$W,2,FALSE)</f>
        <v>1009</v>
      </c>
      <c r="H105" s="346" t="s">
        <v>20</v>
      </c>
      <c r="I105" s="346" t="s">
        <v>21</v>
      </c>
      <c r="J105" s="345">
        <f ca="1">_xll.qlCalendarAdvance(H105,C105,D105,I105)</f>
        <v>44811</v>
      </c>
      <c r="K105" s="345">
        <f ca="1">_xll.qlCalendarAdvance(H105,J105,"2d")</f>
        <v>44813</v>
      </c>
      <c r="L105" s="345">
        <f ca="1">_xll.qlCalendarAdvance(H105,K105,E105,"unadjusted")</f>
        <v>47370</v>
      </c>
      <c r="M105" s="346" t="s">
        <v>7</v>
      </c>
      <c r="N105" s="346" t="s">
        <v>20</v>
      </c>
      <c r="O105" s="346" t="s">
        <v>21</v>
      </c>
      <c r="P105" s="346" t="s">
        <v>21</v>
      </c>
      <c r="Q105" s="346" t="s">
        <v>70</v>
      </c>
      <c r="R105" s="353" t="str">
        <f ca="1">_xll.qlSchedule(,K105,L105,M105,N105,O105,P105,Q105)</f>
        <v>obj_00548#0001</v>
      </c>
      <c r="S105" s="346" t="s">
        <v>19</v>
      </c>
      <c r="T105" s="346" t="s">
        <v>20</v>
      </c>
      <c r="U105" s="346" t="s">
        <v>21</v>
      </c>
      <c r="V105" s="346" t="s">
        <v>21</v>
      </c>
      <c r="W105" s="346" t="s">
        <v>70</v>
      </c>
      <c r="X105" s="353" t="str">
        <f ca="1">_xll.qlSchedule(,K105,L105,S105,T105,U105,V105,W105)</f>
        <v>obj_00547#0001</v>
      </c>
      <c r="Y105" s="349" t="s">
        <v>1742</v>
      </c>
      <c r="Z105" s="354" t="s">
        <v>36</v>
      </c>
      <c r="AA105" s="354" t="s">
        <v>1745</v>
      </c>
      <c r="AB105" s="353" t="str">
        <f ca="1">_xll.qlVanillaSwap(,,,R105,,Y105,X105,Z105,,AA105)</f>
        <v>obj_005d7#0001</v>
      </c>
      <c r="AC105" s="353" t="b">
        <f ca="1">_xll.qlInstrumentSetPricingEngine(AB105,_xll.qlDiscountingSwapEngine(,Curve!$S$16))</f>
        <v>1</v>
      </c>
      <c r="AD105" s="355" t="e">
        <f ca="1">_xll.qlVanillaSwapFairRate(AB105,AC105)</f>
        <v>#NUM!</v>
      </c>
      <c r="AE105" s="346" t="s">
        <v>1752</v>
      </c>
      <c r="AF105" s="347">
        <v>10000</v>
      </c>
      <c r="AG105" s="350" t="str">
        <f ca="1">_xll.qlVanillaSwap(,AE105,AF105,R105,AD105,Y105,X105,Z105,,AA105)</f>
        <v>obj_0064e#0000</v>
      </c>
      <c r="AH105" s="347" t="str">
        <f ca="1">_xll.qlEuropeanExercise(,J105)</f>
        <v>obj_001a7#0001</v>
      </c>
      <c r="AI105" s="346" t="s">
        <v>1749</v>
      </c>
      <c r="AJ105" s="356" t="str">
        <f ca="1">_xll.qlSwaption(,AG105,AH105,AI105)</f>
        <v>obj_00777#0001</v>
      </c>
      <c r="AK105" s="357" t="str">
        <f ca="1">_xll.qlConstantSwaptionVolatility(,,H105,I105,F105)</f>
        <v>obj_000d3#0001</v>
      </c>
      <c r="AL105" s="357" t="b">
        <f ca="1">_xll.qlInstrumentSetPricingEngine(AJ105,_xll.qlBachelierBlackSwaptionEngine(,Curve!$S$16,AK105))</f>
        <v>1</v>
      </c>
      <c r="AM105" s="358">
        <f ca="1">_xll.qlInstrumentNPV(AJ105,AL105)*2/_xll.qlYieldTSDiscount(Curve!$S$16,K105)</f>
        <v>901.92140281397201</v>
      </c>
      <c r="AN105" s="358">
        <f ca="1">_xll.qlInstrumentResults(AJ105,"annuity",AL105)</f>
        <v>56189.538352665477</v>
      </c>
      <c r="AO105" s="359">
        <f ca="1">G105/2*_xll.qlYieldTSDiscount(Curve!$S$16,K105)/AN105</f>
        <v>8.741444219457566E-3</v>
      </c>
      <c r="AP105" s="360" t="e">
        <f ca="1">_xll.qlBachelierBlackFormulaImpliedVol("Call",AD105,AD105,_xll.qlDayCounterYearFraction("Act/365 (Fixed)",C105,J105),AO105)</f>
        <v>#VALUE!</v>
      </c>
      <c r="AQ105" s="361" t="e">
        <f ca="1">_xll.qlBlackFormulaImpliedStdDev("Call",AD105,AD105,AO105)/SQRT(_xll.qlDayCounterYearFraction("Act/365 (Fixed)",C105,J105))</f>
        <v>#VALUE!</v>
      </c>
      <c r="AS105" s="363">
        <v>7.3130073733708618E-3</v>
      </c>
      <c r="AT105" s="363">
        <v>8.2785484153102343E-3</v>
      </c>
      <c r="AU105" s="365">
        <f t="shared" ca="1" si="6"/>
        <v>8.6992626629138481E-5</v>
      </c>
      <c r="AV105" s="365">
        <f t="shared" ca="1" si="7"/>
        <v>-8.7854841531023395E-4</v>
      </c>
    </row>
    <row r="106" spans="2:48">
      <c r="B106" s="348" t="str">
        <f t="shared" ca="1" si="5"/>
        <v>10Yx7Y</v>
      </c>
      <c r="C106" s="345">
        <f t="shared" ca="1" si="4"/>
        <v>42254</v>
      </c>
      <c r="D106" s="346" t="s">
        <v>16</v>
      </c>
      <c r="E106" s="346" t="s">
        <v>13</v>
      </c>
      <c r="F106" s="351">
        <f ca="1">VLOOKUP(F$3&amp;$D106&amp;$E106,'Swaption Volatilities'!$V:$W,2,FALSE)%%</f>
        <v>7.3099999999999997E-3</v>
      </c>
      <c r="G106" s="352">
        <f ca="1">VLOOKUP(G$3&amp;$D106&amp;$E106,'Swaption Volatilities'!$V:$W,2,FALSE)</f>
        <v>1187</v>
      </c>
      <c r="H106" s="346" t="s">
        <v>20</v>
      </c>
      <c r="I106" s="346" t="s">
        <v>21</v>
      </c>
      <c r="J106" s="345">
        <f ca="1">_xll.qlCalendarAdvance(H106,C106,D106,I106)</f>
        <v>45908</v>
      </c>
      <c r="K106" s="345">
        <f ca="1">_xll.qlCalendarAdvance(H106,J106,"2d")</f>
        <v>45910</v>
      </c>
      <c r="L106" s="345">
        <f ca="1">_xll.qlCalendarAdvance(H106,K106,E106,"unadjusted")</f>
        <v>48467</v>
      </c>
      <c r="M106" s="346" t="s">
        <v>7</v>
      </c>
      <c r="N106" s="346" t="s">
        <v>20</v>
      </c>
      <c r="O106" s="346" t="s">
        <v>21</v>
      </c>
      <c r="P106" s="346" t="s">
        <v>21</v>
      </c>
      <c r="Q106" s="346" t="s">
        <v>70</v>
      </c>
      <c r="R106" s="353" t="str">
        <f ca="1">_xll.qlSchedule(,K106,L106,M106,N106,O106,P106,Q106)</f>
        <v>obj_0053c#0000</v>
      </c>
      <c r="S106" s="346" t="s">
        <v>19</v>
      </c>
      <c r="T106" s="346" t="s">
        <v>20</v>
      </c>
      <c r="U106" s="346" t="s">
        <v>21</v>
      </c>
      <c r="V106" s="346" t="s">
        <v>21</v>
      </c>
      <c r="W106" s="346" t="s">
        <v>70</v>
      </c>
      <c r="X106" s="353" t="str">
        <f ca="1">_xll.qlSchedule(,K106,L106,S106,T106,U106,V106,W106)</f>
        <v>obj_0053d#0001</v>
      </c>
      <c r="Y106" s="349" t="s">
        <v>1742</v>
      </c>
      <c r="Z106" s="354" t="s">
        <v>36</v>
      </c>
      <c r="AA106" s="354" t="s">
        <v>1745</v>
      </c>
      <c r="AB106" s="353" t="str">
        <f ca="1">_xll.qlVanillaSwap(,,,R106,,Y106,X106,Z106,,AA106)</f>
        <v>obj_005d1#0001</v>
      </c>
      <c r="AC106" s="353" t="b">
        <f ca="1">_xll.qlInstrumentSetPricingEngine(AB106,_xll.qlDiscountingSwapEngine(,Curve!$S$16))</f>
        <v>1</v>
      </c>
      <c r="AD106" s="355" t="e">
        <f ca="1">_xll.qlVanillaSwapFairRate(AB106,AC106)</f>
        <v>#NUM!</v>
      </c>
      <c r="AE106" s="346" t="s">
        <v>1752</v>
      </c>
      <c r="AF106" s="347">
        <v>10000</v>
      </c>
      <c r="AG106" s="350" t="str">
        <f ca="1">_xll.qlVanillaSwap(,AE106,AF106,R106,AD106,Y106,X106,Z106,,AA106)</f>
        <v>obj_006c1#0000</v>
      </c>
      <c r="AH106" s="347" t="str">
        <f ca="1">_xll.qlEuropeanExercise(,J106)</f>
        <v>obj_0047d#0001</v>
      </c>
      <c r="AI106" s="346" t="s">
        <v>1749</v>
      </c>
      <c r="AJ106" s="356" t="str">
        <f ca="1">_xll.qlSwaption(,AG106,AH106,AI106)</f>
        <v>obj_0078b#0001</v>
      </c>
      <c r="AK106" s="357" t="str">
        <f ca="1">_xll.qlConstantSwaptionVolatility(,,H106,I106,F106)</f>
        <v>obj_00190#0001</v>
      </c>
      <c r="AL106" s="357" t="b">
        <f ca="1">_xll.qlInstrumentSetPricingEngine(AJ106,_xll.qlBachelierBlackSwaptionEngine(,Curve!$S$16,AK106))</f>
        <v>1</v>
      </c>
      <c r="AM106" s="358">
        <f ca="1">_xll.qlInstrumentNPV(AJ106,AL106)*2/_xll.qlYieldTSDiscount(Curve!$S$16,K106)</f>
        <v>1037.2862910564722</v>
      </c>
      <c r="AN106" s="358">
        <f ca="1">_xll.qlInstrumentResults(AJ106,"annuity",AL106)</f>
        <v>52080.034376225813</v>
      </c>
      <c r="AO106" s="359">
        <f ca="1">G106/2*_xll.qlYieldTSDiscount(Curve!$S$16,K106)/AN106</f>
        <v>1.0558868051936449E-2</v>
      </c>
      <c r="AP106" s="360" t="e">
        <f ca="1">_xll.qlBachelierBlackFormulaImpliedVol("Call",AD106,AD106,_xll.qlDayCounterYearFraction("Act/365 (Fixed)",C106,J106),AO106)</f>
        <v>#VALUE!</v>
      </c>
      <c r="AQ106" s="361" t="e">
        <f ca="1">_xll.qlBlackFormulaImpliedStdDev("Call",AD106,AD106,AO106)/SQRT(_xll.qlDayCounterYearFraction("Act/365 (Fixed)",C106,J106))</f>
        <v>#VALUE!</v>
      </c>
      <c r="AS106" s="363">
        <v>7.2667258148879157E-3</v>
      </c>
      <c r="AT106" s="363">
        <v>8.3650676527909206E-3</v>
      </c>
      <c r="AU106" s="365">
        <f t="shared" ca="1" si="6"/>
        <v>4.3274185112083911E-5</v>
      </c>
      <c r="AV106" s="365">
        <f t="shared" ca="1" si="7"/>
        <v>-1.055067652790921E-3</v>
      </c>
    </row>
    <row r="107" spans="2:48">
      <c r="B107" s="348" t="str">
        <f t="shared" ca="1" si="5"/>
        <v>15Yx7Y</v>
      </c>
      <c r="C107" s="345">
        <f t="shared" ca="1" si="4"/>
        <v>42254</v>
      </c>
      <c r="D107" s="346" t="s">
        <v>17</v>
      </c>
      <c r="E107" s="346" t="s">
        <v>13</v>
      </c>
      <c r="F107" s="351">
        <f ca="1">VLOOKUP(F$3&amp;$D107&amp;$E107,'Swaption Volatilities'!$V:$W,2,FALSE)%%</f>
        <v>6.9499999999999996E-3</v>
      </c>
      <c r="G107" s="352">
        <f ca="1">VLOOKUP(G$3&amp;$D107&amp;$E107,'Swaption Volatilities'!$V:$W,2,FALSE)</f>
        <v>1391</v>
      </c>
      <c r="H107" s="346" t="s">
        <v>20</v>
      </c>
      <c r="I107" s="346" t="s">
        <v>21</v>
      </c>
      <c r="J107" s="345">
        <f ca="1">_xll.qlCalendarAdvance(H107,C107,D107,I107)</f>
        <v>47735</v>
      </c>
      <c r="K107" s="345">
        <f ca="1">_xll.qlCalendarAdvance(H107,J107,"2d")</f>
        <v>47737</v>
      </c>
      <c r="L107" s="345">
        <f ca="1">_xll.qlCalendarAdvance(H107,K107,E107,"unadjusted")</f>
        <v>50294</v>
      </c>
      <c r="M107" s="346" t="s">
        <v>7</v>
      </c>
      <c r="N107" s="346" t="s">
        <v>20</v>
      </c>
      <c r="O107" s="346" t="s">
        <v>21</v>
      </c>
      <c r="P107" s="346" t="s">
        <v>21</v>
      </c>
      <c r="Q107" s="346" t="s">
        <v>70</v>
      </c>
      <c r="R107" s="353" t="str">
        <f ca="1">_xll.qlSchedule(,K107,L107,M107,N107,O107,P107,Q107)</f>
        <v>obj_00285#0000</v>
      </c>
      <c r="S107" s="346" t="s">
        <v>19</v>
      </c>
      <c r="T107" s="346" t="s">
        <v>20</v>
      </c>
      <c r="U107" s="346" t="s">
        <v>21</v>
      </c>
      <c r="V107" s="346" t="s">
        <v>21</v>
      </c>
      <c r="W107" s="346" t="s">
        <v>70</v>
      </c>
      <c r="X107" s="353" t="str">
        <f ca="1">_xll.qlSchedule(,K107,L107,S107,T107,U107,V107,W107)</f>
        <v>obj_0038a#0001</v>
      </c>
      <c r="Y107" s="349" t="s">
        <v>1742</v>
      </c>
      <c r="Z107" s="354" t="s">
        <v>36</v>
      </c>
      <c r="AA107" s="354" t="s">
        <v>1745</v>
      </c>
      <c r="AB107" s="353" t="str">
        <f ca="1">_xll.qlVanillaSwap(,,,R107,,Y107,X107,Z107,,AA107)</f>
        <v>obj_00493#0001</v>
      </c>
      <c r="AC107" s="353" t="b">
        <f ca="1">_xll.qlInstrumentSetPricingEngine(AB107,_xll.qlDiscountingSwapEngine(,Curve!$S$16))</f>
        <v>1</v>
      </c>
      <c r="AD107" s="355" t="e">
        <f ca="1">_xll.qlVanillaSwapFairRate(AB107,AC107)</f>
        <v>#NUM!</v>
      </c>
      <c r="AE107" s="346" t="s">
        <v>1752</v>
      </c>
      <c r="AF107" s="347">
        <v>10000</v>
      </c>
      <c r="AG107" s="350" t="str">
        <f ca="1">_xll.qlVanillaSwap(,AE107,AF107,R107,AD107,Y107,X107,Z107,,AA107)</f>
        <v>obj_006d5#0000</v>
      </c>
      <c r="AH107" s="347" t="str">
        <f ca="1">_xll.qlEuropeanExercise(,J107)</f>
        <v>obj_002de#0001</v>
      </c>
      <c r="AI107" s="346" t="s">
        <v>1749</v>
      </c>
      <c r="AJ107" s="356" t="str">
        <f ca="1">_xll.qlSwaption(,AG107,AH107,AI107)</f>
        <v>obj_00787#0001</v>
      </c>
      <c r="AK107" s="357" t="str">
        <f ca="1">_xll.qlConstantSwaptionVolatility(,,H107,I107,F107)</f>
        <v>obj_000a1#0001</v>
      </c>
      <c r="AL107" s="357" t="b">
        <f ca="1">_xll.qlInstrumentSetPricingEngine(AJ107,_xll.qlBachelierBlackSwaptionEngine(,Curve!$S$16,AK107))</f>
        <v>1</v>
      </c>
      <c r="AM107" s="358">
        <f ca="1">_xll.qlInstrumentNPV(AJ107,AL107)*2/_xll.qlYieldTSDiscount(Curve!$S$16,K107)</f>
        <v>1243.1139749536119</v>
      </c>
      <c r="AN107" s="358">
        <f ca="1">_xll.qlInstrumentResults(AJ107,"annuity",AL107)</f>
        <v>48504.585932976617</v>
      </c>
      <c r="AO107" s="359">
        <f ca="1">G107/2*_xll.qlYieldTSDiscount(Curve!$S$16,K107)/AN107</f>
        <v>1.2022492655508579E-2</v>
      </c>
      <c r="AP107" s="360" t="e">
        <f ca="1">_xll.qlBachelierBlackFormulaImpliedVol("Call",AD107,AD107,_xll.qlDayCounterYearFraction("Act/365 (Fixed)",C107,J107),AO107)</f>
        <v>#VALUE!</v>
      </c>
      <c r="AQ107" s="361" t="e">
        <f ca="1">_xll.qlBlackFormulaImpliedStdDev("Call",AD107,AD107,AO107)/SQRT(_xll.qlDayCounterYearFraction("Act/365 (Fixed)",C107,J107))</f>
        <v>#VALUE!</v>
      </c>
      <c r="AS107" s="363">
        <v>6.9314078349541819E-3</v>
      </c>
      <c r="AT107" s="363">
        <v>7.7768009971577569E-3</v>
      </c>
      <c r="AU107" s="365">
        <f t="shared" ca="1" si="6"/>
        <v>1.8592165045817725E-5</v>
      </c>
      <c r="AV107" s="365">
        <f t="shared" ca="1" si="7"/>
        <v>-8.2680099715775734E-4</v>
      </c>
    </row>
    <row r="108" spans="2:48">
      <c r="B108" s="348" t="str">
        <f t="shared" ca="1" si="5"/>
        <v>20Yx7Y</v>
      </c>
      <c r="C108" s="345">
        <f t="shared" ca="1" si="4"/>
        <v>42254</v>
      </c>
      <c r="D108" s="346" t="s">
        <v>104</v>
      </c>
      <c r="E108" s="346" t="s">
        <v>13</v>
      </c>
      <c r="F108" s="351">
        <f ca="1">VLOOKUP(F$3&amp;$D108&amp;$E108,'Swaption Volatilities'!$V:$W,2,FALSE)%%</f>
        <v>6.5099999999999993E-3</v>
      </c>
      <c r="G108" s="352">
        <f ca="1">VLOOKUP(G$3&amp;$D108&amp;$E108,'Swaption Volatilities'!$V:$W,2,FALSE)</f>
        <v>1522</v>
      </c>
      <c r="H108" s="346" t="s">
        <v>20</v>
      </c>
      <c r="I108" s="346" t="s">
        <v>21</v>
      </c>
      <c r="J108" s="345">
        <f ca="1">_xll.qlCalendarAdvance(H108,C108,D108,I108)</f>
        <v>49559</v>
      </c>
      <c r="K108" s="345">
        <f ca="1">_xll.qlCalendarAdvance(H108,J108,"2d")</f>
        <v>49563</v>
      </c>
      <c r="L108" s="345">
        <f ca="1">_xll.qlCalendarAdvance(H108,K108,E108,"unadjusted")</f>
        <v>52120</v>
      </c>
      <c r="M108" s="346" t="s">
        <v>7</v>
      </c>
      <c r="N108" s="346" t="s">
        <v>20</v>
      </c>
      <c r="O108" s="346" t="s">
        <v>21</v>
      </c>
      <c r="P108" s="346" t="s">
        <v>21</v>
      </c>
      <c r="Q108" s="346" t="s">
        <v>70</v>
      </c>
      <c r="R108" s="353" t="str">
        <f ca="1">_xll.qlSchedule(,K108,L108,M108,N108,O108,P108,Q108)</f>
        <v>obj_0055e#0001</v>
      </c>
      <c r="S108" s="346" t="s">
        <v>19</v>
      </c>
      <c r="T108" s="346" t="s">
        <v>20</v>
      </c>
      <c r="U108" s="346" t="s">
        <v>21</v>
      </c>
      <c r="V108" s="346" t="s">
        <v>21</v>
      </c>
      <c r="W108" s="346" t="s">
        <v>70</v>
      </c>
      <c r="X108" s="353" t="str">
        <f ca="1">_xll.qlSchedule(,K108,L108,S108,T108,U108,V108,W108)</f>
        <v>obj_0055d#0001</v>
      </c>
      <c r="Y108" s="349" t="s">
        <v>1742</v>
      </c>
      <c r="Z108" s="354" t="s">
        <v>36</v>
      </c>
      <c r="AA108" s="354" t="s">
        <v>1745</v>
      </c>
      <c r="AB108" s="353" t="str">
        <f ca="1">_xll.qlVanillaSwap(,,,R108,,Y108,X108,Z108,,AA108)</f>
        <v>obj_005e2#0001</v>
      </c>
      <c r="AC108" s="353" t="b">
        <f ca="1">_xll.qlInstrumentSetPricingEngine(AB108,_xll.qlDiscountingSwapEngine(,Curve!$S$16))</f>
        <v>1</v>
      </c>
      <c r="AD108" s="355" t="e">
        <f ca="1">_xll.qlVanillaSwapFairRate(AB108,AC108)</f>
        <v>#NUM!</v>
      </c>
      <c r="AE108" s="346" t="s">
        <v>1752</v>
      </c>
      <c r="AF108" s="347">
        <v>10000</v>
      </c>
      <c r="AG108" s="350" t="str">
        <f ca="1">_xll.qlVanillaSwap(,AE108,AF108,R108,AD108,Y108,X108,Z108,,AA108)</f>
        <v>obj_00686#0000</v>
      </c>
      <c r="AH108" s="347" t="str">
        <f ca="1">_xll.qlEuropeanExercise(,J108)</f>
        <v>obj_003a2#0001</v>
      </c>
      <c r="AI108" s="346" t="s">
        <v>1749</v>
      </c>
      <c r="AJ108" s="356" t="str">
        <f ca="1">_xll.qlSwaption(,AG108,AH108,AI108)</f>
        <v>obj_007b2#0001</v>
      </c>
      <c r="AK108" s="357" t="str">
        <f ca="1">_xll.qlConstantSwaptionVolatility(,,H108,I108,F108)</f>
        <v>obj_00109#0001</v>
      </c>
      <c r="AL108" s="357" t="b">
        <f ca="1">_xll.qlInstrumentSetPricingEngine(AJ108,_xll.qlBachelierBlackSwaptionEngine(,Curve!$S$16,AK108))</f>
        <v>1</v>
      </c>
      <c r="AM108" s="358">
        <f ca="1">_xll.qlInstrumentNPV(AJ108,AL108)*2/_xll.qlYieldTSDiscount(Curve!$S$16,K108)</f>
        <v>1438.4707691982467</v>
      </c>
      <c r="AN108" s="358">
        <f ca="1">_xll.qlInstrumentResults(AJ108,"annuity",AL108)</f>
        <v>47178.277558650276</v>
      </c>
      <c r="AO108" s="359">
        <f ca="1">G108/2*_xll.qlYieldTSDiscount(Curve!$S$16,K108)/AN108</f>
        <v>1.2293296137058329E-2</v>
      </c>
      <c r="AP108" s="360" t="e">
        <f ca="1">_xll.qlBachelierBlackFormulaImpliedVol("Call",AD108,AD108,_xll.qlDayCounterYearFraction("Act/365 (Fixed)",C108,J108),AO108)</f>
        <v>#VALUE!</v>
      </c>
      <c r="AQ108" s="361" t="e">
        <f ca="1">_xll.qlBlackFormulaImpliedStdDev("Call",AD108,AD108,AO108)/SQRT(_xll.qlDayCounterYearFraction("Act/365 (Fixed)",C108,J108))</f>
        <v>#VALUE!</v>
      </c>
      <c r="AS108" s="363">
        <v>6.4991675698961721E-3</v>
      </c>
      <c r="AT108" s="363">
        <v>6.888023178616599E-3</v>
      </c>
      <c r="AU108" s="365">
        <f t="shared" ca="1" si="6"/>
        <v>1.0832430103827236E-5</v>
      </c>
      <c r="AV108" s="365">
        <f t="shared" ca="1" si="7"/>
        <v>-3.7802317861659971E-4</v>
      </c>
    </row>
    <row r="109" spans="2:48">
      <c r="B109" s="348" t="str">
        <f t="shared" ca="1" si="5"/>
        <v>1Mx8Y</v>
      </c>
      <c r="C109" s="345">
        <f t="shared" ca="1" si="4"/>
        <v>42254</v>
      </c>
      <c r="D109" s="346" t="s">
        <v>23</v>
      </c>
      <c r="E109" s="346" t="s">
        <v>14</v>
      </c>
      <c r="F109" s="351">
        <f ca="1">VLOOKUP(F$3&amp;$D109&amp;$E109,'Swaption Volatilities'!$V:$W,2,FALSE)%%</f>
        <v>5.8700000000000011E-3</v>
      </c>
      <c r="G109" s="352">
        <f ca="1">VLOOKUP(G$3&amp;$D109&amp;$E109,'Swaption Volatilities'!$V:$W,2,FALSE)</f>
        <v>104</v>
      </c>
      <c r="H109" s="346" t="s">
        <v>20</v>
      </c>
      <c r="I109" s="346" t="s">
        <v>21</v>
      </c>
      <c r="J109" s="345">
        <f ca="1">_xll.qlCalendarAdvance(H109,C109,D109,I109)</f>
        <v>42284</v>
      </c>
      <c r="K109" s="345">
        <f ca="1">_xll.qlCalendarAdvance(H109,J109,"2d")</f>
        <v>42286</v>
      </c>
      <c r="L109" s="345">
        <f ca="1">_xll.qlCalendarAdvance(H109,K109,E109,"unadjusted")</f>
        <v>45208</v>
      </c>
      <c r="M109" s="346" t="s">
        <v>7</v>
      </c>
      <c r="N109" s="346" t="s">
        <v>20</v>
      </c>
      <c r="O109" s="346" t="s">
        <v>21</v>
      </c>
      <c r="P109" s="346" t="s">
        <v>21</v>
      </c>
      <c r="Q109" s="346" t="s">
        <v>70</v>
      </c>
      <c r="R109" s="353" t="str">
        <f ca="1">_xll.qlSchedule(,K109,L109,M109,N109,O109,P109,Q109)</f>
        <v>obj_00204#0001</v>
      </c>
      <c r="S109" s="346" t="s">
        <v>19</v>
      </c>
      <c r="T109" s="346" t="s">
        <v>20</v>
      </c>
      <c r="U109" s="346" t="s">
        <v>21</v>
      </c>
      <c r="V109" s="346" t="s">
        <v>21</v>
      </c>
      <c r="W109" s="346" t="s">
        <v>70</v>
      </c>
      <c r="X109" s="353" t="str">
        <f ca="1">_xll.qlSchedule(,K109,L109,S109,T109,U109,V109,W109)</f>
        <v>obj_001f0#0000</v>
      </c>
      <c r="Y109" s="349" t="s">
        <v>1742</v>
      </c>
      <c r="Z109" s="354" t="s">
        <v>36</v>
      </c>
      <c r="AA109" s="354" t="s">
        <v>1745</v>
      </c>
      <c r="AB109" s="353" t="str">
        <f ca="1">_xll.qlVanillaSwap(,,,R109,,Y109,X109,Z109,,AA109)</f>
        <v>obj_00205#0000</v>
      </c>
      <c r="AC109" s="353" t="b">
        <f ca="1">_xll.qlInstrumentSetPricingEngine(AB109,_xll.qlDiscountingSwapEngine(,Curve!$S$16))</f>
        <v>1</v>
      </c>
      <c r="AD109" s="355">
        <f ca="1">_xll.qlVanillaSwapFairRate(AB109,AC109)</f>
        <v>7.8224787557197792E-3</v>
      </c>
      <c r="AE109" s="346" t="s">
        <v>1752</v>
      </c>
      <c r="AF109" s="347">
        <v>10000</v>
      </c>
      <c r="AG109" s="350" t="str">
        <f ca="1">_xll.qlVanillaSwap(,AE109,AF109,R109,AD109,Y109,X109,Z109,,AA109)</f>
        <v>obj_0072e#0001</v>
      </c>
      <c r="AH109" s="347" t="str">
        <f ca="1">_xll.qlEuropeanExercise(,J109)</f>
        <v>obj_00382#0001</v>
      </c>
      <c r="AI109" s="346" t="s">
        <v>1749</v>
      </c>
      <c r="AJ109" s="356" t="str">
        <f ca="1">_xll.qlSwaption(,AG109,AH109,AI109)</f>
        <v>obj_0073e#0001</v>
      </c>
      <c r="AK109" s="357" t="str">
        <f ca="1">_xll.qlConstantSwaptionVolatility(,,H109,I109,F109)</f>
        <v>obj_0039e#0001</v>
      </c>
      <c r="AL109" s="357" t="b">
        <f ca="1">_xll.qlInstrumentSetPricingEngine(AJ109,_xll.qlBachelierBlackSwaptionEngine(,Curve!$S$16,AK109))</f>
        <v>1</v>
      </c>
      <c r="AM109" s="358">
        <f ca="1">_xll.qlInstrumentNPV(AJ109,AL109)*2/_xll.qlYieldTSDiscount(Curve!$S$16,K109)</f>
        <v>103.65071409481685</v>
      </c>
      <c r="AN109" s="358">
        <f ca="1">_xll.qlInstrumentResults(AJ109,"annuity",AL109)</f>
        <v>77202.290240856732</v>
      </c>
      <c r="AO109" s="359">
        <f ca="1">G109/2*_xll.qlYieldTSDiscount(Curve!$S$16,K109)/AN109</f>
        <v>6.7363307560293155E-4</v>
      </c>
      <c r="AP109" s="360">
        <f ca="1">_xll.qlBachelierBlackFormulaImpliedVol("Call",AD109,AD109,_xll.qlDayCounterYearFraction("Act/365 (Fixed)",C109,J109),AO109)</f>
        <v>5.8897809371728834E-3</v>
      </c>
      <c r="AQ109" s="361">
        <f ca="1">_xll.qlBlackFormulaImpliedStdDev("Call",AD109,AD109,AO109)/SQRT(_xll.qlDayCounterYearFraction("Act/365 (Fixed)",C109,J109))</f>
        <v>0.75439802446600146</v>
      </c>
      <c r="AS109" s="363">
        <v>5.7443102312794772E-3</v>
      </c>
      <c r="AT109" s="363">
        <v>5.8897809371728834E-3</v>
      </c>
      <c r="AU109" s="365">
        <f t="shared" ca="1" si="6"/>
        <v>1.2568976872052388E-4</v>
      </c>
      <c r="AV109" s="365">
        <f t="shared" ca="1" si="7"/>
        <v>-1.9780937172882325E-5</v>
      </c>
    </row>
    <row r="110" spans="2:48">
      <c r="B110" s="348" t="str">
        <f t="shared" ca="1" si="5"/>
        <v>2Mx8Y</v>
      </c>
      <c r="C110" s="345">
        <f t="shared" ca="1" si="4"/>
        <v>42254</v>
      </c>
      <c r="D110" s="346" t="s">
        <v>398</v>
      </c>
      <c r="E110" s="346" t="s">
        <v>14</v>
      </c>
      <c r="F110" s="351">
        <f ca="1">VLOOKUP(F$3&amp;$D110&amp;$E110,'Swaption Volatilities'!$V:$W,2,FALSE)%%</f>
        <v>5.8799999999999998E-3</v>
      </c>
      <c r="G110" s="352">
        <f ca="1">VLOOKUP(G$3&amp;$D110&amp;$E110,'Swaption Volatilities'!$V:$W,2,FALSE)</f>
        <v>150</v>
      </c>
      <c r="H110" s="346" t="s">
        <v>20</v>
      </c>
      <c r="I110" s="346" t="s">
        <v>21</v>
      </c>
      <c r="J110" s="345">
        <f ca="1">_xll.qlCalendarAdvance(H110,C110,D110,I110)</f>
        <v>42317</v>
      </c>
      <c r="K110" s="345">
        <f ca="1">_xll.qlCalendarAdvance(H110,J110,"2d")</f>
        <v>42319</v>
      </c>
      <c r="L110" s="345">
        <f ca="1">_xll.qlCalendarAdvance(H110,K110,E110,"unadjusted")</f>
        <v>45241</v>
      </c>
      <c r="M110" s="346" t="s">
        <v>7</v>
      </c>
      <c r="N110" s="346" t="s">
        <v>20</v>
      </c>
      <c r="O110" s="346" t="s">
        <v>21</v>
      </c>
      <c r="P110" s="346" t="s">
        <v>21</v>
      </c>
      <c r="Q110" s="346" t="s">
        <v>70</v>
      </c>
      <c r="R110" s="353" t="str">
        <f ca="1">_xll.qlSchedule(,K110,L110,M110,N110,O110,P110,Q110)</f>
        <v>obj_005da#0001</v>
      </c>
      <c r="S110" s="346" t="s">
        <v>19</v>
      </c>
      <c r="T110" s="346" t="s">
        <v>20</v>
      </c>
      <c r="U110" s="346" t="s">
        <v>21</v>
      </c>
      <c r="V110" s="346" t="s">
        <v>21</v>
      </c>
      <c r="W110" s="346" t="s">
        <v>70</v>
      </c>
      <c r="X110" s="353" t="str">
        <f ca="1">_xll.qlSchedule(,K110,L110,S110,T110,U110,V110,W110)</f>
        <v>obj_005db#0001</v>
      </c>
      <c r="Y110" s="349" t="s">
        <v>1742</v>
      </c>
      <c r="Z110" s="354" t="s">
        <v>36</v>
      </c>
      <c r="AA110" s="354" t="s">
        <v>1745</v>
      </c>
      <c r="AB110" s="353" t="str">
        <f ca="1">_xll.qlVanillaSwap(,,,R110,,Y110,X110,Z110,,AA110)</f>
        <v>obj_00624#0001</v>
      </c>
      <c r="AC110" s="353" t="b">
        <f ca="1">_xll.qlInstrumentSetPricingEngine(AB110,_xll.qlDiscountingSwapEngine(,Curve!$S$16))</f>
        <v>1</v>
      </c>
      <c r="AD110" s="355" t="e">
        <f ca="1">_xll.qlVanillaSwapFairRate(AB110,AC110)</f>
        <v>#NUM!</v>
      </c>
      <c r="AE110" s="346" t="s">
        <v>1752</v>
      </c>
      <c r="AF110" s="347">
        <v>10000</v>
      </c>
      <c r="AG110" s="350" t="str">
        <f ca="1">_xll.qlVanillaSwap(,AE110,AF110,R110,AD110,Y110,X110,Z110,,AA110)</f>
        <v>obj_00643#0000</v>
      </c>
      <c r="AH110" s="347" t="str">
        <f ca="1">_xll.qlEuropeanExercise(,J110)</f>
        <v>obj_00489#0001</v>
      </c>
      <c r="AI110" s="346" t="s">
        <v>1749</v>
      </c>
      <c r="AJ110" s="356" t="str">
        <f ca="1">_xll.qlSwaption(,AG110,AH110,AI110)</f>
        <v>obj_00779#0001</v>
      </c>
      <c r="AK110" s="357" t="str">
        <f ca="1">_xll.qlConstantSwaptionVolatility(,,H110,I110,F110)</f>
        <v>obj_000d2#0001</v>
      </c>
      <c r="AL110" s="357" t="b">
        <f ca="1">_xll.qlInstrumentSetPricingEngine(AJ110,_xll.qlBachelierBlackSwaptionEngine(,Curve!$S$16,AK110))</f>
        <v>1</v>
      </c>
      <c r="AM110" s="358">
        <f ca="1">_xll.qlInstrumentNPV(AJ110,AL110)*2/_xll.qlYieldTSDiscount(Curve!$S$16,K110)</f>
        <v>150.29549002855944</v>
      </c>
      <c r="AN110" s="358">
        <f ca="1">_xll.qlInstrumentResults(AJ110,"annuity",AL110)</f>
        <v>77127.35175596505</v>
      </c>
      <c r="AO110" s="359">
        <f ca="1">G110/2*_xll.qlYieldTSDiscount(Curve!$S$16,K110)/AN110</f>
        <v>9.7264989602331773E-4</v>
      </c>
      <c r="AP110" s="360" t="e">
        <f ca="1">_xll.qlBachelierBlackFormulaImpliedVol("Call",AD110,AD110,_xll.qlDayCounterYearFraction("Act/365 (Fixed)",C110,J110),AO110)</f>
        <v>#VALUE!</v>
      </c>
      <c r="AQ110" s="361" t="e">
        <f ca="1">_xll.qlBlackFormulaImpliedStdDev("Call",AD110,AD110,AO110)/SQRT(_xll.qlDayCounterYearFraction("Act/365 (Fixed)",C110,J110))</f>
        <v>#VALUE!</v>
      </c>
      <c r="AS110" s="363">
        <v>5.7175147846101294E-3</v>
      </c>
      <c r="AT110" s="363">
        <v>5.8684395641706577E-3</v>
      </c>
      <c r="AU110" s="365">
        <f t="shared" ca="1" si="6"/>
        <v>1.6248521538987041E-4</v>
      </c>
      <c r="AV110" s="365">
        <f t="shared" ca="1" si="7"/>
        <v>1.1560435829342103E-5</v>
      </c>
    </row>
    <row r="111" spans="2:48">
      <c r="B111" s="348" t="str">
        <f t="shared" ca="1" si="5"/>
        <v>3Mx8Y</v>
      </c>
      <c r="C111" s="345">
        <f t="shared" ca="1" si="4"/>
        <v>42254</v>
      </c>
      <c r="D111" s="346" t="s">
        <v>26</v>
      </c>
      <c r="E111" s="346" t="s">
        <v>14</v>
      </c>
      <c r="F111" s="351">
        <f ca="1">VLOOKUP(F$3&amp;$D111&amp;$E111,'Swaption Volatilities'!$V:$W,2,FALSE)%%</f>
        <v>5.8999999999999999E-3</v>
      </c>
      <c r="G111" s="352">
        <f ca="1">VLOOKUP(G$3&amp;$D111&amp;$E111,'Swaption Volatilities'!$V:$W,2,FALSE)</f>
        <v>181</v>
      </c>
      <c r="H111" s="346" t="s">
        <v>20</v>
      </c>
      <c r="I111" s="346" t="s">
        <v>21</v>
      </c>
      <c r="J111" s="345">
        <f ca="1">_xll.qlCalendarAdvance(H111,C111,D111,I111)</f>
        <v>42345</v>
      </c>
      <c r="K111" s="345">
        <f ca="1">_xll.qlCalendarAdvance(H111,J111,"2d")</f>
        <v>42347</v>
      </c>
      <c r="L111" s="345">
        <f ca="1">_xll.qlCalendarAdvance(H111,K111,E111,"unadjusted")</f>
        <v>45269</v>
      </c>
      <c r="M111" s="346" t="s">
        <v>7</v>
      </c>
      <c r="N111" s="346" t="s">
        <v>20</v>
      </c>
      <c r="O111" s="346" t="s">
        <v>21</v>
      </c>
      <c r="P111" s="346" t="s">
        <v>21</v>
      </c>
      <c r="Q111" s="346" t="s">
        <v>70</v>
      </c>
      <c r="R111" s="353" t="str">
        <f ca="1">_xll.qlSchedule(,K111,L111,M111,N111,O111,P111,Q111)</f>
        <v>obj_00536#0000</v>
      </c>
      <c r="S111" s="346" t="s">
        <v>19</v>
      </c>
      <c r="T111" s="346" t="s">
        <v>20</v>
      </c>
      <c r="U111" s="346" t="s">
        <v>21</v>
      </c>
      <c r="V111" s="346" t="s">
        <v>21</v>
      </c>
      <c r="W111" s="346" t="s">
        <v>70</v>
      </c>
      <c r="X111" s="353" t="str">
        <f ca="1">_xll.qlSchedule(,K111,L111,S111,T111,U111,V111,W111)</f>
        <v>obj_00537#0001</v>
      </c>
      <c r="Y111" s="349" t="s">
        <v>1742</v>
      </c>
      <c r="Z111" s="354" t="s">
        <v>36</v>
      </c>
      <c r="AA111" s="354" t="s">
        <v>1745</v>
      </c>
      <c r="AB111" s="353" t="str">
        <f ca="1">_xll.qlVanillaSwap(,,,R111,,Y111,X111,Z111,,AA111)</f>
        <v>obj_005ce#0001</v>
      </c>
      <c r="AC111" s="353" t="b">
        <f ca="1">_xll.qlInstrumentSetPricingEngine(AB111,_xll.qlDiscountingSwapEngine(,Curve!$S$16))</f>
        <v>1</v>
      </c>
      <c r="AD111" s="355" t="e">
        <f ca="1">_xll.qlVanillaSwapFairRate(AB111,AC111)</f>
        <v>#NUM!</v>
      </c>
      <c r="AE111" s="346" t="s">
        <v>1752</v>
      </c>
      <c r="AF111" s="347">
        <v>10000</v>
      </c>
      <c r="AG111" s="350" t="e">
        <f ca="1">_xll.qlVanillaSwap(,AE111,AF111,R111,AD111,Y111,X111,Z111,,AA111)</f>
        <v>#NUM!</v>
      </c>
      <c r="AH111" s="347" t="str">
        <f ca="1">_xll.qlEuropeanExercise(,J111)</f>
        <v>obj_0047a#0001</v>
      </c>
      <c r="AI111" s="346" t="s">
        <v>1749</v>
      </c>
      <c r="AJ111" s="356" t="e">
        <f ca="1">_xll.qlSwaption(,AG111,AH111,AI111)</f>
        <v>#VALUE!</v>
      </c>
      <c r="AK111" s="357" t="str">
        <f ca="1">_xll.qlConstantSwaptionVolatility(,,H111,I111,F111)</f>
        <v>obj_000a0#0001</v>
      </c>
      <c r="AL111" s="357" t="e">
        <f ca="1">_xll.qlInstrumentSetPricingEngine(AJ111,_xll.qlBachelierBlackSwaptionEngine(,Curve!$S$16,AK111))</f>
        <v>#VALUE!</v>
      </c>
      <c r="AM111" s="358" t="e">
        <f ca="1">_xll.qlInstrumentNPV(AJ111,AL111)*2/_xll.qlYieldTSDiscount(Curve!$S$16,K111)</f>
        <v>#VALUE!</v>
      </c>
      <c r="AN111" s="358" t="e">
        <f ca="1">_xll.qlInstrumentResults(AJ111,"annuity",AL111)</f>
        <v>#VALUE!</v>
      </c>
      <c r="AO111" s="359" t="e">
        <f ca="1">G111/2*_xll.qlYieldTSDiscount(Curve!$S$16,K111)/AN111</f>
        <v>#VALUE!</v>
      </c>
      <c r="AP111" s="360" t="e">
        <f ca="1">_xll.qlBachelierBlackFormulaImpliedVol("Call",AD111,AD111,_xll.qlDayCounterYearFraction("Act/365 (Fixed)",C111,J111),AO111)</f>
        <v>#VALUE!</v>
      </c>
      <c r="AQ111" s="361" t="e">
        <f ca="1">_xll.qlBlackFormulaImpliedStdDev("Call",AD111,AD111,AO111)/SQRT(_xll.qlDayCounterYearFraction("Act/365 (Fixed)",C111,J111))</f>
        <v>#VALUE!</v>
      </c>
      <c r="AS111" s="363">
        <v>5.7439876217687692E-3</v>
      </c>
      <c r="AT111" s="363">
        <v>5.9009644425632776E-3</v>
      </c>
      <c r="AU111" s="365">
        <f t="shared" ca="1" si="6"/>
        <v>1.560123782312307E-4</v>
      </c>
      <c r="AV111" s="365">
        <f t="shared" ca="1" si="7"/>
        <v>-9.6444256327769123E-7</v>
      </c>
    </row>
    <row r="112" spans="2:48">
      <c r="B112" s="348" t="str">
        <f t="shared" ca="1" si="5"/>
        <v>6Mx8Y</v>
      </c>
      <c r="C112" s="345">
        <f t="shared" ca="1" si="4"/>
        <v>42254</v>
      </c>
      <c r="D112" s="346" t="s">
        <v>19</v>
      </c>
      <c r="E112" s="346" t="s">
        <v>14</v>
      </c>
      <c r="F112" s="351">
        <f ca="1">VLOOKUP(F$3&amp;$D112&amp;$E112,'Swaption Volatilities'!$V:$W,2,FALSE)%%</f>
        <v>5.9499999999999996E-3</v>
      </c>
      <c r="G112" s="352">
        <f ca="1">VLOOKUP(G$3&amp;$D112&amp;$E112,'Swaption Volatilities'!$V:$W,2,FALSE)</f>
        <v>258</v>
      </c>
      <c r="H112" s="346" t="s">
        <v>20</v>
      </c>
      <c r="I112" s="346" t="s">
        <v>21</v>
      </c>
      <c r="J112" s="345">
        <f ca="1">_xll.qlCalendarAdvance(H112,C112,D112,I112)</f>
        <v>42436</v>
      </c>
      <c r="K112" s="345">
        <f ca="1">_xll.qlCalendarAdvance(H112,J112,"2d")</f>
        <v>42438</v>
      </c>
      <c r="L112" s="345">
        <f ca="1">_xll.qlCalendarAdvance(H112,K112,E112,"unadjusted")</f>
        <v>45360</v>
      </c>
      <c r="M112" s="346" t="s">
        <v>7</v>
      </c>
      <c r="N112" s="346" t="s">
        <v>20</v>
      </c>
      <c r="O112" s="346" t="s">
        <v>21</v>
      </c>
      <c r="P112" s="346" t="s">
        <v>21</v>
      </c>
      <c r="Q112" s="346" t="s">
        <v>70</v>
      </c>
      <c r="R112" s="353" t="str">
        <f ca="1">_xll.qlSchedule(,K112,L112,M112,N112,O112,P112,Q112)</f>
        <v>obj_003e5#0001</v>
      </c>
      <c r="S112" s="346" t="s">
        <v>19</v>
      </c>
      <c r="T112" s="346" t="s">
        <v>20</v>
      </c>
      <c r="U112" s="346" t="s">
        <v>21</v>
      </c>
      <c r="V112" s="346" t="s">
        <v>21</v>
      </c>
      <c r="W112" s="346" t="s">
        <v>70</v>
      </c>
      <c r="X112" s="353" t="str">
        <f ca="1">_xll.qlSchedule(,K112,L112,S112,T112,U112,V112,W112)</f>
        <v>obj_00203#0001</v>
      </c>
      <c r="Y112" s="349" t="s">
        <v>1742</v>
      </c>
      <c r="Z112" s="354" t="s">
        <v>36</v>
      </c>
      <c r="AA112" s="354" t="s">
        <v>1745</v>
      </c>
      <c r="AB112" s="353" t="str">
        <f ca="1">_xll.qlVanillaSwap(,,,R112,,Y112,X112,Z112,,AA112)</f>
        <v>obj_00507#0001</v>
      </c>
      <c r="AC112" s="353" t="b">
        <f ca="1">_xll.qlInstrumentSetPricingEngine(AB112,_xll.qlDiscountingSwapEngine(,Curve!$S$16))</f>
        <v>1</v>
      </c>
      <c r="AD112" s="355" t="e">
        <f ca="1">_xll.qlVanillaSwapFairRate(AB112,AC112)</f>
        <v>#NUM!</v>
      </c>
      <c r="AE112" s="346" t="s">
        <v>1752</v>
      </c>
      <c r="AF112" s="347">
        <v>10000</v>
      </c>
      <c r="AG112" s="350" t="str">
        <f ca="1">_xll.qlVanillaSwap(,AE112,AF112,R112,AD112,Y112,X112,Z112,,AA112)</f>
        <v>obj_00699#0000</v>
      </c>
      <c r="AH112" s="347" t="str">
        <f ca="1">_xll.qlEuropeanExercise(,J112)</f>
        <v>obj_002db#0001</v>
      </c>
      <c r="AI112" s="346" t="s">
        <v>1749</v>
      </c>
      <c r="AJ112" s="356" t="str">
        <f ca="1">_xll.qlSwaption(,AG112,AH112,AI112)</f>
        <v>obj_0078f#0001</v>
      </c>
      <c r="AK112" s="357" t="str">
        <f ca="1">_xll.qlConstantSwaptionVolatility(,,H112,I112,F112)</f>
        <v>obj_0037d#0001</v>
      </c>
      <c r="AL112" s="357" t="b">
        <f ca="1">_xll.qlInstrumentSetPricingEngine(AJ112,_xll.qlBachelierBlackSwaptionEngine(,Curve!$S$16,AK112))</f>
        <v>1</v>
      </c>
      <c r="AM112" s="358">
        <f ca="1">_xll.qlInstrumentNPV(AJ112,AL112)*2/_xll.qlYieldTSDiscount(Curve!$S$16,K112)</f>
        <v>256.76199457582737</v>
      </c>
      <c r="AN112" s="358">
        <f ca="1">_xll.qlInstrumentResults(AJ112,"annuity",AL112)</f>
        <v>76646.995736998681</v>
      </c>
      <c r="AO112" s="359">
        <f ca="1">G112/2*_xll.qlYieldTSDiscount(Curve!$S$16,K112)/AN112</f>
        <v>1.6842449683102318E-3</v>
      </c>
      <c r="AP112" s="360" t="e">
        <f ca="1">_xll.qlBachelierBlackFormulaImpliedVol("Call",AD112,AD112,_xll.qlDayCounterYearFraction("Act/365 (Fixed)",C112,J112),AO112)</f>
        <v>#VALUE!</v>
      </c>
      <c r="AQ112" s="361" t="e">
        <f ca="1">_xll.qlBlackFormulaImpliedStdDev("Call",AD112,AD112,AO112)/SQRT(_xll.qlDayCounterYearFraction("Act/365 (Fixed)",C112,J112))</f>
        <v>#VALUE!</v>
      </c>
      <c r="AS112" s="363">
        <v>5.8017565644619025E-3</v>
      </c>
      <c r="AT112" s="363">
        <v>5.9786885615060884E-3</v>
      </c>
      <c r="AU112" s="365">
        <f t="shared" ca="1" si="6"/>
        <v>1.4824343553809707E-4</v>
      </c>
      <c r="AV112" s="365">
        <f t="shared" ca="1" si="7"/>
        <v>-2.8688561506088825E-5</v>
      </c>
    </row>
    <row r="113" spans="2:48">
      <c r="B113" s="348" t="str">
        <f t="shared" ca="1" si="5"/>
        <v>9Mx8Y</v>
      </c>
      <c r="C113" s="345">
        <f t="shared" ca="1" si="4"/>
        <v>42254</v>
      </c>
      <c r="D113" s="346" t="s">
        <v>412</v>
      </c>
      <c r="E113" s="346" t="s">
        <v>14</v>
      </c>
      <c r="F113" s="351">
        <f ca="1">VLOOKUP(F$3&amp;$D113&amp;$E113,'Swaption Volatilities'!$V:$W,2,FALSE)%%</f>
        <v>6.0299999999999998E-3</v>
      </c>
      <c r="G113" s="352">
        <f ca="1">VLOOKUP(G$3&amp;$D113&amp;$E113,'Swaption Volatilities'!$V:$W,2,FALSE)</f>
        <v>320</v>
      </c>
      <c r="H113" s="346" t="s">
        <v>20</v>
      </c>
      <c r="I113" s="346" t="s">
        <v>21</v>
      </c>
      <c r="J113" s="345">
        <f ca="1">_xll.qlCalendarAdvance(H113,C113,D113,I113)</f>
        <v>42528</v>
      </c>
      <c r="K113" s="345">
        <f ca="1">_xll.qlCalendarAdvance(H113,J113,"2d")</f>
        <v>42530</v>
      </c>
      <c r="L113" s="345">
        <f ca="1">_xll.qlCalendarAdvance(H113,K113,E113,"unadjusted")</f>
        <v>45452</v>
      </c>
      <c r="M113" s="346" t="s">
        <v>7</v>
      </c>
      <c r="N113" s="346" t="s">
        <v>20</v>
      </c>
      <c r="O113" s="346" t="s">
        <v>21</v>
      </c>
      <c r="P113" s="346" t="s">
        <v>21</v>
      </c>
      <c r="Q113" s="346" t="s">
        <v>70</v>
      </c>
      <c r="R113" s="353" t="str">
        <f ca="1">_xll.qlSchedule(,K113,L113,M113,N113,O113,P113,Q113)</f>
        <v>obj_00521#0001</v>
      </c>
      <c r="S113" s="346" t="s">
        <v>19</v>
      </c>
      <c r="T113" s="346" t="s">
        <v>20</v>
      </c>
      <c r="U113" s="346" t="s">
        <v>21</v>
      </c>
      <c r="V113" s="346" t="s">
        <v>21</v>
      </c>
      <c r="W113" s="346" t="s">
        <v>70</v>
      </c>
      <c r="X113" s="353" t="str">
        <f ca="1">_xll.qlSchedule(,K113,L113,S113,T113,U113,V113,W113)</f>
        <v>obj_00522#0001</v>
      </c>
      <c r="Y113" s="349" t="s">
        <v>1742</v>
      </c>
      <c r="Z113" s="354" t="s">
        <v>36</v>
      </c>
      <c r="AA113" s="354" t="s">
        <v>1745</v>
      </c>
      <c r="AB113" s="353" t="str">
        <f ca="1">_xll.qlVanillaSwap(,,,R113,,Y113,X113,Z113,,AA113)</f>
        <v>obj_005bc#0001</v>
      </c>
      <c r="AC113" s="353" t="b">
        <f ca="1">_xll.qlInstrumentSetPricingEngine(AB113,_xll.qlDiscountingSwapEngine(,Curve!$S$16))</f>
        <v>1</v>
      </c>
      <c r="AD113" s="355" t="e">
        <f ca="1">_xll.qlVanillaSwapFairRate(AB113,AC113)</f>
        <v>#NUM!</v>
      </c>
      <c r="AE113" s="346" t="s">
        <v>1752</v>
      </c>
      <c r="AF113" s="347">
        <v>10000</v>
      </c>
      <c r="AG113" s="350" t="str">
        <f ca="1">_xll.qlVanillaSwap(,AE113,AF113,R113,AD113,Y113,X113,Z113,,AA113)</f>
        <v>obj_00652#0000</v>
      </c>
      <c r="AH113" s="347" t="str">
        <f ca="1">_xll.qlEuropeanExercise(,J113)</f>
        <v>obj_0027a#0001</v>
      </c>
      <c r="AI113" s="346" t="s">
        <v>1749</v>
      </c>
      <c r="AJ113" s="356" t="str">
        <f ca="1">_xll.qlSwaption(,AG113,AH113,AI113)</f>
        <v>obj_00796#0001</v>
      </c>
      <c r="AK113" s="357" t="str">
        <f ca="1">_xll.qlConstantSwaptionVolatility(,,H113,I113,F113)</f>
        <v>obj_001c4#0001</v>
      </c>
      <c r="AL113" s="357" t="b">
        <f ca="1">_xll.qlInstrumentSetPricingEngine(AJ113,_xll.qlBachelierBlackSwaptionEngine(,Curve!$S$16,AK113))</f>
        <v>1</v>
      </c>
      <c r="AM113" s="358">
        <f ca="1">_xll.qlInstrumentNPV(AJ113,AL113)*2/_xll.qlYieldTSDiscount(Curve!$S$16,K113)</f>
        <v>317.40660364822747</v>
      </c>
      <c r="AN113" s="358">
        <f ca="1">_xll.qlInstrumentResults(AJ113,"annuity",AL113)</f>
        <v>76227.641783500934</v>
      </c>
      <c r="AO113" s="359">
        <f ca="1">G113/2*_xll.qlYieldTSDiscount(Curve!$S$16,K113)/AN113</f>
        <v>2.1013105813174754E-3</v>
      </c>
      <c r="AP113" s="360" t="e">
        <f ca="1">_xll.qlBachelierBlackFormulaImpliedVol("Call",AD113,AD113,_xll.qlDayCounterYearFraction("Act/365 (Fixed)",C113,J113),AO113)</f>
        <v>#VALUE!</v>
      </c>
      <c r="AQ113" s="361" t="e">
        <f ca="1">_xll.qlBlackFormulaImpliedStdDev("Call",AD113,AD113,AO113)/SQRT(_xll.qlDayCounterYearFraction("Act/365 (Fixed)",C113,J113))</f>
        <v>#VALUE!</v>
      </c>
      <c r="AS113" s="363">
        <v>5.8803215924390605E-3</v>
      </c>
      <c r="AT113" s="363">
        <v>6.0792686031777921E-3</v>
      </c>
      <c r="AU113" s="365">
        <f t="shared" ca="1" si="6"/>
        <v>1.496784075609393E-4</v>
      </c>
      <c r="AV113" s="365">
        <f t="shared" ca="1" si="7"/>
        <v>-4.9268603177792317E-5</v>
      </c>
    </row>
    <row r="114" spans="2:48">
      <c r="B114" s="348" t="str">
        <f t="shared" ca="1" si="5"/>
        <v>1Yx8Y</v>
      </c>
      <c r="C114" s="345">
        <f t="shared" ca="1" si="4"/>
        <v>42254</v>
      </c>
      <c r="D114" s="346" t="s">
        <v>7</v>
      </c>
      <c r="E114" s="346" t="s">
        <v>14</v>
      </c>
      <c r="F114" s="351">
        <f ca="1">VLOOKUP(F$3&amp;$D114&amp;$E114,'Swaption Volatilities'!$V:$W,2,FALSE)%%</f>
        <v>6.2900000000000005E-3</v>
      </c>
      <c r="G114" s="352">
        <f ca="1">VLOOKUP(G$3&amp;$D114&amp;$E114,'Swaption Volatilities'!$V:$W,2,FALSE)</f>
        <v>384</v>
      </c>
      <c r="H114" s="346" t="s">
        <v>20</v>
      </c>
      <c r="I114" s="346" t="s">
        <v>21</v>
      </c>
      <c r="J114" s="345">
        <f ca="1">_xll.qlCalendarAdvance(H114,C114,D114,I114)</f>
        <v>42620</v>
      </c>
      <c r="K114" s="345">
        <f ca="1">_xll.qlCalendarAdvance(H114,J114,"2d")</f>
        <v>42622</v>
      </c>
      <c r="L114" s="345">
        <f ca="1">_xll.qlCalendarAdvance(H114,K114,E114,"unadjusted")</f>
        <v>45544</v>
      </c>
      <c r="M114" s="346" t="s">
        <v>7</v>
      </c>
      <c r="N114" s="346" t="s">
        <v>20</v>
      </c>
      <c r="O114" s="346" t="s">
        <v>21</v>
      </c>
      <c r="P114" s="346" t="s">
        <v>21</v>
      </c>
      <c r="Q114" s="346" t="s">
        <v>70</v>
      </c>
      <c r="R114" s="353" t="str">
        <f ca="1">_xll.qlSchedule(,K114,L114,M114,N114,O114,P114,Q114)</f>
        <v>obj_003e8#0001</v>
      </c>
      <c r="S114" s="346" t="s">
        <v>19</v>
      </c>
      <c r="T114" s="346" t="s">
        <v>20</v>
      </c>
      <c r="U114" s="346" t="s">
        <v>21</v>
      </c>
      <c r="V114" s="346" t="s">
        <v>21</v>
      </c>
      <c r="W114" s="346" t="s">
        <v>70</v>
      </c>
      <c r="X114" s="353" t="str">
        <f ca="1">_xll.qlSchedule(,K114,L114,S114,T114,U114,V114,W114)</f>
        <v>obj_00295#0001</v>
      </c>
      <c r="Y114" s="349" t="s">
        <v>1742</v>
      </c>
      <c r="Z114" s="354" t="s">
        <v>36</v>
      </c>
      <c r="AA114" s="354" t="s">
        <v>1745</v>
      </c>
      <c r="AB114" s="353" t="str">
        <f ca="1">_xll.qlVanillaSwap(,,,R114,,Y114,X114,Z114,,AA114)</f>
        <v>obj_00509#0001</v>
      </c>
      <c r="AC114" s="353" t="b">
        <f ca="1">_xll.qlInstrumentSetPricingEngine(AB114,_xll.qlDiscountingSwapEngine(,Curve!$S$16))</f>
        <v>1</v>
      </c>
      <c r="AD114" s="355" t="e">
        <f ca="1">_xll.qlVanillaSwapFairRate(AB114,AC114)</f>
        <v>#NUM!</v>
      </c>
      <c r="AE114" s="346" t="s">
        <v>1752</v>
      </c>
      <c r="AF114" s="347">
        <v>10000</v>
      </c>
      <c r="AG114" s="350" t="e">
        <f ca="1">_xll.qlVanillaSwap(,AE114,AF114,R114,AD114,Y114,X114,Z114,,AA114)</f>
        <v>#NUM!</v>
      </c>
      <c r="AH114" s="347" t="str">
        <f ca="1">_xll.qlEuropeanExercise(,J114)</f>
        <v>obj_00128#0001</v>
      </c>
      <c r="AI114" s="346" t="s">
        <v>1749</v>
      </c>
      <c r="AJ114" s="356" t="e">
        <f ca="1">_xll.qlSwaption(,AG114,AH114,AI114)</f>
        <v>#VALUE!</v>
      </c>
      <c r="AK114" s="357" t="str">
        <f ca="1">_xll.qlConstantSwaptionVolatility(,,H114,I114,F114)</f>
        <v>obj_00108#0001</v>
      </c>
      <c r="AL114" s="357" t="e">
        <f ca="1">_xll.qlInstrumentSetPricingEngine(AJ114,_xll.qlBachelierBlackSwaptionEngine(,Curve!$S$16,AK114))</f>
        <v>#VALUE!</v>
      </c>
      <c r="AM114" s="358" t="e">
        <f ca="1">_xll.qlInstrumentNPV(AJ114,AL114)*2/_xll.qlYieldTSDiscount(Curve!$S$16,K114)</f>
        <v>#VALUE!</v>
      </c>
      <c r="AN114" s="358" t="e">
        <f ca="1">_xll.qlInstrumentResults(AJ114,"annuity",AL114)</f>
        <v>#VALUE!</v>
      </c>
      <c r="AO114" s="359" t="e">
        <f ca="1">G114/2*_xll.qlYieldTSDiscount(Curve!$S$16,K114)/AN114</f>
        <v>#VALUE!</v>
      </c>
      <c r="AP114" s="360" t="e">
        <f ca="1">_xll.qlBachelierBlackFormulaImpliedVol("Call",AD114,AD114,_xll.qlDayCounterYearFraction("Act/365 (Fixed)",C114,J114),AO114)</f>
        <v>#VALUE!</v>
      </c>
      <c r="AQ114" s="361" t="e">
        <f ca="1">_xll.qlBlackFormulaImpliedStdDev("Call",AD114,AD114,AO114)/SQRT(_xll.qlDayCounterYearFraction("Act/365 (Fixed)",C114,J114))</f>
        <v>#VALUE!</v>
      </c>
      <c r="AS114" s="363">
        <v>6.1225897399389811E-3</v>
      </c>
      <c r="AT114" s="363">
        <v>6.3513416335593507E-3</v>
      </c>
      <c r="AU114" s="365">
        <f t="shared" ca="1" si="6"/>
        <v>1.6741026006101938E-4</v>
      </c>
      <c r="AV114" s="365">
        <f t="shared" ca="1" si="7"/>
        <v>-6.1341633559350295E-5</v>
      </c>
    </row>
    <row r="115" spans="2:48">
      <c r="B115" s="348" t="str">
        <f t="shared" ca="1" si="5"/>
        <v>18Mx8Y</v>
      </c>
      <c r="C115" s="345">
        <f t="shared" ca="1" si="4"/>
        <v>42254</v>
      </c>
      <c r="D115" s="346" t="s">
        <v>154</v>
      </c>
      <c r="E115" s="346" t="s">
        <v>14</v>
      </c>
      <c r="F115" s="351">
        <f ca="1">VLOOKUP(F$3&amp;$D115&amp;$E115,'Swaption Volatilities'!$V:$W,2,FALSE)%%</f>
        <v>6.5400000000000007E-3</v>
      </c>
      <c r="G115" s="352">
        <f ca="1">VLOOKUP(G$3&amp;$D115&amp;$E115,'Swaption Volatilities'!$V:$W,2,FALSE)</f>
        <v>486</v>
      </c>
      <c r="H115" s="346" t="s">
        <v>20</v>
      </c>
      <c r="I115" s="346" t="s">
        <v>21</v>
      </c>
      <c r="J115" s="345">
        <f ca="1">_xll.qlCalendarAdvance(H115,C115,D115,I115)</f>
        <v>42801</v>
      </c>
      <c r="K115" s="345">
        <f ca="1">_xll.qlCalendarAdvance(H115,J115,"2d")</f>
        <v>42803</v>
      </c>
      <c r="L115" s="345">
        <f ca="1">_xll.qlCalendarAdvance(H115,K115,E115,"unadjusted")</f>
        <v>45725</v>
      </c>
      <c r="M115" s="346" t="s">
        <v>7</v>
      </c>
      <c r="N115" s="346" t="s">
        <v>20</v>
      </c>
      <c r="O115" s="346" t="s">
        <v>21</v>
      </c>
      <c r="P115" s="346" t="s">
        <v>21</v>
      </c>
      <c r="Q115" s="346" t="s">
        <v>70</v>
      </c>
      <c r="R115" s="353" t="str">
        <f ca="1">_xll.qlSchedule(,K115,L115,M115,N115,O115,P115,Q115)</f>
        <v>obj_00514#0001</v>
      </c>
      <c r="S115" s="346" t="s">
        <v>19</v>
      </c>
      <c r="T115" s="346" t="s">
        <v>20</v>
      </c>
      <c r="U115" s="346" t="s">
        <v>21</v>
      </c>
      <c r="V115" s="346" t="s">
        <v>21</v>
      </c>
      <c r="W115" s="346" t="s">
        <v>70</v>
      </c>
      <c r="X115" s="353" t="str">
        <f ca="1">_xll.qlSchedule(,K115,L115,S115,T115,U115,V115,W115)</f>
        <v>obj_00515#0001</v>
      </c>
      <c r="Y115" s="349" t="s">
        <v>1742</v>
      </c>
      <c r="Z115" s="354" t="s">
        <v>36</v>
      </c>
      <c r="AA115" s="354" t="s">
        <v>1745</v>
      </c>
      <c r="AB115" s="353" t="str">
        <f ca="1">_xll.qlVanillaSwap(,,,R115,,Y115,X115,Z115,,AA115)</f>
        <v>obj_005b1#0001</v>
      </c>
      <c r="AC115" s="353" t="b">
        <f ca="1">_xll.qlInstrumentSetPricingEngine(AB115,_xll.qlDiscountingSwapEngine(,Curve!$S$16))</f>
        <v>1</v>
      </c>
      <c r="AD115" s="355" t="e">
        <f ca="1">_xll.qlVanillaSwapFairRate(AB115,AC115)</f>
        <v>#NUM!</v>
      </c>
      <c r="AE115" s="346" t="s">
        <v>1752</v>
      </c>
      <c r="AF115" s="347">
        <v>10000</v>
      </c>
      <c r="AG115" s="350" t="str">
        <f ca="1">_xll.qlVanillaSwap(,AE115,AF115,R115,AD115,Y115,X115,Z115,,AA115)</f>
        <v>obj_0068d#0000</v>
      </c>
      <c r="AH115" s="347" t="str">
        <f ca="1">_xll.qlEuropeanExercise(,J115)</f>
        <v>obj_001ab#0001</v>
      </c>
      <c r="AI115" s="346" t="s">
        <v>1749</v>
      </c>
      <c r="AJ115" s="356" t="str">
        <f ca="1">_xll.qlSwaption(,AG115,AH115,AI115)</f>
        <v>obj_007b1#0001</v>
      </c>
      <c r="AK115" s="357" t="str">
        <f ca="1">_xll.qlConstantSwaptionVolatility(,,H115,I115,F115)</f>
        <v>obj_0009f#0001</v>
      </c>
      <c r="AL115" s="357" t="b">
        <f ca="1">_xll.qlInstrumentSetPricingEngine(AJ115,_xll.qlBachelierBlackSwaptionEngine(,Curve!$S$16,AK115))</f>
        <v>1</v>
      </c>
      <c r="AM115" s="358">
        <f ca="1">_xll.qlInstrumentNPV(AJ115,AL115)*2/_xll.qlYieldTSDiscount(Curve!$S$16,K115)</f>
        <v>477.54867979700532</v>
      </c>
      <c r="AN115" s="358">
        <f ca="1">_xll.qlInstrumentResults(AJ115,"annuity",AL115)</f>
        <v>74924.94359557773</v>
      </c>
      <c r="AO115" s="359">
        <f ca="1">G115/2*_xll.qlYieldTSDiscount(Curve!$S$16,K115)/AN115</f>
        <v>3.2505261600607018E-3</v>
      </c>
      <c r="AP115" s="360" t="e">
        <f ca="1">_xll.qlBachelierBlackFormulaImpliedVol("Call",AD115,AD115,_xll.qlDayCounterYearFraction("Act/365 (Fixed)",C115,J115),AO115)</f>
        <v>#VALUE!</v>
      </c>
      <c r="AQ115" s="361" t="e">
        <f ca="1">_xll.qlBlackFormulaImpliedStdDev("Call",AD115,AD115,AO115)/SQRT(_xll.qlDayCounterYearFraction("Act/365 (Fixed)",C115,J115))</f>
        <v>#VALUE!</v>
      </c>
      <c r="AS115" s="363">
        <v>6.3698805857869342E-3</v>
      </c>
      <c r="AT115" s="363">
        <v>6.6557403139530687E-3</v>
      </c>
      <c r="AU115" s="365">
        <f t="shared" ca="1" si="6"/>
        <v>1.7011941421306645E-4</v>
      </c>
      <c r="AV115" s="365">
        <f t="shared" ca="1" si="7"/>
        <v>-1.15740313953068E-4</v>
      </c>
    </row>
    <row r="116" spans="2:48">
      <c r="B116" s="348" t="str">
        <f t="shared" ca="1" si="5"/>
        <v>2Yx8Y</v>
      </c>
      <c r="C116" s="345">
        <f t="shared" ca="1" si="4"/>
        <v>42254</v>
      </c>
      <c r="D116" s="346" t="s">
        <v>8</v>
      </c>
      <c r="E116" s="346" t="s">
        <v>14</v>
      </c>
      <c r="F116" s="351">
        <f ca="1">VLOOKUP(F$3&amp;$D116&amp;$E116,'Swaption Volatilities'!$V:$W,2,FALSE)%%</f>
        <v>6.8299999999999993E-3</v>
      </c>
      <c r="G116" s="352">
        <f ca="1">VLOOKUP(G$3&amp;$D116&amp;$E116,'Swaption Volatilities'!$V:$W,2,FALSE)</f>
        <v>584</v>
      </c>
      <c r="H116" s="346" t="s">
        <v>20</v>
      </c>
      <c r="I116" s="346" t="s">
        <v>21</v>
      </c>
      <c r="J116" s="345">
        <f ca="1">_xll.qlCalendarAdvance(H116,C116,D116,I116)</f>
        <v>42985</v>
      </c>
      <c r="K116" s="345">
        <f ca="1">_xll.qlCalendarAdvance(H116,J116,"2d")</f>
        <v>42989</v>
      </c>
      <c r="L116" s="345">
        <f ca="1">_xll.qlCalendarAdvance(H116,K116,E116,"unadjusted")</f>
        <v>45911</v>
      </c>
      <c r="M116" s="346" t="s">
        <v>7</v>
      </c>
      <c r="N116" s="346" t="s">
        <v>20</v>
      </c>
      <c r="O116" s="346" t="s">
        <v>21</v>
      </c>
      <c r="P116" s="346" t="s">
        <v>21</v>
      </c>
      <c r="Q116" s="346" t="s">
        <v>70</v>
      </c>
      <c r="R116" s="353" t="str">
        <f ca="1">_xll.qlSchedule(,K116,L116,M116,N116,O116,P116,Q116)</f>
        <v>obj_00554#0001</v>
      </c>
      <c r="S116" s="346" t="s">
        <v>19</v>
      </c>
      <c r="T116" s="346" t="s">
        <v>20</v>
      </c>
      <c r="U116" s="346" t="s">
        <v>21</v>
      </c>
      <c r="V116" s="346" t="s">
        <v>21</v>
      </c>
      <c r="W116" s="346" t="s">
        <v>70</v>
      </c>
      <c r="X116" s="353" t="str">
        <f ca="1">_xll.qlSchedule(,K116,L116,S116,T116,U116,V116,W116)</f>
        <v>obj_00553#0001</v>
      </c>
      <c r="Y116" s="349" t="s">
        <v>1742</v>
      </c>
      <c r="Z116" s="354" t="s">
        <v>36</v>
      </c>
      <c r="AA116" s="354" t="s">
        <v>1745</v>
      </c>
      <c r="AB116" s="353" t="str">
        <f ca="1">_xll.qlVanillaSwap(,,,R116,,Y116,X116,Z116,,AA116)</f>
        <v>obj_005df#0001</v>
      </c>
      <c r="AC116" s="353" t="b">
        <f ca="1">_xll.qlInstrumentSetPricingEngine(AB116,_xll.qlDiscountingSwapEngine(,Curve!$S$16))</f>
        <v>1</v>
      </c>
      <c r="AD116" s="355" t="e">
        <f ca="1">_xll.qlVanillaSwapFairRate(AB116,AC116)</f>
        <v>#NUM!</v>
      </c>
      <c r="AE116" s="346" t="s">
        <v>1752</v>
      </c>
      <c r="AF116" s="347">
        <v>10000</v>
      </c>
      <c r="AG116" s="350" t="str">
        <f ca="1">_xll.qlVanillaSwap(,AE116,AF116,R116,AD116,Y116,X116,Z116,,AA116)</f>
        <v>obj_0064d#0000</v>
      </c>
      <c r="AH116" s="347" t="str">
        <f ca="1">_xll.qlEuropeanExercise(,J116)</f>
        <v>obj_001da#0001</v>
      </c>
      <c r="AI116" s="346" t="s">
        <v>1749</v>
      </c>
      <c r="AJ116" s="356" t="str">
        <f ca="1">_xll.qlSwaption(,AG116,AH116,AI116)</f>
        <v>obj_00797#0001</v>
      </c>
      <c r="AK116" s="357" t="str">
        <f ca="1">_xll.qlConstantSwaptionVolatility(,,H116,I116,F116)</f>
        <v>obj_000d1#0001</v>
      </c>
      <c r="AL116" s="357" t="b">
        <f ca="1">_xll.qlInstrumentSetPricingEngine(AJ116,_xll.qlBachelierBlackSwaptionEngine(,Curve!$S$16,AK116))</f>
        <v>1</v>
      </c>
      <c r="AM116" s="358">
        <f ca="1">_xll.qlInstrumentNPV(AJ116,AL116)*2/_xll.qlYieldTSDiscount(Curve!$S$16,K116)</f>
        <v>568.54481596802805</v>
      </c>
      <c r="AN116" s="358">
        <f ca="1">_xll.qlInstrumentResults(AJ116,"annuity",AL116)</f>
        <v>73926.201417905759</v>
      </c>
      <c r="AO116" s="359">
        <f ca="1">G116/2*_xll.qlYieldTSDiscount(Curve!$S$16,K116)/AN116</f>
        <v>3.9608752922895259E-3</v>
      </c>
      <c r="AP116" s="360" t="e">
        <f ca="1">_xll.qlBachelierBlackFormulaImpliedVol("Call",AD116,AD116,_xll.qlDayCounterYearFraction("Act/365 (Fixed)",C116,J116),AO116)</f>
        <v>#VALUE!</v>
      </c>
      <c r="AQ116" s="361" t="e">
        <f ca="1">_xll.qlBlackFormulaImpliedStdDev("Call",AD116,AD116,AO116)/SQRT(_xll.qlDayCounterYearFraction("Act/365 (Fixed)",C116,J116))</f>
        <v>#VALUE!</v>
      </c>
      <c r="AS116" s="363">
        <v>6.6619802410779611E-3</v>
      </c>
      <c r="AT116" s="363">
        <v>7.0156650592418908E-3</v>
      </c>
      <c r="AU116" s="365">
        <f t="shared" ca="1" si="6"/>
        <v>1.6801975892203821E-4</v>
      </c>
      <c r="AV116" s="365">
        <f t="shared" ca="1" si="7"/>
        <v>-1.8566505924189156E-4</v>
      </c>
    </row>
    <row r="117" spans="2:48">
      <c r="B117" s="348" t="str">
        <f t="shared" ca="1" si="5"/>
        <v>3Yx8Y</v>
      </c>
      <c r="C117" s="345">
        <f t="shared" ca="1" si="4"/>
        <v>42254</v>
      </c>
      <c r="D117" s="346" t="s">
        <v>9</v>
      </c>
      <c r="E117" s="346" t="s">
        <v>14</v>
      </c>
      <c r="F117" s="351">
        <f ca="1">VLOOKUP(F$3&amp;$D117&amp;$E117,'Swaption Volatilities'!$V:$W,2,FALSE)%%</f>
        <v>7.11E-3</v>
      </c>
      <c r="G117" s="352">
        <f ca="1">VLOOKUP(G$3&amp;$D117&amp;$E117,'Swaption Volatilities'!$V:$W,2,FALSE)</f>
        <v>737</v>
      </c>
      <c r="H117" s="346" t="s">
        <v>20</v>
      </c>
      <c r="I117" s="346" t="s">
        <v>21</v>
      </c>
      <c r="J117" s="345">
        <f ca="1">_xll.qlCalendarAdvance(H117,C117,D117,I117)</f>
        <v>43350</v>
      </c>
      <c r="K117" s="345">
        <f ca="1">_xll.qlCalendarAdvance(H117,J117,"2d")</f>
        <v>43354</v>
      </c>
      <c r="L117" s="345">
        <f ca="1">_xll.qlCalendarAdvance(H117,K117,E117,"unadjusted")</f>
        <v>46276</v>
      </c>
      <c r="M117" s="346" t="s">
        <v>7</v>
      </c>
      <c r="N117" s="346" t="s">
        <v>20</v>
      </c>
      <c r="O117" s="346" t="s">
        <v>21</v>
      </c>
      <c r="P117" s="346" t="s">
        <v>21</v>
      </c>
      <c r="Q117" s="346" t="s">
        <v>70</v>
      </c>
      <c r="R117" s="353" t="str">
        <f ca="1">_xll.qlSchedule(,K117,L117,M117,N117,O117,P117,Q117)</f>
        <v>obj_0059a#0001</v>
      </c>
      <c r="S117" s="346" t="s">
        <v>19</v>
      </c>
      <c r="T117" s="346" t="s">
        <v>20</v>
      </c>
      <c r="U117" s="346" t="s">
        <v>21</v>
      </c>
      <c r="V117" s="346" t="s">
        <v>21</v>
      </c>
      <c r="W117" s="346" t="s">
        <v>70</v>
      </c>
      <c r="X117" s="353" t="str">
        <f ca="1">_xll.qlSchedule(,K117,L117,S117,T117,U117,V117,W117)</f>
        <v>obj_0059b#0001</v>
      </c>
      <c r="Y117" s="349" t="s">
        <v>1742</v>
      </c>
      <c r="Z117" s="354" t="s">
        <v>36</v>
      </c>
      <c r="AA117" s="354" t="s">
        <v>1745</v>
      </c>
      <c r="AB117" s="353" t="str">
        <f ca="1">_xll.qlVanillaSwap(,,,R117,,Y117,X117,Z117,,AA117)</f>
        <v>obj_0060e#0001</v>
      </c>
      <c r="AC117" s="353" t="b">
        <f ca="1">_xll.qlInstrumentSetPricingEngine(AB117,_xll.qlDiscountingSwapEngine(,Curve!$S$16))</f>
        <v>1</v>
      </c>
      <c r="AD117" s="355" t="e">
        <f ca="1">_xll.qlVanillaSwapFairRate(AB117,AC117)</f>
        <v>#NUM!</v>
      </c>
      <c r="AE117" s="346" t="s">
        <v>1752</v>
      </c>
      <c r="AF117" s="347">
        <v>10000</v>
      </c>
      <c r="AG117" s="350" t="str">
        <f ca="1">_xll.qlVanillaSwap(,AE117,AF117,R117,AD117,Y117,X117,Z117,,AA117)</f>
        <v>obj_00681#0000</v>
      </c>
      <c r="AH117" s="347" t="str">
        <f ca="1">_xll.qlEuropeanExercise(,J117)</f>
        <v>obj_00337#0001</v>
      </c>
      <c r="AI117" s="346" t="s">
        <v>1749</v>
      </c>
      <c r="AJ117" s="356" t="str">
        <f ca="1">_xll.qlSwaption(,AG117,AH117,AI117)</f>
        <v>obj_00793#0001</v>
      </c>
      <c r="AK117" s="357" t="str">
        <f ca="1">_xll.qlConstantSwaptionVolatility(,,H117,I117,F117)</f>
        <v>obj_0018f#0001</v>
      </c>
      <c r="AL117" s="357" t="b">
        <f ca="1">_xll.qlInstrumentSetPricingEngine(AJ117,_xll.qlBachelierBlackSwaptionEngine(,Curve!$S$16,AK117))</f>
        <v>1</v>
      </c>
      <c r="AM117" s="358">
        <f ca="1">_xll.qlInstrumentNPV(AJ117,AL117)*2/_xll.qlYieldTSDiscount(Curve!$S$16,K117)</f>
        <v>704.26945573873195</v>
      </c>
      <c r="AN117" s="358">
        <f ca="1">_xll.qlInstrumentResults(AJ117,"annuity",AL117)</f>
        <v>71826.49959645237</v>
      </c>
      <c r="AO117" s="359">
        <f ca="1">G117/2*_xll.qlYieldTSDiscount(Curve!$S$16,K117)/AN117</f>
        <v>5.1435995051416399E-3</v>
      </c>
      <c r="AP117" s="360" t="e">
        <f ca="1">_xll.qlBachelierBlackFormulaImpliedVol("Call",AD117,AD117,_xll.qlDayCounterYearFraction("Act/365 (Fixed)",C117,J117),AO117)</f>
        <v>#VALUE!</v>
      </c>
      <c r="AQ117" s="361" t="e">
        <f ca="1">_xll.qlBlackFormulaImpliedStdDev("Call",AD117,AD117,AO117)/SQRT(_xll.qlDayCounterYearFraction("Act/365 (Fixed)",C117,J117))</f>
        <v>#VALUE!</v>
      </c>
      <c r="AS117" s="363">
        <v>6.9482328633065794E-3</v>
      </c>
      <c r="AT117" s="363">
        <v>7.440433426867156E-3</v>
      </c>
      <c r="AU117" s="365">
        <f t="shared" ca="1" si="6"/>
        <v>1.6176713669342063E-4</v>
      </c>
      <c r="AV117" s="365">
        <f t="shared" ca="1" si="7"/>
        <v>-3.3043342686715597E-4</v>
      </c>
    </row>
    <row r="118" spans="2:48">
      <c r="B118" s="348" t="str">
        <f t="shared" ca="1" si="5"/>
        <v>4Yx8Y</v>
      </c>
      <c r="C118" s="345">
        <f t="shared" ca="1" si="4"/>
        <v>42254</v>
      </c>
      <c r="D118" s="346" t="s">
        <v>10</v>
      </c>
      <c r="E118" s="346" t="s">
        <v>14</v>
      </c>
      <c r="F118" s="351">
        <f ca="1">VLOOKUP(F$3&amp;$D118&amp;$E118,'Swaption Volatilities'!$V:$W,2,FALSE)%%</f>
        <v>7.3200000000000001E-3</v>
      </c>
      <c r="G118" s="352">
        <f ca="1">VLOOKUP(G$3&amp;$D118&amp;$E118,'Swaption Volatilities'!$V:$W,2,FALSE)</f>
        <v>869</v>
      </c>
      <c r="H118" s="346" t="s">
        <v>20</v>
      </c>
      <c r="I118" s="346" t="s">
        <v>21</v>
      </c>
      <c r="J118" s="345">
        <f ca="1">_xll.qlCalendarAdvance(H118,C118,D118,I118)</f>
        <v>43717</v>
      </c>
      <c r="K118" s="345">
        <f ca="1">_xll.qlCalendarAdvance(H118,J118,"2d")</f>
        <v>43719</v>
      </c>
      <c r="L118" s="345">
        <f ca="1">_xll.qlCalendarAdvance(H118,K118,E118,"unadjusted")</f>
        <v>46641</v>
      </c>
      <c r="M118" s="346" t="s">
        <v>7</v>
      </c>
      <c r="N118" s="346" t="s">
        <v>20</v>
      </c>
      <c r="O118" s="346" t="s">
        <v>21</v>
      </c>
      <c r="P118" s="346" t="s">
        <v>21</v>
      </c>
      <c r="Q118" s="346" t="s">
        <v>70</v>
      </c>
      <c r="R118" s="353" t="str">
        <f ca="1">_xll.qlSchedule(,K118,L118,M118,N118,O118,P118,Q118)</f>
        <v>obj_00584#0001</v>
      </c>
      <c r="S118" s="346" t="s">
        <v>19</v>
      </c>
      <c r="T118" s="346" t="s">
        <v>20</v>
      </c>
      <c r="U118" s="346" t="s">
        <v>21</v>
      </c>
      <c r="V118" s="346" t="s">
        <v>21</v>
      </c>
      <c r="W118" s="346" t="s">
        <v>70</v>
      </c>
      <c r="X118" s="353" t="str">
        <f ca="1">_xll.qlSchedule(,K118,L118,S118,T118,U118,V118,W118)</f>
        <v>obj_00585#0001</v>
      </c>
      <c r="Y118" s="349" t="s">
        <v>1742</v>
      </c>
      <c r="Z118" s="354" t="s">
        <v>36</v>
      </c>
      <c r="AA118" s="354" t="s">
        <v>1745</v>
      </c>
      <c r="AB118" s="353" t="str">
        <f ca="1">_xll.qlVanillaSwap(,,,R118,,Y118,X118,Z118,,AA118)</f>
        <v>obj_00604#0001</v>
      </c>
      <c r="AC118" s="353" t="b">
        <f ca="1">_xll.qlInstrumentSetPricingEngine(AB118,_xll.qlDiscountingSwapEngine(,Curve!$S$16))</f>
        <v>1</v>
      </c>
      <c r="AD118" s="355" t="e">
        <f ca="1">_xll.qlVanillaSwapFairRate(AB118,AC118)</f>
        <v>#NUM!</v>
      </c>
      <c r="AE118" s="346" t="s">
        <v>1752</v>
      </c>
      <c r="AF118" s="347">
        <v>10000</v>
      </c>
      <c r="AG118" s="350" t="str">
        <f ca="1">_xll.qlVanillaSwap(,AE118,AF118,R118,AD118,Y118,X118,Z118,,AA118)</f>
        <v>obj_00683#0000</v>
      </c>
      <c r="AH118" s="347" t="str">
        <f ca="1">_xll.qlEuropeanExercise(,J118)</f>
        <v>obj_004de#0001</v>
      </c>
      <c r="AI118" s="346" t="s">
        <v>1749</v>
      </c>
      <c r="AJ118" s="356" t="str">
        <f ca="1">_xll.qlSwaption(,AG118,AH118,AI118)</f>
        <v>obj_00751#0001</v>
      </c>
      <c r="AK118" s="357" t="str">
        <f ca="1">_xll.qlConstantSwaptionVolatility(,,H118,I118,F118)</f>
        <v>obj_002cf#0001</v>
      </c>
      <c r="AL118" s="357" t="b">
        <f ca="1">_xll.qlInstrumentSetPricingEngine(AJ118,_xll.qlBachelierBlackSwaptionEngine(,Curve!$S$16,AK118))</f>
        <v>1</v>
      </c>
      <c r="AM118" s="358">
        <f ca="1">_xll.qlInstrumentNPV(AJ118,AL118)*2/_xll.qlYieldTSDiscount(Curve!$S$16,K118)</f>
        <v>814.65586635961949</v>
      </c>
      <c r="AN118" s="358">
        <f ca="1">_xll.qlInstrumentResults(AJ118,"annuity",AL118)</f>
        <v>69663.580290503582</v>
      </c>
      <c r="AO118" s="359">
        <f ca="1">G118/2*_xll.qlYieldTSDiscount(Curve!$S$16,K118)/AN118</f>
        <v>6.2365220895122201E-3</v>
      </c>
      <c r="AP118" s="360" t="e">
        <f ca="1">_xll.qlBachelierBlackFormulaImpliedVol("Call",AD118,AD118,_xll.qlDayCounterYearFraction("Act/365 (Fixed)",C118,J118),AO118)</f>
        <v>#VALUE!</v>
      </c>
      <c r="AQ118" s="361" t="e">
        <f ca="1">_xll.qlBlackFormulaImpliedStdDev("Call",AD118,AD118,AO118)/SQRT(_xll.qlDayCounterYearFraction("Act/365 (Fixed)",C118,J118))</f>
        <v>#VALUE!</v>
      </c>
      <c r="AS118" s="363">
        <v>7.1691584552214379E-3</v>
      </c>
      <c r="AT118" s="363">
        <v>7.8083031899410489E-3</v>
      </c>
      <c r="AU118" s="365">
        <f t="shared" ca="1" si="6"/>
        <v>1.5084154477856219E-4</v>
      </c>
      <c r="AV118" s="365">
        <f t="shared" ca="1" si="7"/>
        <v>-4.8830318994104883E-4</v>
      </c>
    </row>
    <row r="119" spans="2:48">
      <c r="B119" s="348" t="str">
        <f t="shared" ca="1" si="5"/>
        <v>5Yx8Y</v>
      </c>
      <c r="C119" s="345">
        <f t="shared" ca="1" si="4"/>
        <v>42254</v>
      </c>
      <c r="D119" s="346" t="s">
        <v>11</v>
      </c>
      <c r="E119" s="346" t="s">
        <v>14</v>
      </c>
      <c r="F119" s="351">
        <f ca="1">VLOOKUP(F$3&amp;$D119&amp;$E119,'Swaption Volatilities'!$V:$W,2,FALSE)%%</f>
        <v>7.3699999999999998E-3</v>
      </c>
      <c r="G119" s="352">
        <f ca="1">VLOOKUP(G$3&amp;$D119&amp;$E119,'Swaption Volatilities'!$V:$W,2,FALSE)</f>
        <v>971</v>
      </c>
      <c r="H119" s="346" t="s">
        <v>20</v>
      </c>
      <c r="I119" s="346" t="s">
        <v>21</v>
      </c>
      <c r="J119" s="345">
        <f ca="1">_xll.qlCalendarAdvance(H119,C119,D119,I119)</f>
        <v>44081</v>
      </c>
      <c r="K119" s="345">
        <f ca="1">_xll.qlCalendarAdvance(H119,J119,"2d")</f>
        <v>44083</v>
      </c>
      <c r="L119" s="345">
        <f ca="1">_xll.qlCalendarAdvance(H119,K119,E119,"unadjusted")</f>
        <v>47005</v>
      </c>
      <c r="M119" s="346" t="s">
        <v>7</v>
      </c>
      <c r="N119" s="346" t="s">
        <v>20</v>
      </c>
      <c r="O119" s="346" t="s">
        <v>21</v>
      </c>
      <c r="P119" s="346" t="s">
        <v>21</v>
      </c>
      <c r="Q119" s="346" t="s">
        <v>70</v>
      </c>
      <c r="R119" s="353" t="str">
        <f ca="1">_xll.qlSchedule(,K119,L119,M119,N119,O119,P119,Q119)</f>
        <v>obj_005fc#0001</v>
      </c>
      <c r="S119" s="346" t="s">
        <v>19</v>
      </c>
      <c r="T119" s="346" t="s">
        <v>20</v>
      </c>
      <c r="U119" s="346" t="s">
        <v>21</v>
      </c>
      <c r="V119" s="346" t="s">
        <v>21</v>
      </c>
      <c r="W119" s="346" t="s">
        <v>70</v>
      </c>
      <c r="X119" s="353" t="str">
        <f ca="1">_xll.qlSchedule(,K119,L119,S119,T119,U119,V119,W119)</f>
        <v>obj_005fb#0001</v>
      </c>
      <c r="Y119" s="349" t="s">
        <v>1742</v>
      </c>
      <c r="Z119" s="354" t="s">
        <v>36</v>
      </c>
      <c r="AA119" s="354" t="s">
        <v>1745</v>
      </c>
      <c r="AB119" s="353" t="str">
        <f ca="1">_xll.qlVanillaSwap(,,,R119,,Y119,X119,Z119,,AA119)</f>
        <v>obj_00630#0001</v>
      </c>
      <c r="AC119" s="353" t="b">
        <f ca="1">_xll.qlInstrumentSetPricingEngine(AB119,_xll.qlDiscountingSwapEngine(,Curve!$S$16))</f>
        <v>1</v>
      </c>
      <c r="AD119" s="355" t="e">
        <f ca="1">_xll.qlVanillaSwapFairRate(AB119,AC119)</f>
        <v>#NUM!</v>
      </c>
      <c r="AE119" s="346" t="s">
        <v>1752</v>
      </c>
      <c r="AF119" s="347">
        <v>10000</v>
      </c>
      <c r="AG119" s="350" t="e">
        <f ca="1">_xll.qlVanillaSwap(,AE119,AF119,R119,AD119,Y119,X119,Z119,,AA119)</f>
        <v>#NUM!</v>
      </c>
      <c r="AH119" s="347" t="str">
        <f ca="1">_xll.qlEuropeanExercise(,J119)</f>
        <v>obj_004d0#0001</v>
      </c>
      <c r="AI119" s="346" t="s">
        <v>1749</v>
      </c>
      <c r="AJ119" s="356" t="e">
        <f ca="1">_xll.qlSwaption(,AG119,AH119,AI119)</f>
        <v>#VALUE!</v>
      </c>
      <c r="AK119" s="357" t="str">
        <f ca="1">_xll.qlConstantSwaptionVolatility(,,H119,I119,F119)</f>
        <v>obj_0009e#0001</v>
      </c>
      <c r="AL119" s="357" t="e">
        <f ca="1">_xll.qlInstrumentSetPricingEngine(AJ119,_xll.qlBachelierBlackSwaptionEngine(,Curve!$S$16,AK119))</f>
        <v>#VALUE!</v>
      </c>
      <c r="AM119" s="358" t="e">
        <f ca="1">_xll.qlInstrumentNPV(AJ119,AL119)*2/_xll.qlYieldTSDiscount(Curve!$S$16,K119)</f>
        <v>#VALUE!</v>
      </c>
      <c r="AN119" s="358" t="e">
        <f ca="1">_xll.qlInstrumentResults(AJ119,"annuity",AL119)</f>
        <v>#VALUE!</v>
      </c>
      <c r="AO119" s="359" t="e">
        <f ca="1">G119/2*_xll.qlYieldTSDiscount(Curve!$S$16,K119)/AN119</f>
        <v>#VALUE!</v>
      </c>
      <c r="AP119" s="360" t="e">
        <f ca="1">_xll.qlBachelierBlackFormulaImpliedVol("Call",AD119,AD119,_xll.qlDayCounterYearFraction("Act/365 (Fixed)",C119,J119),AO119)</f>
        <v>#VALUE!</v>
      </c>
      <c r="AQ119" s="361" t="e">
        <f ca="1">_xll.qlBlackFormulaImpliedStdDev("Call",AD119,AD119,AO119)/SQRT(_xll.qlDayCounterYearFraction("Act/365 (Fixed)",C119,J119))</f>
        <v>#VALUE!</v>
      </c>
      <c r="AS119" s="363">
        <v>7.2447003893248785E-3</v>
      </c>
      <c r="AT119" s="363">
        <v>8.0176406551796201E-3</v>
      </c>
      <c r="AU119" s="365">
        <f t="shared" ca="1" si="6"/>
        <v>1.252996106751213E-4</v>
      </c>
      <c r="AV119" s="365">
        <f t="shared" ca="1" si="7"/>
        <v>-6.476406551796203E-4</v>
      </c>
    </row>
    <row r="120" spans="2:48">
      <c r="B120" s="348" t="str">
        <f t="shared" ca="1" si="5"/>
        <v>7Yx8Y</v>
      </c>
      <c r="C120" s="345">
        <f t="shared" ca="1" si="4"/>
        <v>42254</v>
      </c>
      <c r="D120" s="346" t="s">
        <v>13</v>
      </c>
      <c r="E120" s="346" t="s">
        <v>14</v>
      </c>
      <c r="F120" s="351">
        <f ca="1">VLOOKUP(F$3&amp;$D120&amp;$E120,'Swaption Volatilities'!$V:$W,2,FALSE)%%</f>
        <v>7.4000000000000003E-3</v>
      </c>
      <c r="G120" s="352">
        <f ca="1">VLOOKUP(G$3&amp;$D120&amp;$E120,'Swaption Volatilities'!$V:$W,2,FALSE)</f>
        <v>1141</v>
      </c>
      <c r="H120" s="346" t="s">
        <v>20</v>
      </c>
      <c r="I120" s="346" t="s">
        <v>21</v>
      </c>
      <c r="J120" s="345">
        <f ca="1">_xll.qlCalendarAdvance(H120,C120,D120,I120)</f>
        <v>44811</v>
      </c>
      <c r="K120" s="345">
        <f ca="1">_xll.qlCalendarAdvance(H120,J120,"2d")</f>
        <v>44813</v>
      </c>
      <c r="L120" s="345">
        <f ca="1">_xll.qlCalendarAdvance(H120,K120,E120,"unadjusted")</f>
        <v>47735</v>
      </c>
      <c r="M120" s="346" t="s">
        <v>7</v>
      </c>
      <c r="N120" s="346" t="s">
        <v>20</v>
      </c>
      <c r="O120" s="346" t="s">
        <v>21</v>
      </c>
      <c r="P120" s="346" t="s">
        <v>21</v>
      </c>
      <c r="Q120" s="346" t="s">
        <v>70</v>
      </c>
      <c r="R120" s="353" t="str">
        <f ca="1">_xll.qlSchedule(,K120,L120,M120,N120,O120,P120,Q120)</f>
        <v>obj_004a8#0000</v>
      </c>
      <c r="S120" s="346" t="s">
        <v>19</v>
      </c>
      <c r="T120" s="346" t="s">
        <v>20</v>
      </c>
      <c r="U120" s="346" t="s">
        <v>21</v>
      </c>
      <c r="V120" s="346" t="s">
        <v>21</v>
      </c>
      <c r="W120" s="346" t="s">
        <v>70</v>
      </c>
      <c r="X120" s="353" t="str">
        <f ca="1">_xll.qlSchedule(,K120,L120,S120,T120,U120,V120,W120)</f>
        <v>obj_004a9#0001</v>
      </c>
      <c r="Y120" s="349" t="s">
        <v>1742</v>
      </c>
      <c r="Z120" s="354" t="s">
        <v>36</v>
      </c>
      <c r="AA120" s="354" t="s">
        <v>1745</v>
      </c>
      <c r="AB120" s="353" t="str">
        <f ca="1">_xll.qlVanillaSwap(,,,R120,,Y120,X120,Z120,,AA120)</f>
        <v>obj_0056b#0001</v>
      </c>
      <c r="AC120" s="353" t="b">
        <f ca="1">_xll.qlInstrumentSetPricingEngine(AB120,_xll.qlDiscountingSwapEngine(,Curve!$S$16))</f>
        <v>1</v>
      </c>
      <c r="AD120" s="355" t="e">
        <f ca="1">_xll.qlVanillaSwapFairRate(AB120,AC120)</f>
        <v>#NUM!</v>
      </c>
      <c r="AE120" s="346" t="s">
        <v>1752</v>
      </c>
      <c r="AF120" s="347">
        <v>10000</v>
      </c>
      <c r="AG120" s="350" t="str">
        <f ca="1">_xll.qlVanillaSwap(,AE120,AF120,R120,AD120,Y120,X120,Z120,,AA120)</f>
        <v>obj_00659#0000</v>
      </c>
      <c r="AH120" s="347" t="str">
        <f ca="1">_xll.qlEuropeanExercise(,J120)</f>
        <v>obj_000ec#0001</v>
      </c>
      <c r="AI120" s="346" t="s">
        <v>1749</v>
      </c>
      <c r="AJ120" s="356" t="str">
        <f ca="1">_xll.qlSwaption(,AG120,AH120,AI120)</f>
        <v>obj_00795#0001</v>
      </c>
      <c r="AK120" s="357" t="str">
        <f ca="1">_xll.qlConstantSwaptionVolatility(,,H120,I120,F120)</f>
        <v>obj_00092#0001</v>
      </c>
      <c r="AL120" s="357" t="b">
        <f ca="1">_xll.qlInstrumentSetPricingEngine(AJ120,_xll.qlBachelierBlackSwaptionEngine(,Curve!$S$16,AK120))</f>
        <v>1</v>
      </c>
      <c r="AM120" s="358">
        <f ca="1">_xll.qlInstrumentNPV(AJ120,AL120)*2/_xll.qlYieldTSDiscount(Curve!$S$16,K120)</f>
        <v>1018.7981399238334</v>
      </c>
      <c r="AN120" s="358">
        <f ca="1">_xll.qlInstrumentResults(AJ120,"annuity",AL120)</f>
        <v>63470.937687329977</v>
      </c>
      <c r="AO120" s="359">
        <f ca="1">G120/2*_xll.qlYieldTSDiscount(Curve!$S$16,K120)/AN120</f>
        <v>8.7510107708824083E-3</v>
      </c>
      <c r="AP120" s="360" t="e">
        <f ca="1">_xll.qlBachelierBlackFormulaImpliedVol("Call",AD120,AD120,_xll.qlDayCounterYearFraction("Act/365 (Fixed)",C120,J120),AO120)</f>
        <v>#VALUE!</v>
      </c>
      <c r="AQ120" s="361" t="e">
        <f ca="1">_xll.qlBlackFormulaImpliedStdDev("Call",AD120,AD120,AO120)/SQRT(_xll.qlDayCounterYearFraction("Act/365 (Fixed)",C120,J120))</f>
        <v>#VALUE!</v>
      </c>
      <c r="AS120" s="363">
        <v>7.3088626793356738E-3</v>
      </c>
      <c r="AT120" s="363">
        <v>8.2876083780749499E-3</v>
      </c>
      <c r="AU120" s="365">
        <f t="shared" ca="1" si="6"/>
        <v>9.1137320664326504E-5</v>
      </c>
      <c r="AV120" s="365">
        <f t="shared" ca="1" si="7"/>
        <v>-8.8760837807494962E-4</v>
      </c>
    </row>
    <row r="121" spans="2:48">
      <c r="B121" s="348" t="str">
        <f t="shared" ca="1" si="5"/>
        <v>10Yx8Y</v>
      </c>
      <c r="C121" s="345">
        <f t="shared" ca="1" si="4"/>
        <v>42254</v>
      </c>
      <c r="D121" s="346" t="s">
        <v>16</v>
      </c>
      <c r="E121" s="346" t="s">
        <v>14</v>
      </c>
      <c r="F121" s="351">
        <f ca="1">VLOOKUP(F$3&amp;$D121&amp;$E121,'Swaption Volatilities'!$V:$W,2,FALSE)%%</f>
        <v>7.28E-3</v>
      </c>
      <c r="G121" s="352">
        <f ca="1">VLOOKUP(G$3&amp;$D121&amp;$E121,'Swaption Volatilities'!$V:$W,2,FALSE)</f>
        <v>1338</v>
      </c>
      <c r="H121" s="346" t="s">
        <v>20</v>
      </c>
      <c r="I121" s="346" t="s">
        <v>21</v>
      </c>
      <c r="J121" s="345">
        <f ca="1">_xll.qlCalendarAdvance(H121,C121,D121,I121)</f>
        <v>45908</v>
      </c>
      <c r="K121" s="345">
        <f ca="1">_xll.qlCalendarAdvance(H121,J121,"2d")</f>
        <v>45910</v>
      </c>
      <c r="L121" s="345">
        <f ca="1">_xll.qlCalendarAdvance(H121,K121,E121,"unadjusted")</f>
        <v>48832</v>
      </c>
      <c r="M121" s="346" t="s">
        <v>7</v>
      </c>
      <c r="N121" s="346" t="s">
        <v>20</v>
      </c>
      <c r="O121" s="346" t="s">
        <v>21</v>
      </c>
      <c r="P121" s="346" t="s">
        <v>21</v>
      </c>
      <c r="Q121" s="346" t="s">
        <v>70</v>
      </c>
      <c r="R121" s="353" t="str">
        <f ca="1">_xll.qlSchedule(,K121,L121,M121,N121,O121,P121,Q121)</f>
        <v>obj_00511#0001</v>
      </c>
      <c r="S121" s="346" t="s">
        <v>19</v>
      </c>
      <c r="T121" s="346" t="s">
        <v>20</v>
      </c>
      <c r="U121" s="346" t="s">
        <v>21</v>
      </c>
      <c r="V121" s="346" t="s">
        <v>21</v>
      </c>
      <c r="W121" s="346" t="s">
        <v>70</v>
      </c>
      <c r="X121" s="353" t="str">
        <f ca="1">_xll.qlSchedule(,K121,L121,S121,T121,U121,V121,W121)</f>
        <v>obj_00510#0001</v>
      </c>
      <c r="Y121" s="349" t="s">
        <v>1742</v>
      </c>
      <c r="Z121" s="354" t="s">
        <v>36</v>
      </c>
      <c r="AA121" s="354" t="s">
        <v>1745</v>
      </c>
      <c r="AB121" s="353" t="str">
        <f ca="1">_xll.qlVanillaSwap(,,,R121,,Y121,X121,Z121,,AA121)</f>
        <v>obj_005af#0001</v>
      </c>
      <c r="AC121" s="353" t="b">
        <f ca="1">_xll.qlInstrumentSetPricingEngine(AB121,_xll.qlDiscountingSwapEngine(,Curve!$S$16))</f>
        <v>1</v>
      </c>
      <c r="AD121" s="355" t="e">
        <f ca="1">_xll.qlVanillaSwapFairRate(AB121,AC121)</f>
        <v>#NUM!</v>
      </c>
      <c r="AE121" s="346" t="s">
        <v>1752</v>
      </c>
      <c r="AF121" s="347">
        <v>10000</v>
      </c>
      <c r="AG121" s="350" t="e">
        <f ca="1">_xll.qlVanillaSwap(,AE121,AF121,R121,AD121,Y121,X121,Z121,,AA121)</f>
        <v>#NUM!</v>
      </c>
      <c r="AH121" s="347" t="str">
        <f ca="1">_xll.qlEuropeanExercise(,J121)</f>
        <v>obj_00122#0001</v>
      </c>
      <c r="AI121" s="346" t="s">
        <v>1749</v>
      </c>
      <c r="AJ121" s="356" t="e">
        <f ca="1">_xll.qlSwaption(,AG121,AH121,AI121)</f>
        <v>#VALUE!</v>
      </c>
      <c r="AK121" s="357" t="str">
        <f ca="1">_xll.qlConstantSwaptionVolatility(,,H121,I121,F121)</f>
        <v>obj_002cb#0001</v>
      </c>
      <c r="AL121" s="357" t="e">
        <f ca="1">_xll.qlInstrumentSetPricingEngine(AJ121,_xll.qlBachelierBlackSwaptionEngine(,Curve!$S$16,AK121))</f>
        <v>#VALUE!</v>
      </c>
      <c r="AM121" s="358" t="e">
        <f ca="1">_xll.qlInstrumentNPV(AJ121,AL121)*2/_xll.qlYieldTSDiscount(Curve!$S$16,K121)</f>
        <v>#VALUE!</v>
      </c>
      <c r="AN121" s="358" t="e">
        <f ca="1">_xll.qlInstrumentResults(AJ121,"annuity",AL121)</f>
        <v>#VALUE!</v>
      </c>
      <c r="AO121" s="359" t="e">
        <f ca="1">G121/2*_xll.qlYieldTSDiscount(Curve!$S$16,K121)/AN121</f>
        <v>#VALUE!</v>
      </c>
      <c r="AP121" s="360" t="e">
        <f ca="1">_xll.qlBachelierBlackFormulaImpliedVol("Call",AD121,AD121,_xll.qlDayCounterYearFraction("Act/365 (Fixed)",C121,J121),AO121)</f>
        <v>#VALUE!</v>
      </c>
      <c r="AQ121" s="361" t="e">
        <f ca="1">_xll.qlBlackFormulaImpliedStdDev("Call",AD121,AD121,AO121)/SQRT(_xll.qlDayCounterYearFraction("Act/365 (Fixed)",C121,J121))</f>
        <v>#VALUE!</v>
      </c>
      <c r="AS121" s="363">
        <v>7.2322231979864756E-3</v>
      </c>
      <c r="AT121" s="363">
        <v>8.3159772495274582E-3</v>
      </c>
      <c r="AU121" s="365">
        <f t="shared" ca="1" si="6"/>
        <v>4.7776802013524411E-5</v>
      </c>
      <c r="AV121" s="365">
        <f t="shared" ca="1" si="7"/>
        <v>-1.0359772495274581E-3</v>
      </c>
    </row>
    <row r="122" spans="2:48">
      <c r="B122" s="348" t="str">
        <f t="shared" ca="1" si="5"/>
        <v>15Yx8Y</v>
      </c>
      <c r="C122" s="345">
        <f t="shared" ca="1" si="4"/>
        <v>42254</v>
      </c>
      <c r="D122" s="346" t="s">
        <v>17</v>
      </c>
      <c r="E122" s="346" t="s">
        <v>14</v>
      </c>
      <c r="F122" s="351">
        <f ca="1">VLOOKUP(F$3&amp;$D122&amp;$E122,'Swaption Volatilities'!$V:$W,2,FALSE)%%</f>
        <v>6.9099999999999995E-3</v>
      </c>
      <c r="G122" s="352">
        <f ca="1">VLOOKUP(G$3&amp;$D122&amp;$E122,'Swaption Volatilities'!$V:$W,2,FALSE)</f>
        <v>1569</v>
      </c>
      <c r="H122" s="346" t="s">
        <v>20</v>
      </c>
      <c r="I122" s="346" t="s">
        <v>21</v>
      </c>
      <c r="J122" s="345">
        <f ca="1">_xll.qlCalendarAdvance(H122,C122,D122,I122)</f>
        <v>47735</v>
      </c>
      <c r="K122" s="345">
        <f ca="1">_xll.qlCalendarAdvance(H122,J122,"2d")</f>
        <v>47737</v>
      </c>
      <c r="L122" s="345">
        <f ca="1">_xll.qlCalendarAdvance(H122,K122,E122,"unadjusted")</f>
        <v>50659</v>
      </c>
      <c r="M122" s="346" t="s">
        <v>7</v>
      </c>
      <c r="N122" s="346" t="s">
        <v>20</v>
      </c>
      <c r="O122" s="346" t="s">
        <v>21</v>
      </c>
      <c r="P122" s="346" t="s">
        <v>21</v>
      </c>
      <c r="Q122" s="346" t="s">
        <v>70</v>
      </c>
      <c r="R122" s="353" t="str">
        <f ca="1">_xll.qlSchedule(,K122,L122,M122,N122,O122,P122,Q122)</f>
        <v>obj_00513#0001</v>
      </c>
      <c r="S122" s="346" t="s">
        <v>19</v>
      </c>
      <c r="T122" s="346" t="s">
        <v>20</v>
      </c>
      <c r="U122" s="346" t="s">
        <v>21</v>
      </c>
      <c r="V122" s="346" t="s">
        <v>21</v>
      </c>
      <c r="W122" s="346" t="s">
        <v>70</v>
      </c>
      <c r="X122" s="353" t="str">
        <f ca="1">_xll.qlSchedule(,K122,L122,S122,T122,U122,V122,W122)</f>
        <v>obj_00512#0001</v>
      </c>
      <c r="Y122" s="349" t="s">
        <v>1742</v>
      </c>
      <c r="Z122" s="354" t="s">
        <v>36</v>
      </c>
      <c r="AA122" s="354" t="s">
        <v>1745</v>
      </c>
      <c r="AB122" s="353" t="str">
        <f ca="1">_xll.qlVanillaSwap(,,,R122,,Y122,X122,Z122,,AA122)</f>
        <v>obj_005b0#0001</v>
      </c>
      <c r="AC122" s="353" t="b">
        <f ca="1">_xll.qlInstrumentSetPricingEngine(AB122,_xll.qlDiscountingSwapEngine(,Curve!$S$16))</f>
        <v>1</v>
      </c>
      <c r="AD122" s="355" t="e">
        <f ca="1">_xll.qlVanillaSwapFairRate(AB122,AC122)</f>
        <v>#NUM!</v>
      </c>
      <c r="AE122" s="346" t="s">
        <v>1752</v>
      </c>
      <c r="AF122" s="347">
        <v>10000</v>
      </c>
      <c r="AG122" s="350" t="str">
        <f ca="1">_xll.qlVanillaSwap(,AE122,AF122,R122,AD122,Y122,X122,Z122,,AA122)</f>
        <v>obj_006c5#0000</v>
      </c>
      <c r="AH122" s="347" t="str">
        <f ca="1">_xll.qlEuropeanExercise(,J122)</f>
        <v>obj_002dd#0001</v>
      </c>
      <c r="AI122" s="346" t="s">
        <v>1749</v>
      </c>
      <c r="AJ122" s="356" t="str">
        <f ca="1">_xll.qlSwaption(,AG122,AH122,AI122)</f>
        <v>obj_007a9#0001</v>
      </c>
      <c r="AK122" s="357" t="str">
        <f ca="1">_xll.qlConstantSwaptionVolatility(,,H122,I122,F122)</f>
        <v>obj_00263#0001</v>
      </c>
      <c r="AL122" s="357" t="b">
        <f ca="1">_xll.qlInstrumentSetPricingEngine(AJ122,_xll.qlBachelierBlackSwaptionEngine(,Curve!$S$16,AK122))</f>
        <v>1</v>
      </c>
      <c r="AM122" s="358">
        <f ca="1">_xll.qlInstrumentNPV(AJ122,AL122)*2/_xll.qlYieldTSDiscount(Curve!$S$16,K122)</f>
        <v>1409.1430824420579</v>
      </c>
      <c r="AN122" s="358">
        <f ca="1">_xll.qlInstrumentResults(AJ122,"annuity",AL122)</f>
        <v>55301.091465804042</v>
      </c>
      <c r="AO122" s="359">
        <f ca="1">G122/2*_xll.qlYieldTSDiscount(Curve!$S$16,K122)/AN122</f>
        <v>1.1894314910695656E-2</v>
      </c>
      <c r="AP122" s="360" t="e">
        <f ca="1">_xll.qlBachelierBlackFormulaImpliedVol("Call",AD122,AD122,_xll.qlDayCounterYearFraction("Act/365 (Fixed)",C122,J122),AO122)</f>
        <v>#VALUE!</v>
      </c>
      <c r="AQ122" s="361" t="e">
        <f ca="1">_xll.qlBlackFormulaImpliedStdDev("Call",AD122,AD122,AO122)/SQRT(_xll.qlDayCounterYearFraction("Act/365 (Fixed)",C122,J122))</f>
        <v>#VALUE!</v>
      </c>
      <c r="AS122" s="363">
        <v>6.8949586930815796E-3</v>
      </c>
      <c r="AT122" s="363">
        <v>7.6938886725477808E-3</v>
      </c>
      <c r="AU122" s="365">
        <f t="shared" ca="1" si="6"/>
        <v>1.5041306918419858E-5</v>
      </c>
      <c r="AV122" s="365">
        <f t="shared" ca="1" si="7"/>
        <v>-7.838886725477813E-4</v>
      </c>
    </row>
    <row r="123" spans="2:48">
      <c r="B123" s="348" t="str">
        <f t="shared" ca="1" si="5"/>
        <v>20Yx8Y</v>
      </c>
      <c r="C123" s="345">
        <f t="shared" ca="1" si="4"/>
        <v>42254</v>
      </c>
      <c r="D123" s="346" t="s">
        <v>104</v>
      </c>
      <c r="E123" s="346" t="s">
        <v>14</v>
      </c>
      <c r="F123" s="351">
        <f ca="1">VLOOKUP(F$3&amp;$D123&amp;$E123,'Swaption Volatilities'!$V:$W,2,FALSE)%%</f>
        <v>6.4599999999999987E-3</v>
      </c>
      <c r="G123" s="352">
        <f ca="1">VLOOKUP(G$3&amp;$D123&amp;$E123,'Swaption Volatilities'!$V:$W,2,FALSE)</f>
        <v>1713</v>
      </c>
      <c r="H123" s="346" t="s">
        <v>20</v>
      </c>
      <c r="I123" s="346" t="s">
        <v>21</v>
      </c>
      <c r="J123" s="345">
        <f ca="1">_xll.qlCalendarAdvance(H123,C123,D123,I123)</f>
        <v>49559</v>
      </c>
      <c r="K123" s="345">
        <f ca="1">_xll.qlCalendarAdvance(H123,J123,"2d")</f>
        <v>49563</v>
      </c>
      <c r="L123" s="345">
        <f ca="1">_xll.qlCalendarAdvance(H123,K123,E123,"unadjusted")</f>
        <v>52485</v>
      </c>
      <c r="M123" s="346" t="s">
        <v>7</v>
      </c>
      <c r="N123" s="346" t="s">
        <v>20</v>
      </c>
      <c r="O123" s="346" t="s">
        <v>21</v>
      </c>
      <c r="P123" s="346" t="s">
        <v>21</v>
      </c>
      <c r="Q123" s="346" t="s">
        <v>70</v>
      </c>
      <c r="R123" s="353" t="str">
        <f ca="1">_xll.qlSchedule(,K123,L123,M123,N123,O123,P123,Q123)</f>
        <v>obj_003aa#0001</v>
      </c>
      <c r="S123" s="346" t="s">
        <v>19</v>
      </c>
      <c r="T123" s="346" t="s">
        <v>20</v>
      </c>
      <c r="U123" s="346" t="s">
        <v>21</v>
      </c>
      <c r="V123" s="346" t="s">
        <v>21</v>
      </c>
      <c r="W123" s="346" t="s">
        <v>70</v>
      </c>
      <c r="X123" s="353" t="str">
        <f ca="1">_xll.qlSchedule(,K123,L123,S123,T123,U123,V123,W123)</f>
        <v>obj_0029a#0001</v>
      </c>
      <c r="Y123" s="349" t="s">
        <v>1742</v>
      </c>
      <c r="Z123" s="354" t="s">
        <v>36</v>
      </c>
      <c r="AA123" s="354" t="s">
        <v>1745</v>
      </c>
      <c r="AB123" s="353" t="str">
        <f ca="1">_xll.qlVanillaSwap(,,,R123,,Y123,X123,Z123,,AA123)</f>
        <v>obj_004e6#0001</v>
      </c>
      <c r="AC123" s="353" t="b">
        <f ca="1">_xll.qlInstrumentSetPricingEngine(AB123,_xll.qlDiscountingSwapEngine(,Curve!$S$16))</f>
        <v>1</v>
      </c>
      <c r="AD123" s="355" t="e">
        <f ca="1">_xll.qlVanillaSwapFairRate(AB123,AC123)</f>
        <v>#NUM!</v>
      </c>
      <c r="AE123" s="346" t="s">
        <v>1752</v>
      </c>
      <c r="AF123" s="347">
        <v>10000</v>
      </c>
      <c r="AG123" s="350" t="str">
        <f ca="1">_xll.qlVanillaSwap(,AE123,AF123,R123,AD123,Y123,X123,Z123,,AA123)</f>
        <v>obj_006d1#0000</v>
      </c>
      <c r="AH123" s="347" t="str">
        <f ca="1">_xll.qlEuropeanExercise(,J123)</f>
        <v>obj_001e0#0001</v>
      </c>
      <c r="AI123" s="346" t="s">
        <v>1749</v>
      </c>
      <c r="AJ123" s="356" t="str">
        <f ca="1">_xll.qlSwaption(,AG123,AH123,AI123)</f>
        <v>obj_00745#0001</v>
      </c>
      <c r="AK123" s="357" t="str">
        <f ca="1">_xll.qlConstantSwaptionVolatility(,,H123,I123,F123)</f>
        <v>obj_000c6#0001</v>
      </c>
      <c r="AL123" s="357" t="b">
        <f ca="1">_xll.qlInstrumentSetPricingEngine(AJ123,_xll.qlBachelierBlackSwaptionEngine(,Curve!$S$16,AK123))</f>
        <v>1</v>
      </c>
      <c r="AM123" s="358">
        <f ca="1">_xll.qlInstrumentNPV(AJ123,AL123)*2/_xll.qlYieldTSDiscount(Curve!$S$16,K123)</f>
        <v>1621.5767016642221</v>
      </c>
      <c r="AN123" s="358">
        <f ca="1">_xll.qlInstrumentResults(AJ123,"annuity",AL123)</f>
        <v>53595.337049851936</v>
      </c>
      <c r="AO123" s="359">
        <f ca="1">G123/2*_xll.qlYieldTSDiscount(Curve!$S$16,K123)/AN123</f>
        <v>1.2179406585336649E-2</v>
      </c>
      <c r="AP123" s="360" t="e">
        <f ca="1">_xll.qlBachelierBlackFormulaImpliedVol("Call",AD123,AD123,_xll.qlDayCounterYearFraction("Act/365 (Fixed)",C123,J123),AO123)</f>
        <v>#VALUE!</v>
      </c>
      <c r="AQ123" s="361" t="e">
        <f ca="1">_xll.qlBlackFormulaImpliedStdDev("Call",AD123,AD123,AO123)/SQRT(_xll.qlDayCounterYearFraction("Act/365 (Fixed)",C123,J123))</f>
        <v>#VALUE!</v>
      </c>
      <c r="AS123" s="363">
        <v>6.4491433218930218E-3</v>
      </c>
      <c r="AT123" s="363">
        <v>6.8242100349881485E-3</v>
      </c>
      <c r="AU123" s="365">
        <f t="shared" ca="1" si="6"/>
        <v>1.085667810697688E-5</v>
      </c>
      <c r="AV123" s="365">
        <f t="shared" ca="1" si="7"/>
        <v>-3.6421003498814976E-4</v>
      </c>
    </row>
    <row r="124" spans="2:48">
      <c r="B124" s="348" t="str">
        <f t="shared" ca="1" si="5"/>
        <v>1Mx9Y</v>
      </c>
      <c r="C124" s="345">
        <f t="shared" ca="1" si="4"/>
        <v>42254</v>
      </c>
      <c r="D124" s="346" t="s">
        <v>23</v>
      </c>
      <c r="E124" s="346" t="s">
        <v>15</v>
      </c>
      <c r="F124" s="351">
        <f ca="1">VLOOKUP(F$3&amp;$D124&amp;$E124,'Swaption Volatilities'!$V:$W,2,FALSE)%%</f>
        <v>6.5300000000000002E-3</v>
      </c>
      <c r="G124" s="352">
        <f ca="1">VLOOKUP(G$3&amp;$D124&amp;$E124,'Swaption Volatilities'!$V:$W,2,FALSE)</f>
        <v>128</v>
      </c>
      <c r="H124" s="346" t="s">
        <v>20</v>
      </c>
      <c r="I124" s="346" t="s">
        <v>21</v>
      </c>
      <c r="J124" s="345">
        <f ca="1">_xll.qlCalendarAdvance(H124,C124,D124,I124)</f>
        <v>42284</v>
      </c>
      <c r="K124" s="345">
        <f ca="1">_xll.qlCalendarAdvance(H124,J124,"2d")</f>
        <v>42286</v>
      </c>
      <c r="L124" s="345">
        <f ca="1">_xll.qlCalendarAdvance(H124,K124,E124,"unadjusted")</f>
        <v>45574</v>
      </c>
      <c r="M124" s="346" t="s">
        <v>7</v>
      </c>
      <c r="N124" s="346" t="s">
        <v>20</v>
      </c>
      <c r="O124" s="346" t="s">
        <v>21</v>
      </c>
      <c r="P124" s="346" t="s">
        <v>21</v>
      </c>
      <c r="Q124" s="346" t="s">
        <v>70</v>
      </c>
      <c r="R124" s="353" t="str">
        <f ca="1">_xll.qlSchedule(,K124,L124,M124,N124,O124,P124,Q124)</f>
        <v>obj_004ff#0001</v>
      </c>
      <c r="S124" s="346" t="s">
        <v>19</v>
      </c>
      <c r="T124" s="346" t="s">
        <v>20</v>
      </c>
      <c r="U124" s="346" t="s">
        <v>21</v>
      </c>
      <c r="V124" s="346" t="s">
        <v>21</v>
      </c>
      <c r="W124" s="346" t="s">
        <v>70</v>
      </c>
      <c r="X124" s="353" t="str">
        <f ca="1">_xll.qlSchedule(,K124,L124,S124,T124,U124,V124,W124)</f>
        <v>obj_004fe#0001</v>
      </c>
      <c r="Y124" s="349" t="s">
        <v>1742</v>
      </c>
      <c r="Z124" s="354" t="s">
        <v>36</v>
      </c>
      <c r="AA124" s="354" t="s">
        <v>1745</v>
      </c>
      <c r="AB124" s="353" t="str">
        <f ca="1">_xll.qlVanillaSwap(,,,R124,,Y124,X124,Z124,,AA124)</f>
        <v>obj_005a3#0001</v>
      </c>
      <c r="AC124" s="353" t="b">
        <f ca="1">_xll.qlInstrumentSetPricingEngine(AB124,_xll.qlDiscountingSwapEngine(,Curve!$S$16))</f>
        <v>1</v>
      </c>
      <c r="AD124" s="355" t="e">
        <f ca="1">_xll.qlVanillaSwapFairRate(AB124,AC124)</f>
        <v>#NUM!</v>
      </c>
      <c r="AE124" s="346" t="s">
        <v>1752</v>
      </c>
      <c r="AF124" s="347">
        <v>10000</v>
      </c>
      <c r="AG124" s="350" t="str">
        <f ca="1">_xll.qlVanillaSwap(,AE124,AF124,R124,AD124,Y124,X124,Z124,,AA124)</f>
        <v>obj_0068f#0000</v>
      </c>
      <c r="AH124" s="347" t="str">
        <f ca="1">_xll.qlEuropeanExercise(,J124)</f>
        <v>obj_00127#0001</v>
      </c>
      <c r="AI124" s="346" t="s">
        <v>1749</v>
      </c>
      <c r="AJ124" s="356" t="str">
        <f ca="1">_xll.qlSwaption(,AG124,AH124,AI124)</f>
        <v>obj_00791#0001</v>
      </c>
      <c r="AK124" s="357" t="str">
        <f ca="1">_xll.qlConstantSwaptionVolatility(,,H124,I124,F124)</f>
        <v>obj_00091#0001</v>
      </c>
      <c r="AL124" s="357" t="b">
        <f ca="1">_xll.qlInstrumentSetPricingEngine(AJ124,_xll.qlBachelierBlackSwaptionEngine(,Curve!$S$16,AK124))</f>
        <v>1</v>
      </c>
      <c r="AM124" s="358">
        <f ca="1">_xll.qlInstrumentNPV(AJ124,AL124)*2/_xll.qlYieldTSDiscount(Curve!$S$16,K124)</f>
        <v>128.44897769148633</v>
      </c>
      <c r="AN124" s="358">
        <f ca="1">_xll.qlInstrumentResults(AJ124,"annuity",AL124)</f>
        <v>86002.971660960058</v>
      </c>
      <c r="AO124" s="359">
        <f ca="1">G124/2*_xll.qlYieldTSDiscount(Curve!$S$16,K124)/AN124</f>
        <v>7.4424642940237049E-4</v>
      </c>
      <c r="AP124" s="360" t="e">
        <f ca="1">_xll.qlBachelierBlackFormulaImpliedVol("Call",AD124,AD124,_xll.qlDayCounterYearFraction("Act/365 (Fixed)",C124,J124),AO124)</f>
        <v>#VALUE!</v>
      </c>
      <c r="AQ124" s="361" t="e">
        <f ca="1">_xll.qlBlackFormulaImpliedStdDev("Call",AD124,AD124,AO124)/SQRT(_xll.qlDayCounterYearFraction("Act/365 (Fixed)",C124,J124))</f>
        <v>#VALUE!</v>
      </c>
      <c r="AS124" s="363">
        <v>6.3179966554272873E-3</v>
      </c>
      <c r="AT124" s="363">
        <v>6.5071751836557092E-3</v>
      </c>
      <c r="AU124" s="365">
        <f t="shared" ca="1" si="6"/>
        <v>2.1200334457271292E-4</v>
      </c>
      <c r="AV124" s="365">
        <f t="shared" ca="1" si="7"/>
        <v>2.2824816344291059E-5</v>
      </c>
    </row>
    <row r="125" spans="2:48">
      <c r="B125" s="348" t="str">
        <f t="shared" ca="1" si="5"/>
        <v>2Mx9Y</v>
      </c>
      <c r="C125" s="345">
        <f t="shared" ca="1" si="4"/>
        <v>42254</v>
      </c>
      <c r="D125" s="346" t="s">
        <v>398</v>
      </c>
      <c r="E125" s="346" t="s">
        <v>15</v>
      </c>
      <c r="F125" s="351">
        <f ca="1">VLOOKUP(F$3&amp;$D125&amp;$E125,'Swaption Volatilities'!$V:$W,2,FALSE)%%</f>
        <v>6.5300000000000002E-3</v>
      </c>
      <c r="G125" s="352">
        <f ca="1">VLOOKUP(G$3&amp;$D125&amp;$E125,'Swaption Volatilities'!$V:$W,2,FALSE)</f>
        <v>186</v>
      </c>
      <c r="H125" s="346" t="s">
        <v>20</v>
      </c>
      <c r="I125" s="346" t="s">
        <v>21</v>
      </c>
      <c r="J125" s="345">
        <f ca="1">_xll.qlCalendarAdvance(H125,C125,D125,I125)</f>
        <v>42317</v>
      </c>
      <c r="K125" s="345">
        <f ca="1">_xll.qlCalendarAdvance(H125,J125,"2d")</f>
        <v>42319</v>
      </c>
      <c r="L125" s="345">
        <f ca="1">_xll.qlCalendarAdvance(H125,K125,E125,"unadjusted")</f>
        <v>45607</v>
      </c>
      <c r="M125" s="346" t="s">
        <v>7</v>
      </c>
      <c r="N125" s="346" t="s">
        <v>20</v>
      </c>
      <c r="O125" s="346" t="s">
        <v>21</v>
      </c>
      <c r="P125" s="346" t="s">
        <v>21</v>
      </c>
      <c r="Q125" s="346" t="s">
        <v>70</v>
      </c>
      <c r="R125" s="353" t="str">
        <f ca="1">_xll.qlSchedule(,K125,L125,M125,N125,O125,P125,Q125)</f>
        <v>obj_004a6#0001</v>
      </c>
      <c r="S125" s="346" t="s">
        <v>19</v>
      </c>
      <c r="T125" s="346" t="s">
        <v>20</v>
      </c>
      <c r="U125" s="346" t="s">
        <v>21</v>
      </c>
      <c r="V125" s="346" t="s">
        <v>21</v>
      </c>
      <c r="W125" s="346" t="s">
        <v>70</v>
      </c>
      <c r="X125" s="353" t="str">
        <f ca="1">_xll.qlSchedule(,K125,L125,S125,T125,U125,V125,W125)</f>
        <v>obj_004a7#0001</v>
      </c>
      <c r="Y125" s="349" t="s">
        <v>1742</v>
      </c>
      <c r="Z125" s="354" t="s">
        <v>36</v>
      </c>
      <c r="AA125" s="354" t="s">
        <v>1745</v>
      </c>
      <c r="AB125" s="353" t="str">
        <f ca="1">_xll.qlVanillaSwap(,,,R125,,Y125,X125,Z125,,AA125)</f>
        <v>obj_0056a#0001</v>
      </c>
      <c r="AC125" s="353" t="b">
        <f ca="1">_xll.qlInstrumentSetPricingEngine(AB125,_xll.qlDiscountingSwapEngine(,Curve!$S$16))</f>
        <v>1</v>
      </c>
      <c r="AD125" s="355" t="e">
        <f ca="1">_xll.qlVanillaSwapFairRate(AB125,AC125)</f>
        <v>#NUM!</v>
      </c>
      <c r="AE125" s="346" t="s">
        <v>1752</v>
      </c>
      <c r="AF125" s="347">
        <v>10000</v>
      </c>
      <c r="AG125" s="350" t="str">
        <f ca="1">_xll.qlVanillaSwap(,AE125,AF125,R125,AD125,Y125,X125,Z125,,AA125)</f>
        <v>obj_00693#0000</v>
      </c>
      <c r="AH125" s="347" t="str">
        <f ca="1">_xll.qlEuropeanExercise(,J125)</f>
        <v>obj_001bf#0000</v>
      </c>
      <c r="AI125" s="346" t="s">
        <v>1749</v>
      </c>
      <c r="AJ125" s="356" t="str">
        <f ca="1">_xll.qlSwaption(,AG125,AH125,AI125)</f>
        <v>obj_00790#0001</v>
      </c>
      <c r="AK125" s="357" t="str">
        <f ca="1">_xll.qlConstantSwaptionVolatility(,,H125,I125,F125)</f>
        <v>obj_001bd#0001</v>
      </c>
      <c r="AL125" s="357" t="b">
        <f ca="1">_xll.qlInstrumentSetPricingEngine(AJ125,_xll.qlBachelierBlackSwaptionEngine(,Curve!$S$16,AK125))</f>
        <v>1</v>
      </c>
      <c r="AM125" s="358">
        <f ca="1">_xll.qlInstrumentNPV(AJ125,AL125)*2/_xll.qlYieldTSDiscount(Curve!$S$16,K125)</f>
        <v>185.79160209873967</v>
      </c>
      <c r="AN125" s="358">
        <f ca="1">_xll.qlInstrumentResults(AJ125,"annuity",AL125)</f>
        <v>85852.450428238211</v>
      </c>
      <c r="AO125" s="359">
        <f ca="1">G125/2*_xll.qlYieldTSDiscount(Curve!$S$16,K125)/AN125</f>
        <v>1.0835125702508216E-3</v>
      </c>
      <c r="AP125" s="360" t="e">
        <f ca="1">_xll.qlBachelierBlackFormulaImpliedVol("Call",AD125,AD125,_xll.qlDayCounterYearFraction("Act/365 (Fixed)",C125,J125),AO125)</f>
        <v>#VALUE!</v>
      </c>
      <c r="AQ125" s="361" t="e">
        <f ca="1">_xll.qlBlackFormulaImpliedStdDev("Call",AD125,AD125,AO125)/SQRT(_xll.qlDayCounterYearFraction("Act/365 (Fixed)",C125,J125))</f>
        <v>#VALUE!</v>
      </c>
      <c r="AS125" s="363">
        <v>6.3405509863012849E-3</v>
      </c>
      <c r="AT125" s="363">
        <v>6.5373245414748135E-3</v>
      </c>
      <c r="AU125" s="365">
        <f t="shared" ca="1" si="6"/>
        <v>1.8944901369871529E-4</v>
      </c>
      <c r="AV125" s="365">
        <f t="shared" ca="1" si="7"/>
        <v>-7.3245414748132967E-6</v>
      </c>
    </row>
    <row r="126" spans="2:48">
      <c r="B126" s="348" t="str">
        <f t="shared" ca="1" si="5"/>
        <v>3Mx9Y</v>
      </c>
      <c r="C126" s="345">
        <f t="shared" ca="1" si="4"/>
        <v>42254</v>
      </c>
      <c r="D126" s="346" t="s">
        <v>26</v>
      </c>
      <c r="E126" s="346" t="s">
        <v>15</v>
      </c>
      <c r="F126" s="351">
        <f ca="1">VLOOKUP(F$3&amp;$D126&amp;$E126,'Swaption Volatilities'!$V:$W,2,FALSE)%%</f>
        <v>6.4800000000000005E-3</v>
      </c>
      <c r="G126" s="352">
        <f ca="1">VLOOKUP(G$3&amp;$D126&amp;$E126,'Swaption Volatilities'!$V:$W,2,FALSE)</f>
        <v>222</v>
      </c>
      <c r="H126" s="346" t="s">
        <v>20</v>
      </c>
      <c r="I126" s="346" t="s">
        <v>21</v>
      </c>
      <c r="J126" s="345">
        <f ca="1">_xll.qlCalendarAdvance(H126,C126,D126,I126)</f>
        <v>42345</v>
      </c>
      <c r="K126" s="345">
        <f ca="1">_xll.qlCalendarAdvance(H126,J126,"2d")</f>
        <v>42347</v>
      </c>
      <c r="L126" s="345">
        <f ca="1">_xll.qlCalendarAdvance(H126,K126,E126,"unadjusted")</f>
        <v>45635</v>
      </c>
      <c r="M126" s="346" t="s">
        <v>7</v>
      </c>
      <c r="N126" s="346" t="s">
        <v>20</v>
      </c>
      <c r="O126" s="346" t="s">
        <v>21</v>
      </c>
      <c r="P126" s="346" t="s">
        <v>21</v>
      </c>
      <c r="Q126" s="346" t="s">
        <v>70</v>
      </c>
      <c r="R126" s="353" t="str">
        <f ca="1">_xll.qlSchedule(,K126,L126,M126,N126,O126,P126,Q126)</f>
        <v>obj_002e6#0000</v>
      </c>
      <c r="S126" s="346" t="s">
        <v>19</v>
      </c>
      <c r="T126" s="346" t="s">
        <v>20</v>
      </c>
      <c r="U126" s="346" t="s">
        <v>21</v>
      </c>
      <c r="V126" s="346" t="s">
        <v>21</v>
      </c>
      <c r="W126" s="346" t="s">
        <v>70</v>
      </c>
      <c r="X126" s="353" t="str">
        <f ca="1">_xll.qlSchedule(,K126,L126,S126,T126,U126,V126,W126)</f>
        <v>obj_002f9#0001</v>
      </c>
      <c r="Y126" s="349" t="s">
        <v>1742</v>
      </c>
      <c r="Z126" s="354" t="s">
        <v>36</v>
      </c>
      <c r="AA126" s="354" t="s">
        <v>1745</v>
      </c>
      <c r="AB126" s="353" t="str">
        <f ca="1">_xll.qlVanillaSwap(,,,R126,,Y126,X126,Z126,,AA126)</f>
        <v>obj_004b3#0001</v>
      </c>
      <c r="AC126" s="353" t="b">
        <f ca="1">_xll.qlInstrumentSetPricingEngine(AB126,_xll.qlDiscountingSwapEngine(,Curve!$S$16))</f>
        <v>1</v>
      </c>
      <c r="AD126" s="355" t="e">
        <f ca="1">_xll.qlVanillaSwapFairRate(AB126,AC126)</f>
        <v>#NUM!</v>
      </c>
      <c r="AE126" s="346" t="s">
        <v>1752</v>
      </c>
      <c r="AF126" s="347">
        <v>10000</v>
      </c>
      <c r="AG126" s="350" t="str">
        <f ca="1">_xll.qlVanillaSwap(,AE126,AF126,R126,AD126,Y126,X126,Z126,,AA126)</f>
        <v>obj_006ee#0000</v>
      </c>
      <c r="AH126" s="347" t="str">
        <f ca="1">_xll.qlEuropeanExercise(,J126)</f>
        <v>obj_000e9#0001</v>
      </c>
      <c r="AI126" s="346" t="s">
        <v>1749</v>
      </c>
      <c r="AJ126" s="356" t="str">
        <f ca="1">_xll.qlSwaption(,AG126,AH126,AI126)</f>
        <v>obj_00784#0001</v>
      </c>
      <c r="AK126" s="357" t="str">
        <f ca="1">_xll.qlConstantSwaptionVolatility(,,H126,I126,F126)</f>
        <v>obj_000fe#0001</v>
      </c>
      <c r="AL126" s="357" t="b">
        <f ca="1">_xll.qlInstrumentSetPricingEngine(AJ126,_xll.qlBachelierBlackSwaptionEngine(,Curve!$S$16,AK126))</f>
        <v>1</v>
      </c>
      <c r="AM126" s="358">
        <f ca="1">_xll.qlInstrumentNPV(AJ126,AL126)*2/_xll.qlYieldTSDiscount(Curve!$S$16,K126)</f>
        <v>221.21951712122117</v>
      </c>
      <c r="AN126" s="358">
        <f ca="1">_xll.qlInstrumentResults(AJ126,"annuity",AL126)</f>
        <v>85720.447810877522</v>
      </c>
      <c r="AO126" s="359">
        <f ca="1">G126/2*_xll.qlYieldTSDiscount(Curve!$S$16,K126)/AN126</f>
        <v>1.2953551916706494E-3</v>
      </c>
      <c r="AP126" s="360" t="e">
        <f ca="1">_xll.qlBachelierBlackFormulaImpliedVol("Call",AD126,AD126,_xll.qlDayCounterYearFraction("Act/365 (Fixed)",C126,J126),AO126)</f>
        <v>#VALUE!</v>
      </c>
      <c r="AQ126" s="361" t="e">
        <f ca="1">_xll.qlBlackFormulaImpliedStdDev("Call",AD126,AD126,AO126)/SQRT(_xll.qlDayCounterYearFraction("Act/365 (Fixed)",C126,J126))</f>
        <v>#VALUE!</v>
      </c>
      <c r="AS126" s="363">
        <v>6.3012194641531988E-3</v>
      </c>
      <c r="AT126" s="363">
        <v>6.502862038215697E-3</v>
      </c>
      <c r="AU126" s="365">
        <f t="shared" ca="1" si="6"/>
        <v>1.7878053584680174E-4</v>
      </c>
      <c r="AV126" s="365">
        <f t="shared" ca="1" si="7"/>
        <v>-2.2862038215696462E-5</v>
      </c>
    </row>
    <row r="127" spans="2:48">
      <c r="B127" s="348" t="str">
        <f t="shared" ca="1" si="5"/>
        <v>6Mx9Y</v>
      </c>
      <c r="C127" s="345">
        <f t="shared" ca="1" si="4"/>
        <v>42254</v>
      </c>
      <c r="D127" s="346" t="s">
        <v>19</v>
      </c>
      <c r="E127" s="346" t="s">
        <v>15</v>
      </c>
      <c r="F127" s="351">
        <f ca="1">VLOOKUP(F$3&amp;$D127&amp;$E127,'Swaption Volatilities'!$V:$W,2,FALSE)%%</f>
        <v>6.4599999999999987E-3</v>
      </c>
      <c r="G127" s="352">
        <f ca="1">VLOOKUP(G$3&amp;$D127&amp;$E127,'Swaption Volatilities'!$V:$W,2,FALSE)</f>
        <v>312</v>
      </c>
      <c r="H127" s="346" t="s">
        <v>20</v>
      </c>
      <c r="I127" s="346" t="s">
        <v>21</v>
      </c>
      <c r="J127" s="345">
        <f ca="1">_xll.qlCalendarAdvance(H127,C127,D127,I127)</f>
        <v>42436</v>
      </c>
      <c r="K127" s="345">
        <f ca="1">_xll.qlCalendarAdvance(H127,J127,"2d")</f>
        <v>42438</v>
      </c>
      <c r="L127" s="345">
        <f ca="1">_xll.qlCalendarAdvance(H127,K127,E127,"unadjusted")</f>
        <v>45725</v>
      </c>
      <c r="M127" s="346" t="s">
        <v>7</v>
      </c>
      <c r="N127" s="346" t="s">
        <v>20</v>
      </c>
      <c r="O127" s="346" t="s">
        <v>21</v>
      </c>
      <c r="P127" s="346" t="s">
        <v>21</v>
      </c>
      <c r="Q127" s="346" t="s">
        <v>70</v>
      </c>
      <c r="R127" s="353" t="str">
        <f ca="1">_xll.qlSchedule(,K127,L127,M127,N127,O127,P127,Q127)</f>
        <v>obj_0053e#0000</v>
      </c>
      <c r="S127" s="346" t="s">
        <v>19</v>
      </c>
      <c r="T127" s="346" t="s">
        <v>20</v>
      </c>
      <c r="U127" s="346" t="s">
        <v>21</v>
      </c>
      <c r="V127" s="346" t="s">
        <v>21</v>
      </c>
      <c r="W127" s="346" t="s">
        <v>70</v>
      </c>
      <c r="X127" s="353" t="str">
        <f ca="1">_xll.qlSchedule(,K127,L127,S127,T127,U127,V127,W127)</f>
        <v>obj_0053f#0001</v>
      </c>
      <c r="Y127" s="349" t="s">
        <v>1742</v>
      </c>
      <c r="Z127" s="354" t="s">
        <v>36</v>
      </c>
      <c r="AA127" s="354" t="s">
        <v>1745</v>
      </c>
      <c r="AB127" s="353" t="str">
        <f ca="1">_xll.qlVanillaSwap(,,,R127,,Y127,X127,Z127,,AA127)</f>
        <v>obj_005d2#0001</v>
      </c>
      <c r="AC127" s="353" t="b">
        <f ca="1">_xll.qlInstrumentSetPricingEngine(AB127,_xll.qlDiscountingSwapEngine(,Curve!$S$16))</f>
        <v>1</v>
      </c>
      <c r="AD127" s="355" t="e">
        <f ca="1">_xll.qlVanillaSwapFairRate(AB127,AC127)</f>
        <v>#NUM!</v>
      </c>
      <c r="AE127" s="346" t="s">
        <v>1752</v>
      </c>
      <c r="AF127" s="347">
        <v>10000</v>
      </c>
      <c r="AG127" s="350" t="str">
        <f ca="1">_xll.qlVanillaSwap(,AE127,AF127,R127,AD127,Y127,X127,Z127,,AA127)</f>
        <v>obj_00689#0000</v>
      </c>
      <c r="AH127" s="347" t="str">
        <f ca="1">_xll.qlEuropeanExercise(,J127)</f>
        <v>obj_0047e#0001</v>
      </c>
      <c r="AI127" s="346" t="s">
        <v>1749</v>
      </c>
      <c r="AJ127" s="356" t="str">
        <f ca="1">_xll.qlSwaption(,AG127,AH127,AI127)</f>
        <v>obj_00770#0001</v>
      </c>
      <c r="AK127" s="357" t="str">
        <f ca="1">_xll.qlConstantSwaptionVolatility(,,H127,I127,F127)</f>
        <v>obj_00187#0001</v>
      </c>
      <c r="AL127" s="357" t="b">
        <f ca="1">_xll.qlInstrumentSetPricingEngine(AJ127,_xll.qlBachelierBlackSwaptionEngine(,Curve!$S$16,AK127))</f>
        <v>1</v>
      </c>
      <c r="AM127" s="358">
        <f ca="1">_xll.qlInstrumentNPV(AJ127,AL127)*2/_xll.qlYieldTSDiscount(Curve!$S$16,K127)</f>
        <v>310.2547307735947</v>
      </c>
      <c r="AN127" s="358">
        <f ca="1">_xll.qlInstrumentResults(AJ127,"annuity",AL127)</f>
        <v>85303.579674563342</v>
      </c>
      <c r="AO127" s="359">
        <f ca="1">G127/2*_xll.qlYieldTSDiscount(Curve!$S$16,K127)/AN127</f>
        <v>1.8300713715046055E-3</v>
      </c>
      <c r="AP127" s="360" t="e">
        <f ca="1">_xll.qlBachelierBlackFormulaImpliedVol("Call",AD127,AD127,_xll.qlDayCounterYearFraction("Act/365 (Fixed)",C127,J127),AO127)</f>
        <v>#VALUE!</v>
      </c>
      <c r="AQ127" s="361" t="e">
        <f ca="1">_xll.qlBlackFormulaImpliedStdDev("Call",AD127,AD127,AO127)/SQRT(_xll.qlDayCounterYearFraction("Act/365 (Fixed)",C127,J127))</f>
        <v>#VALUE!</v>
      </c>
      <c r="AS127" s="363">
        <v>6.2751938118299931E-3</v>
      </c>
      <c r="AT127" s="363">
        <v>6.4963392982742008E-3</v>
      </c>
      <c r="AU127" s="365">
        <f t="shared" ca="1" si="6"/>
        <v>1.8480618817000565E-4</v>
      </c>
      <c r="AV127" s="365">
        <f t="shared" ca="1" si="7"/>
        <v>-3.6339298274202028E-5</v>
      </c>
    </row>
    <row r="128" spans="2:48">
      <c r="B128" s="348" t="str">
        <f t="shared" ca="1" si="5"/>
        <v>9Mx9Y</v>
      </c>
      <c r="C128" s="345">
        <f t="shared" ca="1" si="4"/>
        <v>42254</v>
      </c>
      <c r="D128" s="346" t="s">
        <v>412</v>
      </c>
      <c r="E128" s="346" t="s">
        <v>15</v>
      </c>
      <c r="F128" s="351">
        <f ca="1">VLOOKUP(F$3&amp;$D128&amp;$E128,'Swaption Volatilities'!$V:$W,2,FALSE)%%</f>
        <v>6.5099999999999993E-3</v>
      </c>
      <c r="G128" s="352">
        <f ca="1">VLOOKUP(G$3&amp;$D128&amp;$E128,'Swaption Volatilities'!$V:$W,2,FALSE)</f>
        <v>385</v>
      </c>
      <c r="H128" s="346" t="s">
        <v>20</v>
      </c>
      <c r="I128" s="346" t="s">
        <v>21</v>
      </c>
      <c r="J128" s="345">
        <f ca="1">_xll.qlCalendarAdvance(H128,C128,D128,I128)</f>
        <v>42528</v>
      </c>
      <c r="K128" s="345">
        <f ca="1">_xll.qlCalendarAdvance(H128,J128,"2d")</f>
        <v>42530</v>
      </c>
      <c r="L128" s="345">
        <f ca="1">_xll.qlCalendarAdvance(H128,K128,E128,"unadjusted")</f>
        <v>45817</v>
      </c>
      <c r="M128" s="346" t="s">
        <v>7</v>
      </c>
      <c r="N128" s="346" t="s">
        <v>20</v>
      </c>
      <c r="O128" s="346" t="s">
        <v>21</v>
      </c>
      <c r="P128" s="346" t="s">
        <v>21</v>
      </c>
      <c r="Q128" s="346" t="s">
        <v>70</v>
      </c>
      <c r="R128" s="353" t="str">
        <f ca="1">_xll.qlSchedule(,K128,L128,M128,N128,O128,P128,Q128)</f>
        <v>obj_00293#0001</v>
      </c>
      <c r="S128" s="346" t="s">
        <v>19</v>
      </c>
      <c r="T128" s="346" t="s">
        <v>20</v>
      </c>
      <c r="U128" s="346" t="s">
        <v>21</v>
      </c>
      <c r="V128" s="346" t="s">
        <v>21</v>
      </c>
      <c r="W128" s="346" t="s">
        <v>70</v>
      </c>
      <c r="X128" s="353" t="str">
        <f ca="1">_xll.qlSchedule(,K128,L128,S128,T128,U128,V128,W128)</f>
        <v>obj_001f7#0000</v>
      </c>
      <c r="Y128" s="349" t="s">
        <v>1742</v>
      </c>
      <c r="Z128" s="354" t="s">
        <v>36</v>
      </c>
      <c r="AA128" s="354" t="s">
        <v>1745</v>
      </c>
      <c r="AB128" s="353" t="str">
        <f ca="1">_xll.qlVanillaSwap(,,,R128,,Y128,X128,Z128,,AA128)</f>
        <v>obj_00294#0000</v>
      </c>
      <c r="AC128" s="353" t="b">
        <f ca="1">_xll.qlInstrumentSetPricingEngine(AB128,_xll.qlDiscountingSwapEngine(,Curve!$S$16))</f>
        <v>1</v>
      </c>
      <c r="AD128" s="355" t="e">
        <f ca="1">_xll.qlVanillaSwapFairRate(AB128,AC128)</f>
        <v>#NUM!</v>
      </c>
      <c r="AE128" s="346" t="s">
        <v>1752</v>
      </c>
      <c r="AF128" s="347">
        <v>10000</v>
      </c>
      <c r="AG128" s="350" t="e">
        <f ca="1">_xll.qlVanillaSwap(,AE128,AF128,R128,AD128,Y128,X128,Z128,,AA128)</f>
        <v>#NUM!</v>
      </c>
      <c r="AH128" s="347" t="str">
        <f ca="1">_xll.qlEuropeanExercise(,J128)</f>
        <v>obj_001cd#0000</v>
      </c>
      <c r="AI128" s="346" t="s">
        <v>1749</v>
      </c>
      <c r="AJ128" s="356" t="e">
        <f ca="1">_xll.qlSwaption(,AG128,AH128,AI128)</f>
        <v>#VALUE!</v>
      </c>
      <c r="AK128" s="357" t="str">
        <f ca="1">_xll.qlConstantSwaptionVolatility(,,H128,I128,F128)</f>
        <v>obj_00090#0001</v>
      </c>
      <c r="AL128" s="357" t="e">
        <f ca="1">_xll.qlInstrumentSetPricingEngine(AJ128,_xll.qlBachelierBlackSwaptionEngine(,Curve!$S$16,AK128))</f>
        <v>#VALUE!</v>
      </c>
      <c r="AM128" s="358" t="e">
        <f ca="1">_xll.qlInstrumentNPV(AJ128,AL128)*2/_xll.qlYieldTSDiscount(Curve!$S$16,K128)</f>
        <v>#VALUE!</v>
      </c>
      <c r="AN128" s="358" t="e">
        <f ca="1">_xll.qlInstrumentResults(AJ128,"annuity",AL128)</f>
        <v>#VALUE!</v>
      </c>
      <c r="AO128" s="359" t="e">
        <f ca="1">G128/2*_xll.qlYieldTSDiscount(Curve!$S$16,K128)/AN128</f>
        <v>#VALUE!</v>
      </c>
      <c r="AP128" s="360" t="e">
        <f ca="1">_xll.qlBachelierBlackFormulaImpliedVol("Call",AD128,AD128,_xll.qlDayCounterYearFraction("Act/365 (Fixed)",C128,J128),AO128)</f>
        <v>#VALUE!</v>
      </c>
      <c r="AQ128" s="361" t="e">
        <f ca="1">_xll.qlBlackFormulaImpliedStdDev("Call",AD128,AD128,AO128)/SQRT(_xll.qlDayCounterYearFraction("Act/365 (Fixed)",C128,J128))</f>
        <v>#VALUE!</v>
      </c>
      <c r="AS128" s="363">
        <v>6.3291956426069357E-3</v>
      </c>
      <c r="AT128" s="363">
        <v>6.5738050880535543E-3</v>
      </c>
      <c r="AU128" s="365">
        <f t="shared" ca="1" si="6"/>
        <v>1.8080435739306362E-4</v>
      </c>
      <c r="AV128" s="365">
        <f t="shared" ca="1" si="7"/>
        <v>-6.3805088053555011E-5</v>
      </c>
    </row>
    <row r="129" spans="2:48">
      <c r="B129" s="348" t="str">
        <f t="shared" ca="1" si="5"/>
        <v>1Yx9Y</v>
      </c>
      <c r="C129" s="345">
        <f t="shared" ca="1" si="4"/>
        <v>42254</v>
      </c>
      <c r="D129" s="346" t="s">
        <v>7</v>
      </c>
      <c r="E129" s="346" t="s">
        <v>15</v>
      </c>
      <c r="F129" s="351">
        <f ca="1">VLOOKUP(F$3&amp;$D129&amp;$E129,'Swaption Volatilities'!$V:$W,2,FALSE)%%</f>
        <v>6.6400000000000001E-3</v>
      </c>
      <c r="G129" s="352">
        <f ca="1">VLOOKUP(G$3&amp;$D129&amp;$E129,'Swaption Volatilities'!$V:$W,2,FALSE)</f>
        <v>452</v>
      </c>
      <c r="H129" s="346" t="s">
        <v>20</v>
      </c>
      <c r="I129" s="346" t="s">
        <v>21</v>
      </c>
      <c r="J129" s="345">
        <f ca="1">_xll.qlCalendarAdvance(H129,C129,D129,I129)</f>
        <v>42620</v>
      </c>
      <c r="K129" s="345">
        <f ca="1">_xll.qlCalendarAdvance(H129,J129,"2d")</f>
        <v>42622</v>
      </c>
      <c r="L129" s="345">
        <f ca="1">_xll.qlCalendarAdvance(H129,K129,E129,"unadjusted")</f>
        <v>45909</v>
      </c>
      <c r="M129" s="346" t="s">
        <v>7</v>
      </c>
      <c r="N129" s="346" t="s">
        <v>20</v>
      </c>
      <c r="O129" s="346" t="s">
        <v>21</v>
      </c>
      <c r="P129" s="346" t="s">
        <v>21</v>
      </c>
      <c r="Q129" s="346" t="s">
        <v>70</v>
      </c>
      <c r="R129" s="353" t="str">
        <f ca="1">_xll.qlSchedule(,K129,L129,M129,N129,O129,P129,Q129)</f>
        <v>obj_00526#0001</v>
      </c>
      <c r="S129" s="346" t="s">
        <v>19</v>
      </c>
      <c r="T129" s="346" t="s">
        <v>20</v>
      </c>
      <c r="U129" s="346" t="s">
        <v>21</v>
      </c>
      <c r="V129" s="346" t="s">
        <v>21</v>
      </c>
      <c r="W129" s="346" t="s">
        <v>70</v>
      </c>
      <c r="X129" s="353" t="str">
        <f ca="1">_xll.qlSchedule(,K129,L129,S129,T129,U129,V129,W129)</f>
        <v>obj_00527#0001</v>
      </c>
      <c r="Y129" s="349" t="s">
        <v>1742</v>
      </c>
      <c r="Z129" s="354" t="s">
        <v>36</v>
      </c>
      <c r="AA129" s="354" t="s">
        <v>1745</v>
      </c>
      <c r="AB129" s="353" t="str">
        <f ca="1">_xll.qlVanillaSwap(,,,R129,,Y129,X129,Z129,,AA129)</f>
        <v>obj_005be#0001</v>
      </c>
      <c r="AC129" s="353" t="b">
        <f ca="1">_xll.qlInstrumentSetPricingEngine(AB129,_xll.qlDiscountingSwapEngine(,Curve!$S$16))</f>
        <v>1</v>
      </c>
      <c r="AD129" s="355" t="e">
        <f ca="1">_xll.qlVanillaSwapFairRate(AB129,AC129)</f>
        <v>#NUM!</v>
      </c>
      <c r="AE129" s="346" t="s">
        <v>1752</v>
      </c>
      <c r="AF129" s="347">
        <v>10000</v>
      </c>
      <c r="AG129" s="350" t="str">
        <f ca="1">_xll.qlVanillaSwap(,AE129,AF129,R129,AD129,Y129,X129,Z129,,AA129)</f>
        <v>obj_006c3#0000</v>
      </c>
      <c r="AH129" s="347" t="str">
        <f ca="1">_xll.qlEuropeanExercise(,J129)</f>
        <v>obj_00278#0001</v>
      </c>
      <c r="AI129" s="346" t="s">
        <v>1749</v>
      </c>
      <c r="AJ129" s="356" t="str">
        <f ca="1">_xll.qlSwaption(,AG129,AH129,AI129)</f>
        <v>obj_00748#0001</v>
      </c>
      <c r="AK129" s="357" t="str">
        <f ca="1">_xll.qlConstantSwaptionVolatility(,,H129,I129,F129)</f>
        <v>obj_000c5#0001</v>
      </c>
      <c r="AL129" s="357" t="b">
        <f ca="1">_xll.qlInstrumentSetPricingEngine(AJ129,_xll.qlBachelierBlackSwaptionEngine(,Curve!$S$16,AK129))</f>
        <v>1</v>
      </c>
      <c r="AM129" s="358">
        <f ca="1">_xll.qlInstrumentNPV(AJ129,AL129)*2/_xll.qlYieldTSDiscount(Curve!$S$16,K129)</f>
        <v>446.65958098950955</v>
      </c>
      <c r="AN129" s="358">
        <f ca="1">_xll.qlInstrumentResults(AJ129,"annuity",AL129)</f>
        <v>84320.185974621039</v>
      </c>
      <c r="AO129" s="359">
        <f ca="1">G129/2*_xll.qlYieldTSDiscount(Curve!$S$16,K129)/AN129</f>
        <v>2.6843184492437704E-3</v>
      </c>
      <c r="AP129" s="360" t="e">
        <f ca="1">_xll.qlBachelierBlackFormulaImpliedVol("Call",AD129,AD129,_xll.qlDayCounterYearFraction("Act/365 (Fixed)",C129,J129),AO129)</f>
        <v>#VALUE!</v>
      </c>
      <c r="AQ129" s="361" t="e">
        <f ca="1">_xll.qlBlackFormulaImpliedStdDev("Call",AD129,AD129,AO129)/SQRT(_xll.qlDayCounterYearFraction("Act/365 (Fixed)",C129,J129))</f>
        <v>#VALUE!</v>
      </c>
      <c r="AS129" s="363">
        <v>6.446952556721201E-3</v>
      </c>
      <c r="AT129" s="363">
        <v>6.7193901748420675E-3</v>
      </c>
      <c r="AU129" s="365">
        <f t="shared" ca="1" si="6"/>
        <v>1.9304744327879909E-4</v>
      </c>
      <c r="AV129" s="365">
        <f t="shared" ca="1" si="7"/>
        <v>-7.9390174842067403E-5</v>
      </c>
    </row>
    <row r="130" spans="2:48">
      <c r="B130" s="348" t="str">
        <f t="shared" ca="1" si="5"/>
        <v>18Mx9Y</v>
      </c>
      <c r="C130" s="345">
        <f t="shared" ca="1" si="4"/>
        <v>42254</v>
      </c>
      <c r="D130" s="346" t="s">
        <v>154</v>
      </c>
      <c r="E130" s="346" t="s">
        <v>15</v>
      </c>
      <c r="F130" s="351">
        <f ca="1">VLOOKUP(F$3&amp;$D130&amp;$E130,'Swaption Volatilities'!$V:$W,2,FALSE)%%</f>
        <v>6.8400000000000006E-3</v>
      </c>
      <c r="G130" s="352">
        <f ca="1">VLOOKUP(G$3&amp;$D130&amp;$E130,'Swaption Volatilities'!$V:$W,2,FALSE)</f>
        <v>566</v>
      </c>
      <c r="H130" s="346" t="s">
        <v>20</v>
      </c>
      <c r="I130" s="346" t="s">
        <v>21</v>
      </c>
      <c r="J130" s="345">
        <f ca="1">_xll.qlCalendarAdvance(H130,C130,D130,I130)</f>
        <v>42801</v>
      </c>
      <c r="K130" s="345">
        <f ca="1">_xll.qlCalendarAdvance(H130,J130,"2d")</f>
        <v>42803</v>
      </c>
      <c r="L130" s="345">
        <f ca="1">_xll.qlCalendarAdvance(H130,K130,E130,"unadjusted")</f>
        <v>46090</v>
      </c>
      <c r="M130" s="346" t="s">
        <v>7</v>
      </c>
      <c r="N130" s="346" t="s">
        <v>20</v>
      </c>
      <c r="O130" s="346" t="s">
        <v>21</v>
      </c>
      <c r="P130" s="346" t="s">
        <v>21</v>
      </c>
      <c r="Q130" s="346" t="s">
        <v>70</v>
      </c>
      <c r="R130" s="353" t="str">
        <f ca="1">_xll.qlSchedule(,K130,L130,M130,N130,O130,P130,Q130)</f>
        <v>obj_00291#0001</v>
      </c>
      <c r="S130" s="346" t="s">
        <v>19</v>
      </c>
      <c r="T130" s="346" t="s">
        <v>20</v>
      </c>
      <c r="U130" s="346" t="s">
        <v>21</v>
      </c>
      <c r="V130" s="346" t="s">
        <v>21</v>
      </c>
      <c r="W130" s="346" t="s">
        <v>70</v>
      </c>
      <c r="X130" s="353" t="str">
        <f ca="1">_xll.qlSchedule(,K130,L130,S130,T130,U130,V130,W130)</f>
        <v>obj_00209#0001</v>
      </c>
      <c r="Y130" s="349" t="s">
        <v>1742</v>
      </c>
      <c r="Z130" s="354" t="s">
        <v>36</v>
      </c>
      <c r="AA130" s="354" t="s">
        <v>1745</v>
      </c>
      <c r="AB130" s="353" t="str">
        <f ca="1">_xll.qlVanillaSwap(,,,R130,,Y130,X130,Z130,,AA130)</f>
        <v>obj_00495#0001</v>
      </c>
      <c r="AC130" s="353" t="b">
        <f ca="1">_xll.qlInstrumentSetPricingEngine(AB130,_xll.qlDiscountingSwapEngine(,Curve!$S$16))</f>
        <v>1</v>
      </c>
      <c r="AD130" s="355" t="e">
        <f ca="1">_xll.qlVanillaSwapFairRate(AB130,AC130)</f>
        <v>#NUM!</v>
      </c>
      <c r="AE130" s="346" t="s">
        <v>1752</v>
      </c>
      <c r="AF130" s="347">
        <v>10000</v>
      </c>
      <c r="AG130" s="350" t="str">
        <f ca="1">_xll.qlVanillaSwap(,AE130,AF130,R130,AD130,Y130,X130,Z130,,AA130)</f>
        <v>obj_0069e#0000</v>
      </c>
      <c r="AH130" s="347" t="str">
        <f ca="1">_xll.qlEuropeanExercise(,J130)</f>
        <v>obj_00125#0001</v>
      </c>
      <c r="AI130" s="346" t="s">
        <v>1749</v>
      </c>
      <c r="AJ130" s="356" t="str">
        <f ca="1">_xll.qlSwaption(,AG130,AH130,AI130)</f>
        <v>obj_007ae#0001</v>
      </c>
      <c r="AK130" s="357" t="str">
        <f ca="1">_xll.qlConstantSwaptionVolatility(,,H130,I130,F130)</f>
        <v>obj_0039c#0001</v>
      </c>
      <c r="AL130" s="357" t="b">
        <f ca="1">_xll.qlInstrumentSetPricingEngine(AJ130,_xll.qlBachelierBlackSwaptionEngine(,Curve!$S$16,AK130))</f>
        <v>1</v>
      </c>
      <c r="AM130" s="358">
        <f ca="1">_xll.qlInstrumentNPV(AJ130,AL130)*2/_xll.qlYieldTSDiscount(Curve!$S$16,K130)</f>
        <v>555.16476177151765</v>
      </c>
      <c r="AN130" s="358">
        <f ca="1">_xll.qlInstrumentResults(AJ130,"annuity",AL130)</f>
        <v>83282.224082212677</v>
      </c>
      <c r="AO130" s="359">
        <f ca="1">G130/2*_xll.qlYieldTSDiscount(Curve!$S$16,K130)/AN130</f>
        <v>3.405712140674381E-3</v>
      </c>
      <c r="AP130" s="360" t="e">
        <f ca="1">_xll.qlBachelierBlackFormulaImpliedVol("Call",AD130,AD130,_xll.qlDayCounterYearFraction("Act/365 (Fixed)",C130,J130),AO130)</f>
        <v>#VALUE!</v>
      </c>
      <c r="AQ130" s="361" t="e">
        <f ca="1">_xll.qlBlackFormulaImpliedStdDev("Call",AD130,AD130,AO130)/SQRT(_xll.qlDayCounterYearFraction("Act/365 (Fixed)",C130,J130))</f>
        <v>#VALUE!</v>
      </c>
      <c r="AS130" s="363">
        <v>6.6418000496992645E-3</v>
      </c>
      <c r="AT130" s="363">
        <v>6.9734973589575967E-3</v>
      </c>
      <c r="AU130" s="365">
        <f t="shared" ca="1" si="6"/>
        <v>1.9819995030073614E-4</v>
      </c>
      <c r="AV130" s="365">
        <f t="shared" ca="1" si="7"/>
        <v>-1.3349735895759607E-4</v>
      </c>
    </row>
    <row r="131" spans="2:48">
      <c r="B131" s="348" t="str">
        <f t="shared" ca="1" si="5"/>
        <v>2Yx9Y</v>
      </c>
      <c r="C131" s="345">
        <f t="shared" ca="1" si="4"/>
        <v>42254</v>
      </c>
      <c r="D131" s="346" t="s">
        <v>8</v>
      </c>
      <c r="E131" s="346" t="s">
        <v>15</v>
      </c>
      <c r="F131" s="351">
        <f ca="1">VLOOKUP(F$3&amp;$D131&amp;$E131,'Swaption Volatilities'!$V:$W,2,FALSE)%%</f>
        <v>7.0400000000000011E-3</v>
      </c>
      <c r="G131" s="352">
        <f ca="1">VLOOKUP(G$3&amp;$D131&amp;$E131,'Swaption Volatilities'!$V:$W,2,FALSE)</f>
        <v>670</v>
      </c>
      <c r="H131" s="346" t="s">
        <v>20</v>
      </c>
      <c r="I131" s="346" t="s">
        <v>21</v>
      </c>
      <c r="J131" s="345">
        <f ca="1">_xll.qlCalendarAdvance(H131,C131,D131,I131)</f>
        <v>42985</v>
      </c>
      <c r="K131" s="345">
        <f ca="1">_xll.qlCalendarAdvance(H131,J131,"2d")</f>
        <v>42989</v>
      </c>
      <c r="L131" s="345">
        <f ca="1">_xll.qlCalendarAdvance(H131,K131,E131,"unadjusted")</f>
        <v>46276</v>
      </c>
      <c r="M131" s="346" t="s">
        <v>7</v>
      </c>
      <c r="N131" s="346" t="s">
        <v>20</v>
      </c>
      <c r="O131" s="346" t="s">
        <v>21</v>
      </c>
      <c r="P131" s="346" t="s">
        <v>21</v>
      </c>
      <c r="Q131" s="346" t="s">
        <v>70</v>
      </c>
      <c r="R131" s="353" t="str">
        <f ca="1">_xll.qlSchedule(,K131,L131,M131,N131,O131,P131,Q131)</f>
        <v>obj_00564#0001</v>
      </c>
      <c r="S131" s="346" t="s">
        <v>19</v>
      </c>
      <c r="T131" s="346" t="s">
        <v>20</v>
      </c>
      <c r="U131" s="346" t="s">
        <v>21</v>
      </c>
      <c r="V131" s="346" t="s">
        <v>21</v>
      </c>
      <c r="W131" s="346" t="s">
        <v>70</v>
      </c>
      <c r="X131" s="353" t="str">
        <f ca="1">_xll.qlSchedule(,K131,L131,S131,T131,U131,V131,W131)</f>
        <v>obj_00565#0001</v>
      </c>
      <c r="Y131" s="349" t="s">
        <v>1742</v>
      </c>
      <c r="Z131" s="354" t="s">
        <v>36</v>
      </c>
      <c r="AA131" s="354" t="s">
        <v>1745</v>
      </c>
      <c r="AB131" s="353" t="str">
        <f ca="1">_xll.qlVanillaSwap(,,,R131,,Y131,X131,Z131,,AA131)</f>
        <v>obj_005e9#0001</v>
      </c>
      <c r="AC131" s="353" t="b">
        <f ca="1">_xll.qlInstrumentSetPricingEngine(AB131,_xll.qlDiscountingSwapEngine(,Curve!$S$16))</f>
        <v>1</v>
      </c>
      <c r="AD131" s="355" t="e">
        <f ca="1">_xll.qlVanillaSwapFairRate(AB131,AC131)</f>
        <v>#NUM!</v>
      </c>
      <c r="AE131" s="346" t="s">
        <v>1752</v>
      </c>
      <c r="AF131" s="347">
        <v>10000</v>
      </c>
      <c r="AG131" s="350" t="str">
        <f ca="1">_xll.qlVanillaSwap(,AE131,AF131,R131,AD131,Y131,X131,Z131,,AA131)</f>
        <v>obj_0064c#0000</v>
      </c>
      <c r="AH131" s="347" t="str">
        <f ca="1">_xll.qlEuropeanExercise(,J131)</f>
        <v>obj_004a1#0001</v>
      </c>
      <c r="AI131" s="346" t="s">
        <v>1749</v>
      </c>
      <c r="AJ131" s="356" t="str">
        <f ca="1">_xll.qlSwaption(,AG131,AH131,AI131)</f>
        <v>obj_007ba#0001</v>
      </c>
      <c r="AK131" s="357" t="str">
        <f ca="1">_xll.qlConstantSwaptionVolatility(,,H131,I131,F131)</f>
        <v>obj_00378#0001</v>
      </c>
      <c r="AL131" s="357" t="b">
        <f ca="1">_xll.qlInstrumentSetPricingEngine(AJ131,_xll.qlBachelierBlackSwaptionEngine(,Curve!$S$16,AK131))</f>
        <v>1</v>
      </c>
      <c r="AM131" s="358">
        <f ca="1">_xll.qlInstrumentNPV(AJ131,AL131)*2/_xll.qlYieldTSDiscount(Curve!$S$16,K131)</f>
        <v>651.2202132677528</v>
      </c>
      <c r="AN131" s="358">
        <f ca="1">_xll.qlInstrumentResults(AJ131,"annuity",AL131)</f>
        <v>82150.385167759479</v>
      </c>
      <c r="AO131" s="359">
        <f ca="1">G131/2*_xll.qlYieldTSDiscount(Curve!$S$16,K131)/AN131</f>
        <v>4.0892335164320797E-3</v>
      </c>
      <c r="AP131" s="360" t="e">
        <f ca="1">_xll.qlBachelierBlackFormulaImpliedVol("Call",AD131,AD131,_xll.qlDayCounterYearFraction("Act/365 (Fixed)",C131,J131),AO131)</f>
        <v>#VALUE!</v>
      </c>
      <c r="AQ131" s="361" t="e">
        <f ca="1">_xll.qlBlackFormulaImpliedStdDev("Call",AD131,AD131,AO131)/SQRT(_xll.qlDayCounterYearFraction("Act/365 (Fixed)",C131,J131))</f>
        <v>#VALUE!</v>
      </c>
      <c r="AS131" s="363">
        <v>6.8439730144808997E-3</v>
      </c>
      <c r="AT131" s="363">
        <v>7.2430184197317445E-3</v>
      </c>
      <c r="AU131" s="365">
        <f t="shared" ca="1" si="6"/>
        <v>1.9602698551910141E-4</v>
      </c>
      <c r="AV131" s="365">
        <f t="shared" ca="1" si="7"/>
        <v>-2.0301841973174341E-4</v>
      </c>
    </row>
    <row r="132" spans="2:48">
      <c r="B132" s="348" t="str">
        <f t="shared" ca="1" si="5"/>
        <v>3Yx9Y</v>
      </c>
      <c r="C132" s="345">
        <f t="shared" ref="C132:C195" ca="1" si="8">RefDate</f>
        <v>42254</v>
      </c>
      <c r="D132" s="346" t="s">
        <v>9</v>
      </c>
      <c r="E132" s="346" t="s">
        <v>15</v>
      </c>
      <c r="F132" s="351">
        <f ca="1">VLOOKUP(F$3&amp;$D132&amp;$E132,'Swaption Volatilities'!$V:$W,2,FALSE)%%</f>
        <v>7.2699999999999996E-3</v>
      </c>
      <c r="G132" s="352">
        <f ca="1">VLOOKUP(G$3&amp;$D132&amp;$E132,'Swaption Volatilities'!$V:$W,2,FALSE)</f>
        <v>838</v>
      </c>
      <c r="H132" s="346" t="s">
        <v>20</v>
      </c>
      <c r="I132" s="346" t="s">
        <v>21</v>
      </c>
      <c r="J132" s="345">
        <f ca="1">_xll.qlCalendarAdvance(H132,C132,D132,I132)</f>
        <v>43350</v>
      </c>
      <c r="K132" s="345">
        <f ca="1">_xll.qlCalendarAdvance(H132,J132,"2d")</f>
        <v>43354</v>
      </c>
      <c r="L132" s="345">
        <f ca="1">_xll.qlCalendarAdvance(H132,K132,E132,"unadjusted")</f>
        <v>46641</v>
      </c>
      <c r="M132" s="346" t="s">
        <v>7</v>
      </c>
      <c r="N132" s="346" t="s">
        <v>20</v>
      </c>
      <c r="O132" s="346" t="s">
        <v>21</v>
      </c>
      <c r="P132" s="346" t="s">
        <v>21</v>
      </c>
      <c r="Q132" s="346" t="s">
        <v>70</v>
      </c>
      <c r="R132" s="353" t="str">
        <f ca="1">_xll.qlSchedule(,K132,L132,M132,N132,O132,P132,Q132)</f>
        <v>obj_00349#0001</v>
      </c>
      <c r="S132" s="346" t="s">
        <v>19</v>
      </c>
      <c r="T132" s="346" t="s">
        <v>20</v>
      </c>
      <c r="U132" s="346" t="s">
        <v>21</v>
      </c>
      <c r="V132" s="346" t="s">
        <v>21</v>
      </c>
      <c r="W132" s="346" t="s">
        <v>70</v>
      </c>
      <c r="X132" s="353" t="str">
        <f ca="1">_xll.qlSchedule(,K132,L132,S132,T132,U132,V132,W132)</f>
        <v>obj_003e7#0001</v>
      </c>
      <c r="Y132" s="349" t="s">
        <v>1742</v>
      </c>
      <c r="Z132" s="354" t="s">
        <v>36</v>
      </c>
      <c r="AA132" s="354" t="s">
        <v>1745</v>
      </c>
      <c r="AB132" s="353" t="str">
        <f ca="1">_xll.qlVanillaSwap(,,,R132,,Y132,X132,Z132,,AA132)</f>
        <v>obj_004c8#0001</v>
      </c>
      <c r="AC132" s="353" t="b">
        <f ca="1">_xll.qlInstrumentSetPricingEngine(AB132,_xll.qlDiscountingSwapEngine(,Curve!$S$16))</f>
        <v>1</v>
      </c>
      <c r="AD132" s="355" t="e">
        <f ca="1">_xll.qlVanillaSwapFairRate(AB132,AC132)</f>
        <v>#NUM!</v>
      </c>
      <c r="AE132" s="346" t="s">
        <v>1752</v>
      </c>
      <c r="AF132" s="347">
        <v>10000</v>
      </c>
      <c r="AG132" s="350" t="str">
        <f ca="1">_xll.qlVanillaSwap(,AE132,AF132,R132,AD132,Y132,X132,Z132,,AA132)</f>
        <v>obj_00662#0000</v>
      </c>
      <c r="AH132" s="347" t="str">
        <f ca="1">_xll.qlEuropeanExercise(,J132)</f>
        <v>obj_001aa#0001</v>
      </c>
      <c r="AI132" s="346" t="s">
        <v>1749</v>
      </c>
      <c r="AJ132" s="356" t="str">
        <f ca="1">_xll.qlSwaption(,AG132,AH132,AI132)</f>
        <v>obj_00754#0001</v>
      </c>
      <c r="AK132" s="357" t="str">
        <f ca="1">_xll.qlConstantSwaptionVolatility(,,H132,I132,F132)</f>
        <v>obj_0008f#0001</v>
      </c>
      <c r="AL132" s="357" t="b">
        <f ca="1">_xll.qlInstrumentSetPricingEngine(AJ132,_xll.qlBachelierBlackSwaptionEngine(,Curve!$S$16,AK132))</f>
        <v>1</v>
      </c>
      <c r="AM132" s="358">
        <f ca="1">_xll.qlInstrumentNPV(AJ132,AL132)*2/_xll.qlYieldTSDiscount(Curve!$S$16,K132)</f>
        <v>800.24251856828107</v>
      </c>
      <c r="AN132" s="358">
        <f ca="1">_xll.qlInstrumentResults(AJ132,"annuity",AL132)</f>
        <v>79818.334425610446</v>
      </c>
      <c r="AO132" s="359">
        <f ca="1">G132/2*_xll.qlYieldTSDiscount(Curve!$S$16,K132)/AN132</f>
        <v>5.2629072639981313E-3</v>
      </c>
      <c r="AP132" s="360" t="e">
        <f ca="1">_xll.qlBachelierBlackFormulaImpliedVol("Call",AD132,AD132,_xll.qlDayCounterYearFraction("Act/365 (Fixed)",C132,J132),AO132)</f>
        <v>#VALUE!</v>
      </c>
      <c r="AQ132" s="361" t="e">
        <f ca="1">_xll.qlBlackFormulaImpliedStdDev("Call",AD132,AD132,AO132)/SQRT(_xll.qlDayCounterYearFraction("Act/365 (Fixed)",C132,J132))</f>
        <v>#VALUE!</v>
      </c>
      <c r="AS132" s="363">
        <v>7.0762222115327168E-3</v>
      </c>
      <c r="AT132" s="363">
        <v>7.6130171274824705E-3</v>
      </c>
      <c r="AU132" s="365">
        <f t="shared" ca="1" si="6"/>
        <v>1.937777884672828E-4</v>
      </c>
      <c r="AV132" s="365">
        <f t="shared" ca="1" si="7"/>
        <v>-3.4301712748247091E-4</v>
      </c>
    </row>
    <row r="133" spans="2:48">
      <c r="B133" s="348" t="str">
        <f t="shared" ref="B133:B196" ca="1" si="9">D133&amp;"x"&amp;E133</f>
        <v>4Yx9Y</v>
      </c>
      <c r="C133" s="345">
        <f t="shared" ca="1" si="8"/>
        <v>42254</v>
      </c>
      <c r="D133" s="346" t="s">
        <v>10</v>
      </c>
      <c r="E133" s="346" t="s">
        <v>15</v>
      </c>
      <c r="F133" s="351">
        <f ca="1">VLOOKUP(F$3&amp;$D133&amp;$E133,'Swaption Volatilities'!$V:$W,2,FALSE)%%</f>
        <v>7.3900000000000007E-3</v>
      </c>
      <c r="G133" s="352">
        <f ca="1">VLOOKUP(G$3&amp;$D133&amp;$E133,'Swaption Volatilities'!$V:$W,2,FALSE)</f>
        <v>976</v>
      </c>
      <c r="H133" s="346" t="s">
        <v>20</v>
      </c>
      <c r="I133" s="346" t="s">
        <v>21</v>
      </c>
      <c r="J133" s="345">
        <f ca="1">_xll.qlCalendarAdvance(H133,C133,D133,I133)</f>
        <v>43717</v>
      </c>
      <c r="K133" s="345">
        <f ca="1">_xll.qlCalendarAdvance(H133,J133,"2d")</f>
        <v>43719</v>
      </c>
      <c r="L133" s="345">
        <f ca="1">_xll.qlCalendarAdvance(H133,K133,E133,"unadjusted")</f>
        <v>47007</v>
      </c>
      <c r="M133" s="346" t="s">
        <v>7</v>
      </c>
      <c r="N133" s="346" t="s">
        <v>20</v>
      </c>
      <c r="O133" s="346" t="s">
        <v>21</v>
      </c>
      <c r="P133" s="346" t="s">
        <v>21</v>
      </c>
      <c r="Q133" s="346" t="s">
        <v>70</v>
      </c>
      <c r="R133" s="353" t="str">
        <f ca="1">_xll.qlSchedule(,K133,L133,M133,N133,O133,P133,Q133)</f>
        <v>obj_00202#0001</v>
      </c>
      <c r="S133" s="346" t="s">
        <v>19</v>
      </c>
      <c r="T133" s="346" t="s">
        <v>20</v>
      </c>
      <c r="U133" s="346" t="s">
        <v>21</v>
      </c>
      <c r="V133" s="346" t="s">
        <v>21</v>
      </c>
      <c r="W133" s="346" t="s">
        <v>70</v>
      </c>
      <c r="X133" s="353" t="str">
        <f ca="1">_xll.qlSchedule(,K133,L133,S133,T133,U133,V133,W133)</f>
        <v>obj_00344#0001</v>
      </c>
      <c r="Y133" s="349" t="s">
        <v>1742</v>
      </c>
      <c r="Z133" s="354" t="s">
        <v>36</v>
      </c>
      <c r="AA133" s="354" t="s">
        <v>1745</v>
      </c>
      <c r="AB133" s="353" t="str">
        <f ca="1">_xll.qlVanillaSwap(,,,R133,,Y133,X133,Z133,,AA133)</f>
        <v>obj_00345#0000</v>
      </c>
      <c r="AC133" s="353" t="b">
        <f ca="1">_xll.qlInstrumentSetPricingEngine(AB133,_xll.qlDiscountingSwapEngine(,Curve!$S$16))</f>
        <v>1</v>
      </c>
      <c r="AD133" s="355">
        <f ca="1">_xll.qlVanillaSwapFairRate(AB133,AC133)</f>
        <v>1.7084770461461125E-2</v>
      </c>
      <c r="AE133" s="346" t="s">
        <v>1752</v>
      </c>
      <c r="AF133" s="347">
        <v>10000</v>
      </c>
      <c r="AG133" s="350" t="str">
        <f ca="1">_xll.qlVanillaSwap(,AE133,AF133,R133,AD133,Y133,X133,Z133,,AA133)</f>
        <v>obj_00726#0001</v>
      </c>
      <c r="AH133" s="347" t="str">
        <f ca="1">_xll.qlEuropeanExercise(,J133)</f>
        <v>obj_000e6#0001</v>
      </c>
      <c r="AI133" s="346" t="s">
        <v>1749</v>
      </c>
      <c r="AJ133" s="356" t="str">
        <f ca="1">_xll.qlSwaption(,AG133,AH133,AI133)</f>
        <v>obj_0075d#0001</v>
      </c>
      <c r="AK133" s="357" t="str">
        <f ca="1">_xll.qlConstantSwaptionVolatility(,,H133,I133,F133)</f>
        <v>obj_000fd#0001</v>
      </c>
      <c r="AL133" s="357" t="b">
        <f ca="1">_xll.qlInstrumentSetPricingEngine(AJ133,_xll.qlBachelierBlackSwaptionEngine(,Curve!$S$16,AK133))</f>
        <v>1</v>
      </c>
      <c r="AM133" s="358">
        <f ca="1">_xll.qlInstrumentNPV(AJ133,AL133)*2/_xll.qlYieldTSDiscount(Curve!$S$16,K133)</f>
        <v>912.98445043778941</v>
      </c>
      <c r="AN133" s="358">
        <f ca="1">_xll.qlInstrumentResults(AJ133,"annuity",AL133)</f>
        <v>77332.424304157612</v>
      </c>
      <c r="AO133" s="359">
        <f ca="1">G133/2*_xll.qlYieldTSDiscount(Curve!$S$16,K133)/AN133</f>
        <v>6.3098156634139504E-3</v>
      </c>
      <c r="AP133" s="360">
        <f ca="1">_xll.qlBachelierBlackFormulaImpliedVol("Call",AD133,AD133,_xll.qlDayCounterYearFraction("Act/365 (Fixed)",C133,J133),AO133)</f>
        <v>7.9000688309000498E-3</v>
      </c>
      <c r="AQ133" s="361">
        <f ca="1">_xll.qlBlackFormulaImpliedStdDev("Call",AD133,AD133,AO133)/SQRT(_xll.qlDayCounterYearFraction("Act/365 (Fixed)",C133,J133))</f>
        <v>0.48028239506526027</v>
      </c>
      <c r="AS133" s="363">
        <v>7.2250763853456681E-3</v>
      </c>
      <c r="AT133" s="363">
        <v>7.9000688309000498E-3</v>
      </c>
      <c r="AU133" s="365">
        <f t="shared" ref="AU133:AU196" ca="1" si="10">F133-AS133</f>
        <v>1.6492361465433262E-4</v>
      </c>
      <c r="AV133" s="365">
        <f t="shared" ref="AV133:AV196" ca="1" si="11">F133-AT133</f>
        <v>-5.1006883090004909E-4</v>
      </c>
    </row>
    <row r="134" spans="2:48">
      <c r="B134" s="348" t="str">
        <f t="shared" ca="1" si="9"/>
        <v>5Yx9Y</v>
      </c>
      <c r="C134" s="345">
        <f t="shared" ca="1" si="8"/>
        <v>42254</v>
      </c>
      <c r="D134" s="346" t="s">
        <v>11</v>
      </c>
      <c r="E134" s="346" t="s">
        <v>15</v>
      </c>
      <c r="F134" s="351">
        <f ca="1">VLOOKUP(F$3&amp;$D134&amp;$E134,'Swaption Volatilities'!$V:$W,2,FALSE)%%</f>
        <v>7.3900000000000007E-3</v>
      </c>
      <c r="G134" s="352">
        <f ca="1">VLOOKUP(G$3&amp;$D134&amp;$E134,'Swaption Volatilities'!$V:$W,2,FALSE)</f>
        <v>1084</v>
      </c>
      <c r="H134" s="346" t="s">
        <v>20</v>
      </c>
      <c r="I134" s="346" t="s">
        <v>21</v>
      </c>
      <c r="J134" s="345">
        <f ca="1">_xll.qlCalendarAdvance(H134,C134,D134,I134)</f>
        <v>44081</v>
      </c>
      <c r="K134" s="345">
        <f ca="1">_xll.qlCalendarAdvance(H134,J134,"2d")</f>
        <v>44083</v>
      </c>
      <c r="L134" s="345">
        <f ca="1">_xll.qlCalendarAdvance(H134,K134,E134,"unadjusted")</f>
        <v>47370</v>
      </c>
      <c r="M134" s="346" t="s">
        <v>7</v>
      </c>
      <c r="N134" s="346" t="s">
        <v>20</v>
      </c>
      <c r="O134" s="346" t="s">
        <v>21</v>
      </c>
      <c r="P134" s="346" t="s">
        <v>21</v>
      </c>
      <c r="Q134" s="346" t="s">
        <v>70</v>
      </c>
      <c r="R134" s="353" t="str">
        <f ca="1">_xll.qlSchedule(,K134,L134,M134,N134,O134,P134,Q134)</f>
        <v>obj_005b9#0001</v>
      </c>
      <c r="S134" s="346" t="s">
        <v>19</v>
      </c>
      <c r="T134" s="346" t="s">
        <v>20</v>
      </c>
      <c r="U134" s="346" t="s">
        <v>21</v>
      </c>
      <c r="V134" s="346" t="s">
        <v>21</v>
      </c>
      <c r="W134" s="346" t="s">
        <v>70</v>
      </c>
      <c r="X134" s="353" t="str">
        <f ca="1">_xll.qlSchedule(,K134,L134,S134,T134,U134,V134,W134)</f>
        <v>obj_005ba#0001</v>
      </c>
      <c r="Y134" s="349" t="s">
        <v>1742</v>
      </c>
      <c r="Z134" s="354" t="s">
        <v>36</v>
      </c>
      <c r="AA134" s="354" t="s">
        <v>1745</v>
      </c>
      <c r="AB134" s="353" t="str">
        <f ca="1">_xll.qlVanillaSwap(,,,R134,,Y134,X134,Z134,,AA134)</f>
        <v>obj_0061b#0001</v>
      </c>
      <c r="AC134" s="353" t="b">
        <f ca="1">_xll.qlInstrumentSetPricingEngine(AB134,_xll.qlDiscountingSwapEngine(,Curve!$S$16))</f>
        <v>1</v>
      </c>
      <c r="AD134" s="355" t="e">
        <f ca="1">_xll.qlVanillaSwapFairRate(AB134,AC134)</f>
        <v>#NUM!</v>
      </c>
      <c r="AE134" s="346" t="s">
        <v>1752</v>
      </c>
      <c r="AF134" s="347">
        <v>10000</v>
      </c>
      <c r="AG134" s="350" t="e">
        <f ca="1">_xll.qlVanillaSwap(,AE134,AF134,R134,AD134,Y134,X134,Z134,,AA134)</f>
        <v>#NUM!</v>
      </c>
      <c r="AH134" s="347" t="str">
        <f ca="1">_xll.qlEuropeanExercise(,J134)</f>
        <v>obj_000e8#0001</v>
      </c>
      <c r="AI134" s="346" t="s">
        <v>1749</v>
      </c>
      <c r="AJ134" s="356" t="e">
        <f ca="1">_xll.qlSwaption(,AG134,AH134,AI134)</f>
        <v>#VALUE!</v>
      </c>
      <c r="AK134" s="357" t="str">
        <f ca="1">_xll.qlConstantSwaptionVolatility(,,H134,I134,F134)</f>
        <v>obj_000c4#0001</v>
      </c>
      <c r="AL134" s="357" t="e">
        <f ca="1">_xll.qlInstrumentSetPricingEngine(AJ134,_xll.qlBachelierBlackSwaptionEngine(,Curve!$S$16,AK134))</f>
        <v>#VALUE!</v>
      </c>
      <c r="AM134" s="358" t="e">
        <f ca="1">_xll.qlInstrumentNPV(AJ134,AL134)*2/_xll.qlYieldTSDiscount(Curve!$S$16,K134)</f>
        <v>#VALUE!</v>
      </c>
      <c r="AN134" s="358" t="e">
        <f ca="1">_xll.qlInstrumentResults(AJ134,"annuity",AL134)</f>
        <v>#VALUE!</v>
      </c>
      <c r="AO134" s="359" t="e">
        <f ca="1">G134/2*_xll.qlYieldTSDiscount(Curve!$S$16,K134)/AN134</f>
        <v>#VALUE!</v>
      </c>
      <c r="AP134" s="360" t="e">
        <f ca="1">_xll.qlBachelierBlackFormulaImpliedVol("Call",AD134,AD134,_xll.qlDayCounterYearFraction("Act/365 (Fixed)",C134,J134),AO134)</f>
        <v>#VALUE!</v>
      </c>
      <c r="AQ134" s="361" t="e">
        <f ca="1">_xll.qlBlackFormulaImpliedStdDev("Call",AD134,AD134,AO134)/SQRT(_xll.qlDayCounterYearFraction("Act/365 (Fixed)",C134,J134))</f>
        <v>#VALUE!</v>
      </c>
      <c r="AS134" s="363">
        <v>7.2583551139373892E-3</v>
      </c>
      <c r="AT134" s="363">
        <v>8.0575644637503174E-3</v>
      </c>
      <c r="AU134" s="365">
        <f t="shared" ca="1" si="10"/>
        <v>1.3164488606261151E-4</v>
      </c>
      <c r="AV134" s="365">
        <f t="shared" ca="1" si="11"/>
        <v>-6.6756446375031663E-4</v>
      </c>
    </row>
    <row r="135" spans="2:48">
      <c r="B135" s="348" t="str">
        <f t="shared" ca="1" si="9"/>
        <v>7Yx9Y</v>
      </c>
      <c r="C135" s="345">
        <f t="shared" ca="1" si="8"/>
        <v>42254</v>
      </c>
      <c r="D135" s="346" t="s">
        <v>13</v>
      </c>
      <c r="E135" s="346" t="s">
        <v>15</v>
      </c>
      <c r="F135" s="351">
        <f ca="1">VLOOKUP(F$3&amp;$D135&amp;$E135,'Swaption Volatilities'!$V:$W,2,FALSE)%%</f>
        <v>7.3900000000000007E-3</v>
      </c>
      <c r="G135" s="352">
        <f ca="1">VLOOKUP(G$3&amp;$D135&amp;$E135,'Swaption Volatilities'!$V:$W,2,FALSE)</f>
        <v>1270</v>
      </c>
      <c r="H135" s="346" t="s">
        <v>20</v>
      </c>
      <c r="I135" s="346" t="s">
        <v>21</v>
      </c>
      <c r="J135" s="345">
        <f ca="1">_xll.qlCalendarAdvance(H135,C135,D135,I135)</f>
        <v>44811</v>
      </c>
      <c r="K135" s="345">
        <f ca="1">_xll.qlCalendarAdvance(H135,J135,"2d")</f>
        <v>44813</v>
      </c>
      <c r="L135" s="345">
        <f ca="1">_xll.qlCalendarAdvance(H135,K135,E135,"unadjusted")</f>
        <v>48100</v>
      </c>
      <c r="M135" s="346" t="s">
        <v>7</v>
      </c>
      <c r="N135" s="346" t="s">
        <v>20</v>
      </c>
      <c r="O135" s="346" t="s">
        <v>21</v>
      </c>
      <c r="P135" s="346" t="s">
        <v>21</v>
      </c>
      <c r="Q135" s="346" t="s">
        <v>70</v>
      </c>
      <c r="R135" s="353" t="str">
        <f ca="1">_xll.qlSchedule(,K135,L135,M135,N135,O135,P135,Q135)</f>
        <v>obj_004da#0001</v>
      </c>
      <c r="S135" s="346" t="s">
        <v>19</v>
      </c>
      <c r="T135" s="346" t="s">
        <v>20</v>
      </c>
      <c r="U135" s="346" t="s">
        <v>21</v>
      </c>
      <c r="V135" s="346" t="s">
        <v>21</v>
      </c>
      <c r="W135" s="346" t="s">
        <v>70</v>
      </c>
      <c r="X135" s="353" t="str">
        <f ca="1">_xll.qlSchedule(,K135,L135,S135,T135,U135,V135,W135)</f>
        <v>obj_004db#0001</v>
      </c>
      <c r="Y135" s="349" t="s">
        <v>1742</v>
      </c>
      <c r="Z135" s="354" t="s">
        <v>36</v>
      </c>
      <c r="AA135" s="354" t="s">
        <v>1745</v>
      </c>
      <c r="AB135" s="353" t="str">
        <f ca="1">_xll.qlVanillaSwap(,,,R135,,Y135,X135,Z135,,AA135)</f>
        <v>obj_00581#0001</v>
      </c>
      <c r="AC135" s="353" t="b">
        <f ca="1">_xll.qlInstrumentSetPricingEngine(AB135,_xll.qlDiscountingSwapEngine(,Curve!$S$16))</f>
        <v>1</v>
      </c>
      <c r="AD135" s="355" t="e">
        <f ca="1">_xll.qlVanillaSwapFairRate(AB135,AC135)</f>
        <v>#NUM!</v>
      </c>
      <c r="AE135" s="346" t="s">
        <v>1752</v>
      </c>
      <c r="AF135" s="347">
        <v>10000</v>
      </c>
      <c r="AG135" s="350" t="str">
        <f ca="1">_xll.qlVanillaSwap(,AE135,AF135,R135,AD135,Y135,X135,Z135,,AA135)</f>
        <v>obj_006eb#0000</v>
      </c>
      <c r="AH135" s="347" t="str">
        <f ca="1">_xll.qlEuropeanExercise(,J135)</f>
        <v>obj_00113#0000</v>
      </c>
      <c r="AI135" s="346" t="s">
        <v>1749</v>
      </c>
      <c r="AJ135" s="356" t="str">
        <f ca="1">_xll.qlSwaption(,AG135,AH135,AI135)</f>
        <v>obj_00742#0001</v>
      </c>
      <c r="AK135" s="357" t="str">
        <f ca="1">_xll.qlConstantSwaptionVolatility(,,H135,I135,F135)</f>
        <v>obj_001bc#0001</v>
      </c>
      <c r="AL135" s="357" t="b">
        <f ca="1">_xll.qlInstrumentSetPricingEngine(AJ135,_xll.qlBachelierBlackSwaptionEngine(,Curve!$S$16,AK135))</f>
        <v>1</v>
      </c>
      <c r="AM135" s="358">
        <f ca="1">_xll.qlInstrumentNPV(AJ135,AL135)*2/_xll.qlYieldTSDiscount(Curve!$S$16,K135)</f>
        <v>1132.387864330097</v>
      </c>
      <c r="AN135" s="358">
        <f ca="1">_xll.qlInstrumentResults(AJ135,"annuity",AL135)</f>
        <v>70643.020272959649</v>
      </c>
      <c r="AO135" s="359">
        <f ca="1">G135/2*_xll.qlYieldTSDiscount(Curve!$S$16,K135)/AN135</f>
        <v>8.7514889853948924E-3</v>
      </c>
      <c r="AP135" s="360" t="e">
        <f ca="1">_xll.qlBachelierBlackFormulaImpliedVol("Call",AD135,AD135,_xll.qlDayCounterYearFraction("Act/365 (Fixed)",C135,J135),AO135)</f>
        <v>#VALUE!</v>
      </c>
      <c r="AQ135" s="361" t="e">
        <f ca="1">_xll.qlBlackFormulaImpliedStdDev("Call",AD135,AD135,AO135)/SQRT(_xll.qlDayCounterYearFraction("Act/365 (Fixed)",C135,J135))</f>
        <v>#VALUE!</v>
      </c>
      <c r="AS135" s="363">
        <v>7.3013260883584208E-3</v>
      </c>
      <c r="AT135" s="363">
        <v>8.2880612691413579E-3</v>
      </c>
      <c r="AU135" s="365">
        <f t="shared" ca="1" si="10"/>
        <v>8.8673911641579985E-5</v>
      </c>
      <c r="AV135" s="365">
        <f t="shared" ca="1" si="11"/>
        <v>-8.9806126914135712E-4</v>
      </c>
    </row>
    <row r="136" spans="2:48">
      <c r="B136" s="348" t="str">
        <f t="shared" ca="1" si="9"/>
        <v>10Yx9Y</v>
      </c>
      <c r="C136" s="345">
        <f t="shared" ca="1" si="8"/>
        <v>42254</v>
      </c>
      <c r="D136" s="346" t="s">
        <v>16</v>
      </c>
      <c r="E136" s="346" t="s">
        <v>15</v>
      </c>
      <c r="F136" s="351">
        <f ca="1">VLOOKUP(F$3&amp;$D136&amp;$E136,'Swaption Volatilities'!$V:$W,2,FALSE)%%</f>
        <v>7.2499999999999995E-3</v>
      </c>
      <c r="G136" s="352">
        <f ca="1">VLOOKUP(G$3&amp;$D136&amp;$E136,'Swaption Volatilities'!$V:$W,2,FALSE)</f>
        <v>1485</v>
      </c>
      <c r="H136" s="346" t="s">
        <v>20</v>
      </c>
      <c r="I136" s="346" t="s">
        <v>21</v>
      </c>
      <c r="J136" s="345">
        <f ca="1">_xll.qlCalendarAdvance(H136,C136,D136,I136)</f>
        <v>45908</v>
      </c>
      <c r="K136" s="345">
        <f ca="1">_xll.qlCalendarAdvance(H136,J136,"2d")</f>
        <v>45910</v>
      </c>
      <c r="L136" s="345">
        <f ca="1">_xll.qlCalendarAdvance(H136,K136,E136,"unadjusted")</f>
        <v>49197</v>
      </c>
      <c r="M136" s="346" t="s">
        <v>7</v>
      </c>
      <c r="N136" s="346" t="s">
        <v>20</v>
      </c>
      <c r="O136" s="346" t="s">
        <v>21</v>
      </c>
      <c r="P136" s="346" t="s">
        <v>21</v>
      </c>
      <c r="Q136" s="346" t="s">
        <v>70</v>
      </c>
      <c r="R136" s="353" t="str">
        <f ca="1">_xll.qlSchedule(,K136,L136,M136,N136,O136,P136,Q136)</f>
        <v>obj_004e2#0001</v>
      </c>
      <c r="S136" s="346" t="s">
        <v>19</v>
      </c>
      <c r="T136" s="346" t="s">
        <v>20</v>
      </c>
      <c r="U136" s="346" t="s">
        <v>21</v>
      </c>
      <c r="V136" s="346" t="s">
        <v>21</v>
      </c>
      <c r="W136" s="346" t="s">
        <v>70</v>
      </c>
      <c r="X136" s="353" t="str">
        <f ca="1">_xll.qlSchedule(,K136,L136,S136,T136,U136,V136,W136)</f>
        <v>obj_004e3#0001</v>
      </c>
      <c r="Y136" s="349" t="s">
        <v>1742</v>
      </c>
      <c r="Z136" s="354" t="s">
        <v>36</v>
      </c>
      <c r="AA136" s="354" t="s">
        <v>1745</v>
      </c>
      <c r="AB136" s="353" t="str">
        <f ca="1">_xll.qlVanillaSwap(,,,R136,,Y136,X136,Z136,,AA136)</f>
        <v>obj_00589#0001</v>
      </c>
      <c r="AC136" s="353" t="b">
        <f ca="1">_xll.qlInstrumentSetPricingEngine(AB136,_xll.qlDiscountingSwapEngine(,Curve!$S$16))</f>
        <v>1</v>
      </c>
      <c r="AD136" s="355" t="e">
        <f ca="1">_xll.qlVanillaSwapFairRate(AB136,AC136)</f>
        <v>#NUM!</v>
      </c>
      <c r="AE136" s="346" t="s">
        <v>1752</v>
      </c>
      <c r="AF136" s="347">
        <v>10000</v>
      </c>
      <c r="AG136" s="350" t="str">
        <f ca="1">_xll.qlVanillaSwap(,AE136,AF136,R136,AD136,Y136,X136,Z136,,AA136)</f>
        <v>obj_00690#0000</v>
      </c>
      <c r="AH136" s="347" t="str">
        <f ca="1">_xll.qlEuropeanExercise(,J136)</f>
        <v>obj_00197#0000</v>
      </c>
      <c r="AI136" s="346" t="s">
        <v>1749</v>
      </c>
      <c r="AJ136" s="356" t="str">
        <f ca="1">_xll.qlSwaption(,AG136,AH136,AI136)</f>
        <v>obj_0076f#0001</v>
      </c>
      <c r="AK136" s="357" t="str">
        <f ca="1">_xll.qlConstantSwaptionVolatility(,,H136,I136,F136)</f>
        <v>obj_0008e#0001</v>
      </c>
      <c r="AL136" s="357" t="b">
        <f ca="1">_xll.qlInstrumentSetPricingEngine(AJ136,_xll.qlBachelierBlackSwaptionEngine(,Curve!$S$16,AK136))</f>
        <v>1</v>
      </c>
      <c r="AM136" s="358">
        <f ca="1">_xll.qlInstrumentNPV(AJ136,AL136)*2/_xll.qlYieldTSDiscount(Curve!$S$16,K136)</f>
        <v>1301.5886379390247</v>
      </c>
      <c r="AN136" s="358">
        <f ca="1">_xll.qlInstrumentResults(AJ136,"annuity",AL136)</f>
        <v>65890.946064345451</v>
      </c>
      <c r="AO136" s="359">
        <f ca="1">G136/2*_xll.qlYieldTSDiscount(Curve!$S$16,K136)/AN136</f>
        <v>1.0440916354402776E-2</v>
      </c>
      <c r="AP136" s="360" t="e">
        <f ca="1">_xll.qlBachelierBlackFormulaImpliedVol("Call",AD136,AD136,_xll.qlDayCounterYearFraction("Act/365 (Fixed)",C136,J136),AO136)</f>
        <v>#VALUE!</v>
      </c>
      <c r="AQ136" s="361" t="e">
        <f ca="1">_xll.qlBlackFormulaImpliedStdDev("Call",AD136,AD136,AO136)/SQRT(_xll.qlDayCounterYearFraction("Act/365 (Fixed)",C136,J136))</f>
        <v>#VALUE!</v>
      </c>
      <c r="AS136" s="363">
        <v>7.205638757286326E-3</v>
      </c>
      <c r="AT136" s="363">
        <v>8.2716226050095192E-3</v>
      </c>
      <c r="AU136" s="365">
        <f t="shared" ca="1" si="10"/>
        <v>4.4361242713673518E-5</v>
      </c>
      <c r="AV136" s="365">
        <f t="shared" ca="1" si="11"/>
        <v>-1.0216226050095197E-3</v>
      </c>
    </row>
    <row r="137" spans="2:48">
      <c r="B137" s="348" t="str">
        <f t="shared" ca="1" si="9"/>
        <v>15Yx9Y</v>
      </c>
      <c r="C137" s="345">
        <f t="shared" ca="1" si="8"/>
        <v>42254</v>
      </c>
      <c r="D137" s="346" t="s">
        <v>17</v>
      </c>
      <c r="E137" s="346" t="s">
        <v>15</v>
      </c>
      <c r="F137" s="351">
        <f ca="1">VLOOKUP(F$3&amp;$D137&amp;$E137,'Swaption Volatilities'!$V:$W,2,FALSE)%%</f>
        <v>6.8700000000000002E-3</v>
      </c>
      <c r="G137" s="352">
        <f ca="1">VLOOKUP(G$3&amp;$D137&amp;$E137,'Swaption Volatilities'!$V:$W,2,FALSE)</f>
        <v>1743</v>
      </c>
      <c r="H137" s="346" t="s">
        <v>20</v>
      </c>
      <c r="I137" s="346" t="s">
        <v>21</v>
      </c>
      <c r="J137" s="345">
        <f ca="1">_xll.qlCalendarAdvance(H137,C137,D137,I137)</f>
        <v>47735</v>
      </c>
      <c r="K137" s="345">
        <f ca="1">_xll.qlCalendarAdvance(H137,J137,"2d")</f>
        <v>47737</v>
      </c>
      <c r="L137" s="345">
        <f ca="1">_xll.qlCalendarAdvance(H137,K137,E137,"unadjusted")</f>
        <v>51024</v>
      </c>
      <c r="M137" s="346" t="s">
        <v>7</v>
      </c>
      <c r="N137" s="346" t="s">
        <v>20</v>
      </c>
      <c r="O137" s="346" t="s">
        <v>21</v>
      </c>
      <c r="P137" s="346" t="s">
        <v>21</v>
      </c>
      <c r="Q137" s="346" t="s">
        <v>70</v>
      </c>
      <c r="R137" s="353" t="str">
        <f ca="1">_xll.qlSchedule(,K137,L137,M137,N137,O137,P137,Q137)</f>
        <v>obj_004cd#0000</v>
      </c>
      <c r="S137" s="346" t="s">
        <v>19</v>
      </c>
      <c r="T137" s="346" t="s">
        <v>20</v>
      </c>
      <c r="U137" s="346" t="s">
        <v>21</v>
      </c>
      <c r="V137" s="346" t="s">
        <v>21</v>
      </c>
      <c r="W137" s="346" t="s">
        <v>70</v>
      </c>
      <c r="X137" s="353" t="str">
        <f ca="1">_xll.qlSchedule(,K137,L137,S137,T137,U137,V137,W137)</f>
        <v>obj_004ce#0001</v>
      </c>
      <c r="Y137" s="349" t="s">
        <v>1742</v>
      </c>
      <c r="Z137" s="354" t="s">
        <v>36</v>
      </c>
      <c r="AA137" s="354" t="s">
        <v>1745</v>
      </c>
      <c r="AB137" s="353" t="str">
        <f ca="1">_xll.qlVanillaSwap(,,,R137,,Y137,X137,Z137,,AA137)</f>
        <v>obj_0057c#0001</v>
      </c>
      <c r="AC137" s="353" t="b">
        <f ca="1">_xll.qlInstrumentSetPricingEngine(AB137,_xll.qlDiscountingSwapEngine(,Curve!$S$16))</f>
        <v>1</v>
      </c>
      <c r="AD137" s="355" t="e">
        <f ca="1">_xll.qlVanillaSwapFairRate(AB137,AC137)</f>
        <v>#NUM!</v>
      </c>
      <c r="AE137" s="346" t="s">
        <v>1752</v>
      </c>
      <c r="AF137" s="347">
        <v>10000</v>
      </c>
      <c r="AG137" s="350" t="str">
        <f ca="1">_xll.qlVanillaSwap(,AE137,AF137,R137,AD137,Y137,X137,Z137,,AA137)</f>
        <v>obj_006c9#0000</v>
      </c>
      <c r="AH137" s="347" t="str">
        <f ca="1">_xll.qlEuropeanExercise(,J137)</f>
        <v>obj_0037a#0000</v>
      </c>
      <c r="AI137" s="346" t="s">
        <v>1749</v>
      </c>
      <c r="AJ137" s="356" t="str">
        <f ca="1">_xll.qlSwaption(,AG137,AH137,AI137)</f>
        <v>obj_007a8#0001</v>
      </c>
      <c r="AK137" s="357" t="str">
        <f ca="1">_xll.qlConstantSwaptionVolatility(,,H137,I137,F137)</f>
        <v>obj_00186#0001</v>
      </c>
      <c r="AL137" s="357" t="b">
        <f ca="1">_xll.qlInstrumentSetPricingEngine(AJ137,_xll.qlBachelierBlackSwaptionEngine(,Curve!$S$16,AK137))</f>
        <v>1</v>
      </c>
      <c r="AM137" s="358">
        <f ca="1">_xll.qlInstrumentNPV(AJ137,AL137)*2/_xll.qlYieldTSDiscount(Curve!$S$16,K137)</f>
        <v>1570.3396102243466</v>
      </c>
      <c r="AN137" s="358">
        <f ca="1">_xll.qlInstrumentResults(AJ137,"annuity",AL137)</f>
        <v>61985.984843264334</v>
      </c>
      <c r="AO137" s="359">
        <f ca="1">G137/2*_xll.qlYieldTSDiscount(Curve!$S$16,K137)/AN137</f>
        <v>1.1788378544820373E-2</v>
      </c>
      <c r="AP137" s="360" t="e">
        <f ca="1">_xll.qlBachelierBlackFormulaImpliedVol("Call",AD137,AD137,_xll.qlDayCounterYearFraction("Act/365 (Fixed)",C137,J137),AO137)</f>
        <v>#VALUE!</v>
      </c>
      <c r="AQ137" s="361" t="e">
        <f ca="1">_xll.qlBlackFormulaImpliedStdDev("Call",AD137,AD137,AO137)/SQRT(_xll.qlDayCounterYearFraction("Act/365 (Fixed)",C137,J137))</f>
        <v>#VALUE!</v>
      </c>
      <c r="AS137" s="363">
        <v>6.8677054426026238E-3</v>
      </c>
      <c r="AT137" s="363">
        <v>7.6253632794050629E-3</v>
      </c>
      <c r="AU137" s="365">
        <f t="shared" ca="1" si="10"/>
        <v>2.2945573973764261E-6</v>
      </c>
      <c r="AV137" s="365">
        <f t="shared" ca="1" si="11"/>
        <v>-7.5536327940506267E-4</v>
      </c>
    </row>
    <row r="138" spans="2:48">
      <c r="B138" s="348" t="str">
        <f t="shared" ca="1" si="9"/>
        <v>20Yx9Y</v>
      </c>
      <c r="C138" s="345">
        <f t="shared" ca="1" si="8"/>
        <v>42254</v>
      </c>
      <c r="D138" s="346" t="s">
        <v>104</v>
      </c>
      <c r="E138" s="346" t="s">
        <v>15</v>
      </c>
      <c r="F138" s="351">
        <f ca="1">VLOOKUP(F$3&amp;$D138&amp;$E138,'Swaption Volatilities'!$V:$W,2,FALSE)%%</f>
        <v>6.4000000000000003E-3</v>
      </c>
      <c r="G138" s="352">
        <f ca="1">VLOOKUP(G$3&amp;$D138&amp;$E138,'Swaption Volatilities'!$V:$W,2,FALSE)</f>
        <v>1897</v>
      </c>
      <c r="H138" s="346" t="s">
        <v>20</v>
      </c>
      <c r="I138" s="346" t="s">
        <v>21</v>
      </c>
      <c r="J138" s="345">
        <f ca="1">_xll.qlCalendarAdvance(H138,C138,D138,I138)</f>
        <v>49559</v>
      </c>
      <c r="K138" s="345">
        <f ca="1">_xll.qlCalendarAdvance(H138,J138,"2d")</f>
        <v>49563</v>
      </c>
      <c r="L138" s="345">
        <f ca="1">_xll.qlCalendarAdvance(H138,K138,E138,"unadjusted")</f>
        <v>52851</v>
      </c>
      <c r="M138" s="346" t="s">
        <v>7</v>
      </c>
      <c r="N138" s="346" t="s">
        <v>20</v>
      </c>
      <c r="O138" s="346" t="s">
        <v>21</v>
      </c>
      <c r="P138" s="346" t="s">
        <v>21</v>
      </c>
      <c r="Q138" s="346" t="s">
        <v>70</v>
      </c>
      <c r="R138" s="353" t="str">
        <f ca="1">_xll.qlSchedule(,K138,L138,M138,N138,O138,P138,Q138)</f>
        <v>obj_00532#0000</v>
      </c>
      <c r="S138" s="346" t="s">
        <v>19</v>
      </c>
      <c r="T138" s="346" t="s">
        <v>20</v>
      </c>
      <c r="U138" s="346" t="s">
        <v>21</v>
      </c>
      <c r="V138" s="346" t="s">
        <v>21</v>
      </c>
      <c r="W138" s="346" t="s">
        <v>70</v>
      </c>
      <c r="X138" s="353" t="str">
        <f ca="1">_xll.qlSchedule(,K138,L138,S138,T138,U138,V138,W138)</f>
        <v>obj_00533#0001</v>
      </c>
      <c r="Y138" s="349" t="s">
        <v>1742</v>
      </c>
      <c r="Z138" s="354" t="s">
        <v>36</v>
      </c>
      <c r="AA138" s="354" t="s">
        <v>1745</v>
      </c>
      <c r="AB138" s="353" t="str">
        <f ca="1">_xll.qlVanillaSwap(,,,R138,,Y138,X138,Z138,,AA138)</f>
        <v>obj_005cd#0001</v>
      </c>
      <c r="AC138" s="353" t="b">
        <f ca="1">_xll.qlInstrumentSetPricingEngine(AB138,_xll.qlDiscountingSwapEngine(,Curve!$S$16))</f>
        <v>1</v>
      </c>
      <c r="AD138" s="355" t="e">
        <f ca="1">_xll.qlVanillaSwapFairRate(AB138,AC138)</f>
        <v>#NUM!</v>
      </c>
      <c r="AE138" s="346" t="s">
        <v>1752</v>
      </c>
      <c r="AF138" s="347">
        <v>10000</v>
      </c>
      <c r="AG138" s="350" t="str">
        <f ca="1">_xll.qlVanillaSwap(,AE138,AF138,R138,AD138,Y138,X138,Z138,,AA138)</f>
        <v>obj_00650#0000</v>
      </c>
      <c r="AH138" s="347" t="str">
        <f ca="1">_xll.qlEuropeanExercise(,J138)</f>
        <v>obj_00475#0001</v>
      </c>
      <c r="AI138" s="346" t="s">
        <v>1749</v>
      </c>
      <c r="AJ138" s="356" t="str">
        <f ca="1">_xll.qlSwaption(,AG138,AH138,AI138)</f>
        <v>obj_007b9#0001</v>
      </c>
      <c r="AK138" s="357" t="str">
        <f ca="1">_xll.qlConstantSwaptionVolatility(,,H138,I138,F138)</f>
        <v>obj_002c9#0001</v>
      </c>
      <c r="AL138" s="357" t="b">
        <f ca="1">_xll.qlInstrumentSetPricingEngine(AJ138,_xll.qlBachelierBlackSwaptionEngine(,Curve!$S$16,AK138))</f>
        <v>1</v>
      </c>
      <c r="AM138" s="358">
        <f ca="1">_xll.qlInstrumentNPV(AJ138,AL138)*2/_xll.qlYieldTSDiscount(Curve!$S$16,K138)</f>
        <v>1795.595050140895</v>
      </c>
      <c r="AN138" s="358">
        <f ca="1">_xll.qlInstrumentResults(AJ138,"annuity",AL138)</f>
        <v>59903.259485431561</v>
      </c>
      <c r="AO138" s="359">
        <f ca="1">G138/2*_xll.qlYieldTSDiscount(Curve!$S$16,K138)/AN138</f>
        <v>1.2067370559872588E-2</v>
      </c>
      <c r="AP138" s="360" t="e">
        <f ca="1">_xll.qlBachelierBlackFormulaImpliedVol("Call",AD138,AD138,_xll.qlDayCounterYearFraction("Act/365 (Fixed)",C138,J138),AO138)</f>
        <v>#VALUE!</v>
      </c>
      <c r="AQ138" s="361" t="e">
        <f ca="1">_xll.qlBlackFormulaImpliedStdDev("Call",AD138,AD138,AO138)/SQRT(_xll.qlDayCounterYearFraction("Act/365 (Fixed)",C138,J138))</f>
        <v>#VALUE!</v>
      </c>
      <c r="AS138" s="363">
        <v>6.3946921047760095E-3</v>
      </c>
      <c r="AT138" s="363">
        <v>6.7614354355940761E-3</v>
      </c>
      <c r="AU138" s="365">
        <f t="shared" ca="1" si="10"/>
        <v>5.3078952239908259E-6</v>
      </c>
      <c r="AV138" s="365">
        <f t="shared" ca="1" si="11"/>
        <v>-3.6143543559407579E-4</v>
      </c>
    </row>
    <row r="139" spans="2:48">
      <c r="B139" s="348" t="str">
        <f t="shared" ca="1" si="9"/>
        <v>1Mx10Y</v>
      </c>
      <c r="C139" s="345">
        <f t="shared" ca="1" si="8"/>
        <v>42254</v>
      </c>
      <c r="D139" s="346" t="s">
        <v>23</v>
      </c>
      <c r="E139" s="346" t="s">
        <v>16</v>
      </c>
      <c r="F139" s="351">
        <f ca="1">VLOOKUP(F$3&amp;$D139&amp;$E139,'Swaption Volatilities'!$V:$W,2,FALSE)%%</f>
        <v>6.9200000000000008E-3</v>
      </c>
      <c r="G139" s="352">
        <f ca="1">VLOOKUP(G$3&amp;$D139&amp;$E139,'Swaption Volatilities'!$V:$W,2,FALSE)</f>
        <v>150</v>
      </c>
      <c r="H139" s="346" t="s">
        <v>20</v>
      </c>
      <c r="I139" s="346" t="s">
        <v>21</v>
      </c>
      <c r="J139" s="345">
        <f ca="1">_xll.qlCalendarAdvance(H139,C139,D139,I139)</f>
        <v>42284</v>
      </c>
      <c r="K139" s="345">
        <f ca="1">_xll.qlCalendarAdvance(H139,J139,"2d")</f>
        <v>42286</v>
      </c>
      <c r="L139" s="345">
        <f ca="1">_xll.qlCalendarAdvance(H139,K139,E139,"unadjusted")</f>
        <v>45939</v>
      </c>
      <c r="M139" s="346" t="s">
        <v>7</v>
      </c>
      <c r="N139" s="346" t="s">
        <v>20</v>
      </c>
      <c r="O139" s="346" t="s">
        <v>21</v>
      </c>
      <c r="P139" s="346" t="s">
        <v>21</v>
      </c>
      <c r="Q139" s="346" t="s">
        <v>70</v>
      </c>
      <c r="R139" s="353" t="str">
        <f ca="1">_xll.qlSchedule(,K139,L139,M139,N139,O139,P139,Q139)</f>
        <v>obj_00524#0001</v>
      </c>
      <c r="S139" s="346" t="s">
        <v>19</v>
      </c>
      <c r="T139" s="346" t="s">
        <v>20</v>
      </c>
      <c r="U139" s="346" t="s">
        <v>21</v>
      </c>
      <c r="V139" s="346" t="s">
        <v>21</v>
      </c>
      <c r="W139" s="346" t="s">
        <v>70</v>
      </c>
      <c r="X139" s="353" t="str">
        <f ca="1">_xll.qlSchedule(,K139,L139,S139,T139,U139,V139,W139)</f>
        <v>obj_00525#0001</v>
      </c>
      <c r="Y139" s="349" t="s">
        <v>1742</v>
      </c>
      <c r="Z139" s="354" t="s">
        <v>36</v>
      </c>
      <c r="AA139" s="354" t="s">
        <v>1745</v>
      </c>
      <c r="AB139" s="353" t="str">
        <f ca="1">_xll.qlVanillaSwap(,,,R139,,Y139,X139,Z139,,AA139)</f>
        <v>obj_005bd#0001</v>
      </c>
      <c r="AC139" s="353" t="b">
        <f ca="1">_xll.qlInstrumentSetPricingEngine(AB139,_xll.qlDiscountingSwapEngine(,Curve!$S$16))</f>
        <v>1</v>
      </c>
      <c r="AD139" s="355" t="e">
        <f ca="1">_xll.qlVanillaSwapFairRate(AB139,AC139)</f>
        <v>#NUM!</v>
      </c>
      <c r="AE139" s="346" t="s">
        <v>1752</v>
      </c>
      <c r="AF139" s="347">
        <v>10000</v>
      </c>
      <c r="AG139" s="350" t="e">
        <f ca="1">_xll.qlVanillaSwap(,AE139,AF139,R139,AD139,Y139,X139,Z139,,AA139)</f>
        <v>#NUM!</v>
      </c>
      <c r="AH139" s="347" t="str">
        <f ca="1">_xll.qlEuropeanExercise(,J139)</f>
        <v>obj_00101#0001</v>
      </c>
      <c r="AI139" s="346" t="s">
        <v>1749</v>
      </c>
      <c r="AJ139" s="356" t="e">
        <f ca="1">_xll.qlSwaption(,AG139,AH139,AI139)</f>
        <v>#VALUE!</v>
      </c>
      <c r="AK139" s="357" t="str">
        <f ca="1">_xll.qlConstantSwaptionVolatility(,,H139,I139,F139)</f>
        <v>obj_000c3#0001</v>
      </c>
      <c r="AL139" s="357" t="e">
        <f ca="1">_xll.qlInstrumentSetPricingEngine(AJ139,_xll.qlBachelierBlackSwaptionEngine(,Curve!$S$16,AK139))</f>
        <v>#VALUE!</v>
      </c>
      <c r="AM139" s="358">
        <f ca="1">_xll.qlInstrumentNPV(AJ139,AL139)*2/_xll.qlYieldTSDiscount(Curve!$S$16,K139)</f>
        <v>149.72352108568609</v>
      </c>
      <c r="AN139" s="358" t="e">
        <f ca="1">_xll.qlInstrumentResults(AJ139,"annuity",AL139)</f>
        <v>#VALUE!</v>
      </c>
      <c r="AO139" s="359" t="e">
        <f ca="1">G139/2*_xll.qlYieldTSDiscount(Curve!$S$16,K139)/AN139</f>
        <v>#VALUE!</v>
      </c>
      <c r="AP139" s="360" t="e">
        <f ca="1">_xll.qlBachelierBlackFormulaImpliedVol("Call",AD139,AD139,_xll.qlDayCounterYearFraction("Act/365 (Fixed)",C139,J139),AO139)</f>
        <v>#VALUE!</v>
      </c>
      <c r="AQ139" s="361" t="e">
        <f ca="1">_xll.qlBlackFormulaImpliedStdDev("Call",AD139,AD139,AO139)/SQRT(_xll.qlDayCounterYearFraction("Act/365 (Fixed)",C139,J139))</f>
        <v>#VALUE!</v>
      </c>
      <c r="AS139" s="363">
        <v>6.703716208532693E-3</v>
      </c>
      <c r="AT139" s="363">
        <v>6.9327784470549127E-3</v>
      </c>
      <c r="AU139" s="365">
        <f t="shared" ca="1" si="10"/>
        <v>2.1628379146730776E-4</v>
      </c>
      <c r="AV139" s="365">
        <f t="shared" ca="1" si="11"/>
        <v>-1.2778447054911934E-5</v>
      </c>
    </row>
    <row r="140" spans="2:48">
      <c r="B140" s="348" t="str">
        <f t="shared" ca="1" si="9"/>
        <v>2Mx10Y</v>
      </c>
      <c r="C140" s="345">
        <f t="shared" ca="1" si="8"/>
        <v>42254</v>
      </c>
      <c r="D140" s="346" t="s">
        <v>398</v>
      </c>
      <c r="E140" s="346" t="s">
        <v>16</v>
      </c>
      <c r="F140" s="351">
        <f ca="1">VLOOKUP(F$3&amp;$D140&amp;$E140,'Swaption Volatilities'!$V:$W,2,FALSE)%%</f>
        <v>6.9200000000000008E-3</v>
      </c>
      <c r="G140" s="352">
        <f ca="1">VLOOKUP(G$3&amp;$D140&amp;$E140,'Swaption Volatilities'!$V:$W,2,FALSE)</f>
        <v>217</v>
      </c>
      <c r="H140" s="346" t="s">
        <v>20</v>
      </c>
      <c r="I140" s="346" t="s">
        <v>21</v>
      </c>
      <c r="J140" s="345">
        <f ca="1">_xll.qlCalendarAdvance(H140,C140,D140,I140)</f>
        <v>42317</v>
      </c>
      <c r="K140" s="345">
        <f ca="1">_xll.qlCalendarAdvance(H140,J140,"2d")</f>
        <v>42319</v>
      </c>
      <c r="L140" s="345">
        <f ca="1">_xll.qlCalendarAdvance(H140,K140,E140,"unadjusted")</f>
        <v>45972</v>
      </c>
      <c r="M140" s="346" t="s">
        <v>7</v>
      </c>
      <c r="N140" s="346" t="s">
        <v>20</v>
      </c>
      <c r="O140" s="346" t="s">
        <v>21</v>
      </c>
      <c r="P140" s="346" t="s">
        <v>21</v>
      </c>
      <c r="Q140" s="346" t="s">
        <v>70</v>
      </c>
      <c r="R140" s="353" t="str">
        <f ca="1">_xll.qlSchedule(,K140,L140,M140,N140,O140,P140,Q140)</f>
        <v>obj_00499#0000</v>
      </c>
      <c r="S140" s="346" t="s">
        <v>19</v>
      </c>
      <c r="T140" s="346" t="s">
        <v>20</v>
      </c>
      <c r="U140" s="346" t="s">
        <v>21</v>
      </c>
      <c r="V140" s="346" t="s">
        <v>21</v>
      </c>
      <c r="W140" s="346" t="s">
        <v>70</v>
      </c>
      <c r="X140" s="353" t="str">
        <f ca="1">_xll.qlSchedule(,K140,L140,S140,T140,U140,V140,W140)</f>
        <v>obj_0049a#0001</v>
      </c>
      <c r="Y140" s="349" t="s">
        <v>1742</v>
      </c>
      <c r="Z140" s="354" t="s">
        <v>36</v>
      </c>
      <c r="AA140" s="354" t="s">
        <v>1745</v>
      </c>
      <c r="AB140" s="353" t="str">
        <f ca="1">_xll.qlVanillaSwap(,,,R140,,Y140,X140,Z140,,AA140)</f>
        <v>obj_0055c#0001</v>
      </c>
      <c r="AC140" s="353" t="b">
        <f ca="1">_xll.qlInstrumentSetPricingEngine(AB140,_xll.qlDiscountingSwapEngine(,Curve!$S$16))</f>
        <v>1</v>
      </c>
      <c r="AD140" s="355" t="e">
        <f ca="1">_xll.qlVanillaSwapFairRate(AB140,AC140)</f>
        <v>#NUM!</v>
      </c>
      <c r="AE140" s="346" t="s">
        <v>1752</v>
      </c>
      <c r="AF140" s="347">
        <v>10000</v>
      </c>
      <c r="AG140" s="350" t="str">
        <f ca="1">_xll.qlVanillaSwap(,AE140,AF140,R140,AD140,Y140,X140,Z140,,AA140)</f>
        <v>obj_0065a#0000</v>
      </c>
      <c r="AH140" s="347" t="str">
        <f ca="1">_xll.qlEuropeanExercise(,J140)</f>
        <v>obj_000c8#0000</v>
      </c>
      <c r="AI140" s="346" t="s">
        <v>1749</v>
      </c>
      <c r="AJ140" s="356" t="str">
        <f ca="1">_xll.qlSwaption(,AG140,AH140,AI140)</f>
        <v>obj_00775#0001</v>
      </c>
      <c r="AK140" s="357" t="str">
        <f ca="1">_xll.qlConstantSwaptionVolatility(,,H140,I140,F140)</f>
        <v>obj_0008d#0001</v>
      </c>
      <c r="AL140" s="357" t="b">
        <f ca="1">_xll.qlInstrumentSetPricingEngine(AJ140,_xll.qlBachelierBlackSwaptionEngine(,Curve!$S$16,AK140))</f>
        <v>1</v>
      </c>
      <c r="AM140" s="358">
        <f ca="1">_xll.qlInstrumentNPV(AJ140,AL140)*2/_xll.qlYieldTSDiscount(Curve!$S$16,K140)</f>
        <v>216.53559696140627</v>
      </c>
      <c r="AN140" s="358">
        <f ca="1">_xll.qlInstrumentResults(AJ140,"annuity",AL140)</f>
        <v>94419.784338751531</v>
      </c>
      <c r="AO140" s="359">
        <f ca="1">G140/2*_xll.qlYieldTSDiscount(Curve!$S$16,K140)/AN140</f>
        <v>1.1493979945358689E-3</v>
      </c>
      <c r="AP140" s="360" t="e">
        <f ca="1">_xll.qlBachelierBlackFormulaImpliedVol("Call",AD140,AD140,_xll.qlDayCounterYearFraction("Act/365 (Fixed)",C140,J140),AO140)</f>
        <v>#VALUE!</v>
      </c>
      <c r="AQ140" s="361" t="e">
        <f ca="1">_xll.qlBlackFormulaImpliedStdDev("Call",AD140,AD140,AO140)/SQRT(_xll.qlDayCounterYearFraction("Act/365 (Fixed)",C140,J140))</f>
        <v>#VALUE!</v>
      </c>
      <c r="AS140" s="363">
        <v>6.6983816578756079E-3</v>
      </c>
      <c r="AT140" s="363">
        <v>6.9348412966375294E-3</v>
      </c>
      <c r="AU140" s="365">
        <f t="shared" ca="1" si="10"/>
        <v>2.2161834212439287E-4</v>
      </c>
      <c r="AV140" s="365">
        <f t="shared" ca="1" si="11"/>
        <v>-1.4841296637528589E-5</v>
      </c>
    </row>
    <row r="141" spans="2:48">
      <c r="B141" s="348" t="str">
        <f t="shared" ca="1" si="9"/>
        <v>3Mx10Y</v>
      </c>
      <c r="C141" s="345">
        <f t="shared" ca="1" si="8"/>
        <v>42254</v>
      </c>
      <c r="D141" s="346" t="s">
        <v>26</v>
      </c>
      <c r="E141" s="346" t="s">
        <v>16</v>
      </c>
      <c r="F141" s="351">
        <f ca="1">VLOOKUP(F$3&amp;$D141&amp;$E141,'Swaption Volatilities'!$V:$W,2,FALSE)%%</f>
        <v>6.9299999999999995E-3</v>
      </c>
      <c r="G141" s="352">
        <f ca="1">VLOOKUP(G$3&amp;$D141&amp;$E141,'Swaption Volatilities'!$V:$W,2,FALSE)</f>
        <v>261</v>
      </c>
      <c r="H141" s="346" t="s">
        <v>20</v>
      </c>
      <c r="I141" s="346" t="s">
        <v>21</v>
      </c>
      <c r="J141" s="345">
        <f ca="1">_xll.qlCalendarAdvance(H141,C141,D141,I141)</f>
        <v>42345</v>
      </c>
      <c r="K141" s="345">
        <f ca="1">_xll.qlCalendarAdvance(H141,J141,"2d")</f>
        <v>42347</v>
      </c>
      <c r="L141" s="345">
        <f ca="1">_xll.qlCalendarAdvance(H141,K141,E141,"unadjusted")</f>
        <v>46000</v>
      </c>
      <c r="M141" s="346" t="s">
        <v>7</v>
      </c>
      <c r="N141" s="346" t="s">
        <v>20</v>
      </c>
      <c r="O141" s="346" t="s">
        <v>21</v>
      </c>
      <c r="P141" s="346" t="s">
        <v>21</v>
      </c>
      <c r="Q141" s="346" t="s">
        <v>70</v>
      </c>
      <c r="R141" s="353" t="str">
        <f ca="1">_xll.qlSchedule(,K141,L141,M141,N141,O141,P141,Q141)</f>
        <v>obj_001ee#0001</v>
      </c>
      <c r="S141" s="346" t="s">
        <v>19</v>
      </c>
      <c r="T141" s="346" t="s">
        <v>20</v>
      </c>
      <c r="U141" s="346" t="s">
        <v>21</v>
      </c>
      <c r="V141" s="346" t="s">
        <v>21</v>
      </c>
      <c r="W141" s="346" t="s">
        <v>70</v>
      </c>
      <c r="X141" s="353" t="str">
        <f ca="1">_xll.qlSchedule(,K141,L141,S141,T141,U141,V141,W141)</f>
        <v>obj_003a4#0001</v>
      </c>
      <c r="Y141" s="349" t="s">
        <v>1742</v>
      </c>
      <c r="Z141" s="354" t="s">
        <v>36</v>
      </c>
      <c r="AA141" s="354" t="s">
        <v>1745</v>
      </c>
      <c r="AB141" s="353" t="str">
        <f ca="1">_xll.qlVanillaSwap(,,,R141,,Y141,X141,Z141,,AA141)</f>
        <v>obj_003a5#0000</v>
      </c>
      <c r="AC141" s="353" t="b">
        <f ca="1">_xll.qlInstrumentSetPricingEngine(AB141,_xll.qlDiscountingSwapEngine(,Curve!$S$16))</f>
        <v>1</v>
      </c>
      <c r="AD141" s="355" t="e">
        <f ca="1">_xll.qlVanillaSwapFairRate(AB141,AC141)</f>
        <v>#NUM!</v>
      </c>
      <c r="AE141" s="346" t="s">
        <v>1752</v>
      </c>
      <c r="AF141" s="347">
        <v>10000</v>
      </c>
      <c r="AG141" s="350" t="str">
        <f ca="1">_xll.qlVanillaSwap(,AE141,AF141,R141,AD141,Y141,X141,Z141,,AA141)</f>
        <v>obj_006a4#0000</v>
      </c>
      <c r="AH141" s="347" t="str">
        <f ca="1">_xll.qlEuropeanExercise(,J141)</f>
        <v>obj_00264#0001</v>
      </c>
      <c r="AI141" s="346" t="s">
        <v>1749</v>
      </c>
      <c r="AJ141" s="356" t="str">
        <f ca="1">_xll.qlSwaption(,AG141,AH141,AI141)</f>
        <v>obj_007ad#0001</v>
      </c>
      <c r="AK141" s="357" t="str">
        <f ca="1">_xll.qlConstantSwaptionVolatility(,,H141,I141,F141)</f>
        <v>obj_000fc#0001</v>
      </c>
      <c r="AL141" s="357" t="b">
        <f ca="1">_xll.qlInstrumentSetPricingEngine(AJ141,_xll.qlBachelierBlackSwaptionEngine(,Curve!$S$16,AK141))</f>
        <v>1</v>
      </c>
      <c r="AM141" s="358">
        <f ca="1">_xll.qlInstrumentNPV(AJ141,AL141)*2/_xll.qlYieldTSDiscount(Curve!$S$16,K141)</f>
        <v>260.16160857736696</v>
      </c>
      <c r="AN141" s="358">
        <f ca="1">_xll.qlInstrumentResults(AJ141,"annuity",AL141)</f>
        <v>94264.023203429373</v>
      </c>
      <c r="AO141" s="359">
        <f ca="1">G141/2*_xll.qlYieldTSDiscount(Curve!$S$16,K141)/AN141</f>
        <v>1.3848886709398398E-3</v>
      </c>
      <c r="AP141" s="360" t="e">
        <f ca="1">_xll.qlBachelierBlackFormulaImpliedVol("Call",AD141,AD141,_xll.qlDayCounterYearFraction("Act/365 (Fixed)",C141,J141),AO141)</f>
        <v>#VALUE!</v>
      </c>
      <c r="AQ141" s="361" t="e">
        <f ca="1">_xll.qlBlackFormulaImpliedStdDev("Call",AD141,AD141,AO141)/SQRT(_xll.qlDayCounterYearFraction("Act/365 (Fixed)",C141,J141))</f>
        <v>#VALUE!</v>
      </c>
      <c r="AS141" s="363">
        <v>6.7087693780479643E-3</v>
      </c>
      <c r="AT141" s="363">
        <v>6.9523324747668347E-3</v>
      </c>
      <c r="AU141" s="365">
        <f t="shared" ca="1" si="10"/>
        <v>2.2123062195203522E-4</v>
      </c>
      <c r="AV141" s="365">
        <f t="shared" ca="1" si="11"/>
        <v>-2.2332474766835128E-5</v>
      </c>
    </row>
    <row r="142" spans="2:48">
      <c r="B142" s="348" t="str">
        <f t="shared" ca="1" si="9"/>
        <v>6Mx10Y</v>
      </c>
      <c r="C142" s="345">
        <f t="shared" ca="1" si="8"/>
        <v>42254</v>
      </c>
      <c r="D142" s="346" t="s">
        <v>19</v>
      </c>
      <c r="E142" s="346" t="s">
        <v>16</v>
      </c>
      <c r="F142" s="351">
        <f ca="1">VLOOKUP(F$3&amp;$D142&amp;$E142,'Swaption Volatilities'!$V:$W,2,FALSE)%%</f>
        <v>6.9200000000000008E-3</v>
      </c>
      <c r="G142" s="352">
        <f ca="1">VLOOKUP(G$3&amp;$D142&amp;$E142,'Swaption Volatilities'!$V:$W,2,FALSE)</f>
        <v>367</v>
      </c>
      <c r="H142" s="346" t="s">
        <v>20</v>
      </c>
      <c r="I142" s="346" t="s">
        <v>21</v>
      </c>
      <c r="J142" s="345">
        <f ca="1">_xll.qlCalendarAdvance(H142,C142,D142,I142)</f>
        <v>42436</v>
      </c>
      <c r="K142" s="345">
        <f ca="1">_xll.qlCalendarAdvance(H142,J142,"2d")</f>
        <v>42438</v>
      </c>
      <c r="L142" s="345">
        <f ca="1">_xll.qlCalendarAdvance(H142,K142,E142,"unadjusted")</f>
        <v>46090</v>
      </c>
      <c r="M142" s="346" t="s">
        <v>7</v>
      </c>
      <c r="N142" s="346" t="s">
        <v>20</v>
      </c>
      <c r="O142" s="346" t="s">
        <v>21</v>
      </c>
      <c r="P142" s="346" t="s">
        <v>21</v>
      </c>
      <c r="Q142" s="346" t="s">
        <v>70</v>
      </c>
      <c r="R142" s="353" t="str">
        <f ca="1">_xll.qlSchedule(,K142,L142,M142,N142,O142,P142,Q142)</f>
        <v>obj_00478#0001</v>
      </c>
      <c r="S142" s="346" t="s">
        <v>19</v>
      </c>
      <c r="T142" s="346" t="s">
        <v>20</v>
      </c>
      <c r="U142" s="346" t="s">
        <v>21</v>
      </c>
      <c r="V142" s="346" t="s">
        <v>21</v>
      </c>
      <c r="W142" s="346" t="s">
        <v>70</v>
      </c>
      <c r="X142" s="353" t="str">
        <f ca="1">_xll.qlSchedule(,K142,L142,S142,T142,U142,V142,W142)</f>
        <v>obj_00479#0001</v>
      </c>
      <c r="Y142" s="349" t="s">
        <v>1742</v>
      </c>
      <c r="Z142" s="354" t="s">
        <v>36</v>
      </c>
      <c r="AA142" s="354" t="s">
        <v>1745</v>
      </c>
      <c r="AB142" s="353" t="str">
        <f ca="1">_xll.qlVanillaSwap(,,,R142,,Y142,X142,Z142,,AA142)</f>
        <v>obj_00535#0001</v>
      </c>
      <c r="AC142" s="353" t="b">
        <f ca="1">_xll.qlInstrumentSetPricingEngine(AB142,_xll.qlDiscountingSwapEngine(,Curve!$S$16))</f>
        <v>1</v>
      </c>
      <c r="AD142" s="355" t="e">
        <f ca="1">_xll.qlVanillaSwapFairRate(AB142,AC142)</f>
        <v>#NUM!</v>
      </c>
      <c r="AE142" s="346" t="s">
        <v>1752</v>
      </c>
      <c r="AF142" s="347">
        <v>10000</v>
      </c>
      <c r="AG142" s="350" t="str">
        <f ca="1">_xll.qlVanillaSwap(,AE142,AF142,R142,AD142,Y142,X142,Z142,,AA142)</f>
        <v>obj_006cd#0000</v>
      </c>
      <c r="AH142" s="347" t="str">
        <f ca="1">_xll.qlEuropeanExercise(,J142)</f>
        <v>obj_0018a#0000</v>
      </c>
      <c r="AI142" s="346" t="s">
        <v>1749</v>
      </c>
      <c r="AJ142" s="356" t="str">
        <f ca="1">_xll.qlSwaption(,AG142,AH142,AI142)</f>
        <v>obj_00746#0001</v>
      </c>
      <c r="AK142" s="357" t="str">
        <f ca="1">_xll.qlConstantSwaptionVolatility(,,H142,I142,F142)</f>
        <v>obj_00262#0001</v>
      </c>
      <c r="AL142" s="357" t="b">
        <f ca="1">_xll.qlInstrumentSetPricingEngine(AJ142,_xll.qlBachelierBlackSwaptionEngine(,Curve!$S$16,AK142))</f>
        <v>1</v>
      </c>
      <c r="AM142" s="358">
        <f ca="1">_xll.qlInstrumentNPV(AJ142,AL142)*2/_xll.qlYieldTSDiscount(Curve!$S$16,K142)</f>
        <v>365.2392715711199</v>
      </c>
      <c r="AN142" s="358">
        <f ca="1">_xll.qlInstrumentResults(AJ142,"annuity",AL142)</f>
        <v>93745.997688511678</v>
      </c>
      <c r="AO142" s="359">
        <f ca="1">G142/2*_xll.qlYieldTSDiscount(Curve!$S$16,K142)/AN142</f>
        <v>1.9588176939568098E-3</v>
      </c>
      <c r="AP142" s="360" t="e">
        <f ca="1">_xll.qlBachelierBlackFormulaImpliedVol("Call",AD142,AD142,_xll.qlDayCounterYearFraction("Act/365 (Fixed)",C142,J142),AO142)</f>
        <v>#VALUE!</v>
      </c>
      <c r="AQ142" s="361" t="e">
        <f ca="1">_xll.qlBlackFormulaImpliedStdDev("Call",AD142,AD142,AO142)/SQRT(_xll.qlDayCounterYearFraction("Act/365 (Fixed)",C142,J142))</f>
        <v>#VALUE!</v>
      </c>
      <c r="AS142" s="363">
        <v>6.6881163781861352E-3</v>
      </c>
      <c r="AT142" s="363">
        <v>6.953359612933788E-3</v>
      </c>
      <c r="AU142" s="365">
        <f t="shared" ca="1" si="10"/>
        <v>2.3188362181386559E-4</v>
      </c>
      <c r="AV142" s="365">
        <f t="shared" ca="1" si="11"/>
        <v>-3.3359612933787225E-5</v>
      </c>
    </row>
    <row r="143" spans="2:48">
      <c r="B143" s="348" t="str">
        <f t="shared" ca="1" si="9"/>
        <v>9Mx10Y</v>
      </c>
      <c r="C143" s="345">
        <f t="shared" ca="1" si="8"/>
        <v>42254</v>
      </c>
      <c r="D143" s="346" t="s">
        <v>412</v>
      </c>
      <c r="E143" s="346" t="s">
        <v>16</v>
      </c>
      <c r="F143" s="351">
        <f ca="1">VLOOKUP(F$3&amp;$D143&amp;$E143,'Swaption Volatilities'!$V:$W,2,FALSE)%%</f>
        <v>6.9599999999999992E-3</v>
      </c>
      <c r="G143" s="352">
        <f ca="1">VLOOKUP(G$3&amp;$D143&amp;$E143,'Swaption Volatilities'!$V:$W,2,FALSE)</f>
        <v>452</v>
      </c>
      <c r="H143" s="346" t="s">
        <v>20</v>
      </c>
      <c r="I143" s="346" t="s">
        <v>21</v>
      </c>
      <c r="J143" s="345">
        <f ca="1">_xll.qlCalendarAdvance(H143,C143,D143,I143)</f>
        <v>42528</v>
      </c>
      <c r="K143" s="345">
        <f ca="1">_xll.qlCalendarAdvance(H143,J143,"2d")</f>
        <v>42530</v>
      </c>
      <c r="L143" s="345">
        <f ca="1">_xll.qlCalendarAdvance(H143,K143,E143,"unadjusted")</f>
        <v>46182</v>
      </c>
      <c r="M143" s="346" t="s">
        <v>7</v>
      </c>
      <c r="N143" s="346" t="s">
        <v>20</v>
      </c>
      <c r="O143" s="346" t="s">
        <v>21</v>
      </c>
      <c r="P143" s="346" t="s">
        <v>21</v>
      </c>
      <c r="Q143" s="346" t="s">
        <v>70</v>
      </c>
      <c r="R143" s="353" t="str">
        <f ca="1">_xll.qlSchedule(,K143,L143,M143,N143,O143,P143,Q143)</f>
        <v>obj_002e4#0001</v>
      </c>
      <c r="S143" s="346" t="s">
        <v>19</v>
      </c>
      <c r="T143" s="346" t="s">
        <v>20</v>
      </c>
      <c r="U143" s="346" t="s">
        <v>21</v>
      </c>
      <c r="V143" s="346" t="s">
        <v>21</v>
      </c>
      <c r="W143" s="346" t="s">
        <v>70</v>
      </c>
      <c r="X143" s="353" t="str">
        <f ca="1">_xll.qlSchedule(,K143,L143,S143,T143,U143,V143,W143)</f>
        <v>obj_00384#0001</v>
      </c>
      <c r="Y143" s="349" t="s">
        <v>1742</v>
      </c>
      <c r="Z143" s="354" t="s">
        <v>36</v>
      </c>
      <c r="AA143" s="354" t="s">
        <v>1745</v>
      </c>
      <c r="AB143" s="353" t="str">
        <f ca="1">_xll.qlVanillaSwap(,,,R143,,Y143,X143,Z143,,AA143)</f>
        <v>obj_004b2#0001</v>
      </c>
      <c r="AC143" s="353" t="b">
        <f ca="1">_xll.qlInstrumentSetPricingEngine(AB143,_xll.qlDiscountingSwapEngine(,Curve!$S$16))</f>
        <v>1</v>
      </c>
      <c r="AD143" s="355" t="e">
        <f ca="1">_xll.qlVanillaSwapFairRate(AB143,AC143)</f>
        <v>#NUM!</v>
      </c>
      <c r="AE143" s="346" t="s">
        <v>1752</v>
      </c>
      <c r="AF143" s="347">
        <v>10000</v>
      </c>
      <c r="AG143" s="350" t="str">
        <f ca="1">_xll.qlVanillaSwap(,AE143,AF143,R143,AD143,Y143,X143,Z143,,AA143)</f>
        <v>obj_00664#0000</v>
      </c>
      <c r="AH143" s="347" t="str">
        <f ca="1">_xll.qlEuropeanExercise(,J143)</f>
        <v>obj_000ca#0001</v>
      </c>
      <c r="AI143" s="346" t="s">
        <v>1749</v>
      </c>
      <c r="AJ143" s="356" t="str">
        <f ca="1">_xll.qlSwaption(,AG143,AH143,AI143)</f>
        <v>obj_007b6#0001</v>
      </c>
      <c r="AK143" s="357" t="str">
        <f ca="1">_xll.qlConstantSwaptionVolatility(,,H143,I143,F143)</f>
        <v>obj_001bb#0001</v>
      </c>
      <c r="AL143" s="357" t="b">
        <f ca="1">_xll.qlInstrumentSetPricingEngine(AJ143,_xll.qlBachelierBlackSwaptionEngine(,Curve!$S$16,AK143))</f>
        <v>1</v>
      </c>
      <c r="AM143" s="358">
        <f ca="1">_xll.qlInstrumentNPV(AJ143,AL143)*2/_xll.qlYieldTSDiscount(Curve!$S$16,K143)</f>
        <v>447.92962530725163</v>
      </c>
      <c r="AN143" s="358">
        <f ca="1">_xll.qlInstrumentResults(AJ143,"annuity",AL143)</f>
        <v>93199.672408744998</v>
      </c>
      <c r="AO143" s="359">
        <f ca="1">G143/2*_xll.qlYieldTSDiscount(Curve!$S$16,K143)/AN143</f>
        <v>2.4275981761186492E-3</v>
      </c>
      <c r="AP143" s="360" t="e">
        <f ca="1">_xll.qlBachelierBlackFormulaImpliedVol("Call",AD143,AD143,_xll.qlDayCounterYearFraction("Act/365 (Fixed)",C143,J143),AO143)</f>
        <v>#VALUE!</v>
      </c>
      <c r="AQ143" s="361" t="e">
        <f ca="1">_xll.qlBlackFormulaImpliedStdDev("Call",AD143,AD143,AO143)/SQRT(_xll.qlDayCounterYearFraction("Act/365 (Fixed)",C143,J143))</f>
        <v>#VALUE!</v>
      </c>
      <c r="AS143" s="363">
        <v>6.7324708863813311E-3</v>
      </c>
      <c r="AT143" s="363">
        <v>7.0232461133645568E-3</v>
      </c>
      <c r="AU143" s="365">
        <f t="shared" ca="1" si="10"/>
        <v>2.2752911361866805E-4</v>
      </c>
      <c r="AV143" s="365">
        <f t="shared" ca="1" si="11"/>
        <v>-6.3246113364557634E-5</v>
      </c>
    </row>
    <row r="144" spans="2:48">
      <c r="B144" s="348" t="str">
        <f t="shared" ca="1" si="9"/>
        <v>1Yx10Y</v>
      </c>
      <c r="C144" s="345">
        <f t="shared" ca="1" si="8"/>
        <v>42254</v>
      </c>
      <c r="D144" s="346" t="s">
        <v>7</v>
      </c>
      <c r="E144" s="346" t="s">
        <v>16</v>
      </c>
      <c r="F144" s="351">
        <f ca="1">VLOOKUP(F$3&amp;$D144&amp;$E144,'Swaption Volatilities'!$V:$W,2,FALSE)%%</f>
        <v>6.9900000000000006E-3</v>
      </c>
      <c r="G144" s="352">
        <f ca="1">VLOOKUP(G$3&amp;$D144&amp;$E144,'Swaption Volatilities'!$V:$W,2,FALSE)</f>
        <v>523</v>
      </c>
      <c r="H144" s="346" t="s">
        <v>20</v>
      </c>
      <c r="I144" s="346" t="s">
        <v>21</v>
      </c>
      <c r="J144" s="345">
        <f ca="1">_xll.qlCalendarAdvance(H144,C144,D144,I144)</f>
        <v>42620</v>
      </c>
      <c r="K144" s="345">
        <f ca="1">_xll.qlCalendarAdvance(H144,J144,"2d")</f>
        <v>42622</v>
      </c>
      <c r="L144" s="345">
        <f ca="1">_xll.qlCalendarAdvance(H144,K144,E144,"unadjusted")</f>
        <v>46274</v>
      </c>
      <c r="M144" s="346" t="s">
        <v>7</v>
      </c>
      <c r="N144" s="346" t="s">
        <v>20</v>
      </c>
      <c r="O144" s="346" t="s">
        <v>21</v>
      </c>
      <c r="P144" s="346" t="s">
        <v>21</v>
      </c>
      <c r="Q144" s="346" t="s">
        <v>70</v>
      </c>
      <c r="R144" s="353" t="str">
        <f ca="1">_xll.qlSchedule(,K144,L144,M144,N144,O144,P144,Q144)</f>
        <v>obj_0055a#0000</v>
      </c>
      <c r="S144" s="346" t="s">
        <v>19</v>
      </c>
      <c r="T144" s="346" t="s">
        <v>20</v>
      </c>
      <c r="U144" s="346" t="s">
        <v>21</v>
      </c>
      <c r="V144" s="346" t="s">
        <v>21</v>
      </c>
      <c r="W144" s="346" t="s">
        <v>70</v>
      </c>
      <c r="X144" s="353" t="str">
        <f ca="1">_xll.qlSchedule(,K144,L144,S144,T144,U144,V144,W144)</f>
        <v>obj_0055b#0001</v>
      </c>
      <c r="Y144" s="349" t="s">
        <v>1742</v>
      </c>
      <c r="Z144" s="354" t="s">
        <v>36</v>
      </c>
      <c r="AA144" s="354" t="s">
        <v>1745</v>
      </c>
      <c r="AB144" s="353" t="str">
        <f ca="1">_xll.qlVanillaSwap(,,,R144,,Y144,X144,Z144,,AA144)</f>
        <v>obj_005e1#0001</v>
      </c>
      <c r="AC144" s="353" t="b">
        <f ca="1">_xll.qlInstrumentSetPricingEngine(AB144,_xll.qlDiscountingSwapEngine(,Curve!$S$16))</f>
        <v>1</v>
      </c>
      <c r="AD144" s="355" t="e">
        <f ca="1">_xll.qlVanillaSwapFairRate(AB144,AC144)</f>
        <v>#NUM!</v>
      </c>
      <c r="AE144" s="346" t="s">
        <v>1752</v>
      </c>
      <c r="AF144" s="347">
        <v>10000</v>
      </c>
      <c r="AG144" s="350" t="str">
        <f ca="1">_xll.qlVanillaSwap(,AE144,AF144,R144,AD144,Y144,X144,Z144,,AA144)</f>
        <v>obj_006be#0000</v>
      </c>
      <c r="AH144" s="347" t="str">
        <f ca="1">_xll.qlEuropeanExercise(,J144)</f>
        <v>obj_00498#0001</v>
      </c>
      <c r="AI144" s="346" t="s">
        <v>1749</v>
      </c>
      <c r="AJ144" s="356" t="str">
        <f ca="1">_xll.qlSwaption(,AG144,AH144,AI144)</f>
        <v>obj_007aa#0001</v>
      </c>
      <c r="AK144" s="357" t="str">
        <f ca="1">_xll.qlConstantSwaptionVolatility(,,H144,I144,F144)</f>
        <v>obj_0008c#0001</v>
      </c>
      <c r="AL144" s="357" t="b">
        <f ca="1">_xll.qlInstrumentSetPricingEngine(AJ144,_xll.qlBachelierBlackSwaptionEngine(,Curve!$S$16,AK144))</f>
        <v>1</v>
      </c>
      <c r="AM144" s="358">
        <f ca="1">_xll.qlInstrumentNPV(AJ144,AL144)*2/_xll.qlYieldTSDiscount(Curve!$S$16,K144)</f>
        <v>516.5427169806735</v>
      </c>
      <c r="AN144" s="358">
        <f ca="1">_xll.qlInstrumentResults(AJ144,"annuity",AL144)</f>
        <v>92630.081838629776</v>
      </c>
      <c r="AO144" s="359">
        <f ca="1">G144/2*_xll.qlYieldTSDiscount(Curve!$S$16,K144)/AN144</f>
        <v>2.8273319331964053E-3</v>
      </c>
      <c r="AP144" s="360" t="e">
        <f ca="1">_xll.qlBachelierBlackFormulaImpliedVol("Call",AD144,AD144,_xll.qlDayCounterYearFraction("Act/365 (Fixed)",C144,J144),AO144)</f>
        <v>#VALUE!</v>
      </c>
      <c r="AQ144" s="361" t="e">
        <f ca="1">_xll.qlBlackFormulaImpliedStdDev("Call",AD144,AD144,AO144)/SQRT(_xll.qlDayCounterYearFraction("Act/365 (Fixed)",C144,J144))</f>
        <v>#VALUE!</v>
      </c>
      <c r="AS144" s="363">
        <v>6.7603735344098472E-3</v>
      </c>
      <c r="AT144" s="363">
        <v>7.0773817533792537E-3</v>
      </c>
      <c r="AU144" s="365">
        <f t="shared" ca="1" si="10"/>
        <v>2.2962646559015337E-4</v>
      </c>
      <c r="AV144" s="365">
        <f t="shared" ca="1" si="11"/>
        <v>-8.738175337925317E-5</v>
      </c>
    </row>
    <row r="145" spans="2:48">
      <c r="B145" s="348" t="str">
        <f t="shared" ca="1" si="9"/>
        <v>18Mx10Y</v>
      </c>
      <c r="C145" s="345">
        <f t="shared" ca="1" si="8"/>
        <v>42254</v>
      </c>
      <c r="D145" s="346" t="s">
        <v>154</v>
      </c>
      <c r="E145" s="346" t="s">
        <v>16</v>
      </c>
      <c r="F145" s="351">
        <f ca="1">VLOOKUP(F$3&amp;$D145&amp;$E145,'Swaption Volatilities'!$V:$W,2,FALSE)%%</f>
        <v>7.1599999999999997E-3</v>
      </c>
      <c r="G145" s="352">
        <f ca="1">VLOOKUP(G$3&amp;$D145&amp;$E145,'Swaption Volatilities'!$V:$W,2,FALSE)</f>
        <v>652</v>
      </c>
      <c r="H145" s="346" t="s">
        <v>20</v>
      </c>
      <c r="I145" s="346" t="s">
        <v>21</v>
      </c>
      <c r="J145" s="345">
        <f ca="1">_xll.qlCalendarAdvance(H145,C145,D145,I145)</f>
        <v>42801</v>
      </c>
      <c r="K145" s="345">
        <f ca="1">_xll.qlCalendarAdvance(H145,J145,"2d")</f>
        <v>42803</v>
      </c>
      <c r="L145" s="345">
        <f ca="1">_xll.qlCalendarAdvance(H145,K145,E145,"unadjusted")</f>
        <v>46455</v>
      </c>
      <c r="M145" s="346" t="s">
        <v>7</v>
      </c>
      <c r="N145" s="346" t="s">
        <v>20</v>
      </c>
      <c r="O145" s="346" t="s">
        <v>21</v>
      </c>
      <c r="P145" s="346" t="s">
        <v>21</v>
      </c>
      <c r="Q145" s="346" t="s">
        <v>70</v>
      </c>
      <c r="R145" s="353" t="str">
        <f ca="1">_xll.qlSchedule(,K145,L145,M145,N145,O145,P145,Q145)</f>
        <v>obj_004e9#0000</v>
      </c>
      <c r="S145" s="346" t="s">
        <v>19</v>
      </c>
      <c r="T145" s="346" t="s">
        <v>20</v>
      </c>
      <c r="U145" s="346" t="s">
        <v>21</v>
      </c>
      <c r="V145" s="346" t="s">
        <v>21</v>
      </c>
      <c r="W145" s="346" t="s">
        <v>70</v>
      </c>
      <c r="X145" s="353" t="str">
        <f ca="1">_xll.qlSchedule(,K145,L145,S145,T145,U145,V145,W145)</f>
        <v>obj_004ea#0001</v>
      </c>
      <c r="Y145" s="349" t="s">
        <v>1742</v>
      </c>
      <c r="Z145" s="354" t="s">
        <v>36</v>
      </c>
      <c r="AA145" s="354" t="s">
        <v>1745</v>
      </c>
      <c r="AB145" s="353" t="str">
        <f ca="1">_xll.qlVanillaSwap(,,,R145,,Y145,X145,Z145,,AA145)</f>
        <v>obj_00590#0001</v>
      </c>
      <c r="AC145" s="353" t="b">
        <f ca="1">_xll.qlInstrumentSetPricingEngine(AB145,_xll.qlDiscountingSwapEngine(,Curve!$S$16))</f>
        <v>1</v>
      </c>
      <c r="AD145" s="355" t="e">
        <f ca="1">_xll.qlVanillaSwapFairRate(AB145,AC145)</f>
        <v>#NUM!</v>
      </c>
      <c r="AE145" s="346" t="s">
        <v>1752</v>
      </c>
      <c r="AF145" s="347">
        <v>10000</v>
      </c>
      <c r="AG145" s="350" t="str">
        <f ca="1">_xll.qlVanillaSwap(,AE145,AF145,R145,AD145,Y145,X145,Z145,,AA145)</f>
        <v>obj_00656#0000</v>
      </c>
      <c r="AH145" s="347" t="str">
        <f ca="1">_xll.qlEuropeanExercise(,J145)</f>
        <v>obj_00331#0001</v>
      </c>
      <c r="AI145" s="346" t="s">
        <v>1749</v>
      </c>
      <c r="AJ145" s="356" t="str">
        <f ca="1">_xll.qlSwaption(,AG145,AH145,AI145)</f>
        <v>obj_00756#0001</v>
      </c>
      <c r="AK145" s="357" t="str">
        <f ca="1">_xll.qlConstantSwaptionVolatility(,,H145,I145,F145)</f>
        <v>obj_000c2#0001</v>
      </c>
      <c r="AL145" s="357" t="b">
        <f ca="1">_xll.qlInstrumentSetPricingEngine(AJ145,_xll.qlBachelierBlackSwaptionEngine(,Curve!$S$16,AK145))</f>
        <v>1</v>
      </c>
      <c r="AM145" s="358">
        <f ca="1">_xll.qlInstrumentNPV(AJ145,AL145)*2/_xll.qlYieldTSDiscount(Curve!$S$16,K145)</f>
        <v>638.09753726934593</v>
      </c>
      <c r="AN145" s="358">
        <f ca="1">_xll.qlInstrumentResults(AJ145,"annuity",AL145)</f>
        <v>91445.127628019865</v>
      </c>
      <c r="AO145" s="359">
        <f ca="1">G145/2*_xll.qlYieldTSDiscount(Curve!$S$16,K145)/AN145</f>
        <v>3.5729821481953836E-3</v>
      </c>
      <c r="AP145" s="360" t="e">
        <f ca="1">_xll.qlBachelierBlackFormulaImpliedVol("Call",AD145,AD145,_xll.qlDayCounterYearFraction("Act/365 (Fixed)",C145,J145),AO145)</f>
        <v>#VALUE!</v>
      </c>
      <c r="AQ145" s="361" t="e">
        <f ca="1">_xll.qlBlackFormulaImpliedStdDev("Call",AD145,AD145,AO145)/SQRT(_xll.qlDayCounterYearFraction("Act/365 (Fixed)",C145,J145))</f>
        <v>#VALUE!</v>
      </c>
      <c r="AS145" s="363">
        <v>6.9368670635949568E-3</v>
      </c>
      <c r="AT145" s="363">
        <v>7.3159975197167959E-3</v>
      </c>
      <c r="AU145" s="365">
        <f t="shared" ca="1" si="10"/>
        <v>2.2313293640504293E-4</v>
      </c>
      <c r="AV145" s="365">
        <f t="shared" ca="1" si="11"/>
        <v>-1.5599751971679624E-4</v>
      </c>
    </row>
    <row r="146" spans="2:48">
      <c r="B146" s="348" t="str">
        <f t="shared" ca="1" si="9"/>
        <v>2Yx10Y</v>
      </c>
      <c r="C146" s="345">
        <f t="shared" ca="1" si="8"/>
        <v>42254</v>
      </c>
      <c r="D146" s="346" t="s">
        <v>8</v>
      </c>
      <c r="E146" s="346" t="s">
        <v>16</v>
      </c>
      <c r="F146" s="351">
        <f ca="1">VLOOKUP(F$3&amp;$D146&amp;$E146,'Swaption Volatilities'!$V:$W,2,FALSE)%%</f>
        <v>7.26E-3</v>
      </c>
      <c r="G146" s="352">
        <f ca="1">VLOOKUP(G$3&amp;$D146&amp;$E146,'Swaption Volatilities'!$V:$W,2,FALSE)</f>
        <v>760</v>
      </c>
      <c r="H146" s="346" t="s">
        <v>20</v>
      </c>
      <c r="I146" s="346" t="s">
        <v>21</v>
      </c>
      <c r="J146" s="345">
        <f ca="1">_xll.qlCalendarAdvance(H146,C146,D146,I146)</f>
        <v>42985</v>
      </c>
      <c r="K146" s="345">
        <f ca="1">_xll.qlCalendarAdvance(H146,J146,"2d")</f>
        <v>42989</v>
      </c>
      <c r="L146" s="345">
        <f ca="1">_xll.qlCalendarAdvance(H146,K146,E146,"unadjusted")</f>
        <v>46641</v>
      </c>
      <c r="M146" s="346" t="s">
        <v>7</v>
      </c>
      <c r="N146" s="346" t="s">
        <v>20</v>
      </c>
      <c r="O146" s="346" t="s">
        <v>21</v>
      </c>
      <c r="P146" s="346" t="s">
        <v>21</v>
      </c>
      <c r="Q146" s="346" t="s">
        <v>70</v>
      </c>
      <c r="R146" s="353" t="str">
        <f ca="1">_xll.qlSchedule(,K146,L146,M146,N146,O146,P146,Q146)</f>
        <v>obj_0054d#0000</v>
      </c>
      <c r="S146" s="346" t="s">
        <v>19</v>
      </c>
      <c r="T146" s="346" t="s">
        <v>20</v>
      </c>
      <c r="U146" s="346" t="s">
        <v>21</v>
      </c>
      <c r="V146" s="346" t="s">
        <v>21</v>
      </c>
      <c r="W146" s="346" t="s">
        <v>70</v>
      </c>
      <c r="X146" s="353" t="str">
        <f ca="1">_xll.qlSchedule(,K146,L146,S146,T146,U146,V146,W146)</f>
        <v>obj_0054e#0001</v>
      </c>
      <c r="Y146" s="349" t="s">
        <v>1742</v>
      </c>
      <c r="Z146" s="354" t="s">
        <v>36</v>
      </c>
      <c r="AA146" s="354" t="s">
        <v>1745</v>
      </c>
      <c r="AB146" s="353" t="str">
        <f ca="1">_xll.qlVanillaSwap(,,,R146,,Y146,X146,Z146,,AA146)</f>
        <v>obj_005d9#0001</v>
      </c>
      <c r="AC146" s="353" t="b">
        <f ca="1">_xll.qlInstrumentSetPricingEngine(AB146,_xll.qlDiscountingSwapEngine(,Curve!$S$16))</f>
        <v>1</v>
      </c>
      <c r="AD146" s="355" t="e">
        <f ca="1">_xll.qlVanillaSwapFairRate(AB146,AC146)</f>
        <v>#NUM!</v>
      </c>
      <c r="AE146" s="346" t="s">
        <v>1752</v>
      </c>
      <c r="AF146" s="347">
        <v>10000</v>
      </c>
      <c r="AG146" s="350" t="e">
        <f ca="1">_xll.qlVanillaSwap(,AE146,AF146,R146,AD146,Y146,X146,Z146,,AA146)</f>
        <v>#NUM!</v>
      </c>
      <c r="AH146" s="347" t="str">
        <f ca="1">_xll.qlEuropeanExercise(,J146)</f>
        <v>obj_00488#0001</v>
      </c>
      <c r="AI146" s="346" t="s">
        <v>1749</v>
      </c>
      <c r="AJ146" s="356" t="e">
        <f ca="1">_xll.qlSwaption(,AG146,AH146,AI146)</f>
        <v>#VALUE!</v>
      </c>
      <c r="AK146" s="357" t="str">
        <f ca="1">_xll.qlConstantSwaptionVolatility(,,H146,I146,F146)</f>
        <v>obj_00184#0001</v>
      </c>
      <c r="AL146" s="357" t="e">
        <f ca="1">_xll.qlInstrumentSetPricingEngine(AJ146,_xll.qlBachelierBlackSwaptionEngine(,Curve!$S$16,AK146))</f>
        <v>#VALUE!</v>
      </c>
      <c r="AM146" s="358" t="e">
        <f ca="1">_xll.qlInstrumentNPV(AJ146,AL146)*2/_xll.qlYieldTSDiscount(Curve!$S$16,K146)</f>
        <v>#VALUE!</v>
      </c>
      <c r="AN146" s="358" t="e">
        <f ca="1">_xll.qlInstrumentResults(AJ146,"annuity",AL146)</f>
        <v>#VALUE!</v>
      </c>
      <c r="AO146" s="359" t="e">
        <f ca="1">G146/2*_xll.qlYieldTSDiscount(Curve!$S$16,K146)/AN146</f>
        <v>#VALUE!</v>
      </c>
      <c r="AP146" s="360" t="e">
        <f ca="1">_xll.qlBachelierBlackFormulaImpliedVol("Call",AD146,AD146,_xll.qlDayCounterYearFraction("Act/365 (Fixed)",C146,J146),AO146)</f>
        <v>#VALUE!</v>
      </c>
      <c r="AQ146" s="361" t="e">
        <f ca="1">_xll.qlBlackFormulaImpliedStdDev("Call",AD146,AD146,AO146)/SQRT(_xll.qlDayCounterYearFraction("Act/365 (Fixed)",C146,J146))</f>
        <v>#VALUE!</v>
      </c>
      <c r="AS146" s="363">
        <v>7.0380779561383423E-3</v>
      </c>
      <c r="AT146" s="363">
        <v>7.4811659253270048E-3</v>
      </c>
      <c r="AU146" s="365">
        <f t="shared" ca="1" si="10"/>
        <v>2.2192204386165763E-4</v>
      </c>
      <c r="AV146" s="365">
        <f t="shared" ca="1" si="11"/>
        <v>-2.2116592532700485E-4</v>
      </c>
    </row>
    <row r="147" spans="2:48">
      <c r="B147" s="348" t="str">
        <f t="shared" ca="1" si="9"/>
        <v>3Yx10Y</v>
      </c>
      <c r="C147" s="345">
        <f t="shared" ca="1" si="8"/>
        <v>42254</v>
      </c>
      <c r="D147" s="346" t="s">
        <v>9</v>
      </c>
      <c r="E147" s="346" t="s">
        <v>16</v>
      </c>
      <c r="F147" s="351">
        <f ca="1">VLOOKUP(F$3&amp;$D147&amp;$E147,'Swaption Volatilities'!$V:$W,2,FALSE)%%</f>
        <v>7.4199999999999995E-3</v>
      </c>
      <c r="G147" s="352">
        <f ca="1">VLOOKUP(G$3&amp;$D147&amp;$E147,'Swaption Volatilities'!$V:$W,2,FALSE)</f>
        <v>941</v>
      </c>
      <c r="H147" s="346" t="s">
        <v>20</v>
      </c>
      <c r="I147" s="346" t="s">
        <v>21</v>
      </c>
      <c r="J147" s="345">
        <f ca="1">_xll.qlCalendarAdvance(H147,C147,D147,I147)</f>
        <v>43350</v>
      </c>
      <c r="K147" s="345">
        <f ca="1">_xll.qlCalendarAdvance(H147,J147,"2d")</f>
        <v>43354</v>
      </c>
      <c r="L147" s="345">
        <f ca="1">_xll.qlCalendarAdvance(H147,K147,E147,"unadjusted")</f>
        <v>47007</v>
      </c>
      <c r="M147" s="346" t="s">
        <v>7</v>
      </c>
      <c r="N147" s="346" t="s">
        <v>20</v>
      </c>
      <c r="O147" s="346" t="s">
        <v>21</v>
      </c>
      <c r="P147" s="346" t="s">
        <v>21</v>
      </c>
      <c r="Q147" s="346" t="s">
        <v>70</v>
      </c>
      <c r="R147" s="353" t="str">
        <f ca="1">_xll.qlSchedule(,K147,L147,M147,N147,O147,P147,Q147)</f>
        <v>obj_00133#0001</v>
      </c>
      <c r="S147" s="346" t="s">
        <v>19</v>
      </c>
      <c r="T147" s="346" t="s">
        <v>20</v>
      </c>
      <c r="U147" s="346" t="s">
        <v>21</v>
      </c>
      <c r="V147" s="346" t="s">
        <v>21</v>
      </c>
      <c r="W147" s="346" t="s">
        <v>70</v>
      </c>
      <c r="X147" s="353" t="str">
        <f ca="1">_xll.qlSchedule(,K147,L147,S147,T147,U147,V147,W147)</f>
        <v>obj_0033d#0001</v>
      </c>
      <c r="Y147" s="349" t="s">
        <v>1742</v>
      </c>
      <c r="Z147" s="354" t="s">
        <v>36</v>
      </c>
      <c r="AA147" s="354" t="s">
        <v>1745</v>
      </c>
      <c r="AB147" s="353" t="str">
        <f ca="1">_xll.qlVanillaSwap(,,,R147,,Y147,X147,Z147,,AA147)</f>
        <v>obj_0033e#0000</v>
      </c>
      <c r="AC147" s="353" t="b">
        <f ca="1">_xll.qlInstrumentSetPricingEngine(AB147,_xll.qlDiscountingSwapEngine(,Curve!$S$16))</f>
        <v>1</v>
      </c>
      <c r="AD147" s="355" t="e">
        <f ca="1">_xll.qlVanillaSwapFairRate(AB147,AC147)</f>
        <v>#NUM!</v>
      </c>
      <c r="AE147" s="346" t="s">
        <v>1752</v>
      </c>
      <c r="AF147" s="347">
        <v>10000</v>
      </c>
      <c r="AG147" s="350" t="str">
        <f ca="1">_xll.qlVanillaSwap(,AE147,AF147,R147,AD147,Y147,X147,Z147,,AA147)</f>
        <v>obj_006a7#0000</v>
      </c>
      <c r="AH147" s="347" t="str">
        <f ca="1">_xll.qlEuropeanExercise(,J147)</f>
        <v>obj_001be#0001</v>
      </c>
      <c r="AI147" s="346" t="s">
        <v>1749</v>
      </c>
      <c r="AJ147" s="356" t="str">
        <f ca="1">_xll.qlSwaption(,AG147,AH147,AI147)</f>
        <v>obj_0074b#0001</v>
      </c>
      <c r="AK147" s="357" t="str">
        <f ca="1">_xll.qlConstantSwaptionVolatility(,,H147,I147,F147)</f>
        <v>obj_000fb#0001</v>
      </c>
      <c r="AL147" s="357" t="b">
        <f ca="1">_xll.qlInstrumentSetPricingEngine(AJ147,_xll.qlBachelierBlackSwaptionEngine(,Curve!$S$16,AK147))</f>
        <v>1</v>
      </c>
      <c r="AM147" s="358">
        <f ca="1">_xll.qlInstrumentNPV(AJ147,AL147)*2/_xll.qlYieldTSDiscount(Curve!$S$16,K147)</f>
        <v>895.88109776617011</v>
      </c>
      <c r="AN147" s="358">
        <f ca="1">_xll.qlInstrumentResults(AJ147,"annuity",AL147)</f>
        <v>87551.162606259328</v>
      </c>
      <c r="AO147" s="359">
        <f ca="1">G147/2*_xll.qlYieldTSDiscount(Curve!$S$16,K147)/AN147</f>
        <v>5.3878074427408671E-3</v>
      </c>
      <c r="AP147" s="360" t="e">
        <f ca="1">_xll.qlBachelierBlackFormulaImpliedVol("Call",AD147,AD147,_xll.qlDayCounterYearFraction("Act/365 (Fixed)",C147,J147),AO147)</f>
        <v>#VALUE!</v>
      </c>
      <c r="AQ147" s="361" t="e">
        <f ca="1">_xll.qlBlackFormulaImpliedStdDev("Call",AD147,AD147,AO147)/SQRT(_xll.qlDayCounterYearFraction("Act/365 (Fixed)",C147,J147))</f>
        <v>#VALUE!</v>
      </c>
      <c r="AS147" s="363">
        <v>7.2163126328171146E-3</v>
      </c>
      <c r="AT147" s="363">
        <v>7.7936904991184573E-3</v>
      </c>
      <c r="AU147" s="365">
        <f t="shared" ca="1" si="10"/>
        <v>2.0368736718288493E-4</v>
      </c>
      <c r="AV147" s="365">
        <f t="shared" ca="1" si="11"/>
        <v>-3.7369049911845781E-4</v>
      </c>
    </row>
    <row r="148" spans="2:48">
      <c r="B148" s="348" t="str">
        <f t="shared" ca="1" si="9"/>
        <v>4Yx10Y</v>
      </c>
      <c r="C148" s="345">
        <f t="shared" ca="1" si="8"/>
        <v>42254</v>
      </c>
      <c r="D148" s="346" t="s">
        <v>10</v>
      </c>
      <c r="E148" s="346" t="s">
        <v>16</v>
      </c>
      <c r="F148" s="351">
        <f ca="1">VLOOKUP(F$3&amp;$D148&amp;$E148,'Swaption Volatilities'!$V:$W,2,FALSE)%%</f>
        <v>7.4599999999999996E-3</v>
      </c>
      <c r="G148" s="352">
        <f ca="1">VLOOKUP(G$3&amp;$D148&amp;$E148,'Swaption Volatilities'!$V:$W,2,FALSE)</f>
        <v>1084</v>
      </c>
      <c r="H148" s="346" t="s">
        <v>20</v>
      </c>
      <c r="I148" s="346" t="s">
        <v>21</v>
      </c>
      <c r="J148" s="345">
        <f ca="1">_xll.qlCalendarAdvance(H148,C148,D148,I148)</f>
        <v>43717</v>
      </c>
      <c r="K148" s="345">
        <f ca="1">_xll.qlCalendarAdvance(H148,J148,"2d")</f>
        <v>43719</v>
      </c>
      <c r="L148" s="345">
        <f ca="1">_xll.qlCalendarAdvance(H148,K148,E148,"unadjusted")</f>
        <v>47372</v>
      </c>
      <c r="M148" s="346" t="s">
        <v>7</v>
      </c>
      <c r="N148" s="346" t="s">
        <v>20</v>
      </c>
      <c r="O148" s="346" t="s">
        <v>21</v>
      </c>
      <c r="P148" s="346" t="s">
        <v>21</v>
      </c>
      <c r="Q148" s="346" t="s">
        <v>70</v>
      </c>
      <c r="R148" s="353" t="str">
        <f ca="1">_xll.qlSchedule(,K148,L148,M148,N148,O148,P148,Q148)</f>
        <v>obj_002e3#0001</v>
      </c>
      <c r="S148" s="346" t="s">
        <v>19</v>
      </c>
      <c r="T148" s="346" t="s">
        <v>20</v>
      </c>
      <c r="U148" s="346" t="s">
        <v>21</v>
      </c>
      <c r="V148" s="346" t="s">
        <v>21</v>
      </c>
      <c r="W148" s="346" t="s">
        <v>70</v>
      </c>
      <c r="X148" s="353" t="str">
        <f ca="1">_xll.qlSchedule(,K148,L148,S148,T148,U148,V148,W148)</f>
        <v>obj_001a5#0000</v>
      </c>
      <c r="Y148" s="349" t="s">
        <v>1742</v>
      </c>
      <c r="Z148" s="354" t="s">
        <v>36</v>
      </c>
      <c r="AA148" s="354" t="s">
        <v>1745</v>
      </c>
      <c r="AB148" s="353" t="str">
        <f ca="1">_xll.qlVanillaSwap(,,,R148,,Y148,X148,Z148,,AA148)</f>
        <v>obj_002f6#0001</v>
      </c>
      <c r="AC148" s="353" t="b">
        <f ca="1">_xll.qlInstrumentSetPricingEngine(AB148,_xll.qlDiscountingSwapEngine(,Curve!$S$16))</f>
        <v>1</v>
      </c>
      <c r="AD148" s="355" t="e">
        <f ca="1">_xll.qlVanillaSwapFairRate(AB148,AC148)</f>
        <v>#NUM!</v>
      </c>
      <c r="AE148" s="346" t="s">
        <v>1752</v>
      </c>
      <c r="AF148" s="347">
        <v>10000</v>
      </c>
      <c r="AG148" s="350" t="e">
        <f ca="1">_xll.qlVanillaSwap(,AE148,AF148,R148,AD148,Y148,X148,Z148,,AA148)</f>
        <v>#NUM!</v>
      </c>
      <c r="AH148" s="347" t="str">
        <f ca="1">_xll.qlEuropeanExercise(,J148)</f>
        <v>obj_00100#0000</v>
      </c>
      <c r="AI148" s="346" t="s">
        <v>1749</v>
      </c>
      <c r="AJ148" s="356" t="e">
        <f ca="1">_xll.qlSwaption(,AG148,AH148,AI148)</f>
        <v>#VALUE!</v>
      </c>
      <c r="AK148" s="357" t="str">
        <f ca="1">_xll.qlConstantSwaptionVolatility(,,H148,I148,F148)</f>
        <v>obj_0008b#0001</v>
      </c>
      <c r="AL148" s="357" t="e">
        <f ca="1">_xll.qlInstrumentSetPricingEngine(AJ148,_xll.qlBachelierBlackSwaptionEngine(,Curve!$S$16,AK148))</f>
        <v>#VALUE!</v>
      </c>
      <c r="AM148" s="358" t="e">
        <f ca="1">_xll.qlInstrumentNPV(AJ148,AL148)*2/_xll.qlYieldTSDiscount(Curve!$S$16,K148)</f>
        <v>#VALUE!</v>
      </c>
      <c r="AN148" s="358" t="e">
        <f ca="1">_xll.qlInstrumentResults(AJ148,"annuity",AL148)</f>
        <v>#VALUE!</v>
      </c>
      <c r="AO148" s="359" t="e">
        <f ca="1">G148/2*_xll.qlYieldTSDiscount(Curve!$S$16,K148)/AN148</f>
        <v>#VALUE!</v>
      </c>
      <c r="AP148" s="360" t="e">
        <f ca="1">_xll.qlBachelierBlackFormulaImpliedVol("Call",AD148,AD148,_xll.qlDayCounterYearFraction("Act/365 (Fixed)",C148,J148),AO148)</f>
        <v>#VALUE!</v>
      </c>
      <c r="AQ148" s="361" t="e">
        <f ca="1">_xll.qlBlackFormulaImpliedStdDev("Call",AD148,AD148,AO148)/SQRT(_xll.qlDayCounterYearFraction("Act/365 (Fixed)",C148,J148))</f>
        <v>#VALUE!</v>
      </c>
      <c r="AS148" s="363">
        <v>7.2872199186793246E-3</v>
      </c>
      <c r="AT148" s="363">
        <v>7.9937395873876591E-3</v>
      </c>
      <c r="AU148" s="365">
        <f t="shared" ca="1" si="10"/>
        <v>1.72780081320675E-4</v>
      </c>
      <c r="AV148" s="365">
        <f t="shared" ca="1" si="11"/>
        <v>-5.3373958738765943E-4</v>
      </c>
    </row>
    <row r="149" spans="2:48">
      <c r="B149" s="348" t="str">
        <f t="shared" ca="1" si="9"/>
        <v>5Yx10Y</v>
      </c>
      <c r="C149" s="345">
        <f t="shared" ca="1" si="8"/>
        <v>42254</v>
      </c>
      <c r="D149" s="346" t="s">
        <v>11</v>
      </c>
      <c r="E149" s="346" t="s">
        <v>16</v>
      </c>
      <c r="F149" s="351">
        <f ca="1">VLOOKUP(F$3&amp;$D149&amp;$E149,'Swaption Volatilities'!$V:$W,2,FALSE)%%</f>
        <v>7.4400000000000013E-3</v>
      </c>
      <c r="G149" s="352">
        <f ca="1">VLOOKUP(G$3&amp;$D149&amp;$E149,'Swaption Volatilities'!$V:$W,2,FALSE)</f>
        <v>1200</v>
      </c>
      <c r="H149" s="346" t="s">
        <v>20</v>
      </c>
      <c r="I149" s="346" t="s">
        <v>21</v>
      </c>
      <c r="J149" s="345">
        <f ca="1">_xll.qlCalendarAdvance(H149,C149,D149,I149)</f>
        <v>44081</v>
      </c>
      <c r="K149" s="345">
        <f ca="1">_xll.qlCalendarAdvance(H149,J149,"2d")</f>
        <v>44083</v>
      </c>
      <c r="L149" s="345">
        <f ca="1">_xll.qlCalendarAdvance(H149,K149,E149,"unadjusted")</f>
        <v>47735</v>
      </c>
      <c r="M149" s="346" t="s">
        <v>7</v>
      </c>
      <c r="N149" s="346" t="s">
        <v>20</v>
      </c>
      <c r="O149" s="346" t="s">
        <v>21</v>
      </c>
      <c r="P149" s="346" t="s">
        <v>21</v>
      </c>
      <c r="Q149" s="346" t="s">
        <v>70</v>
      </c>
      <c r="R149" s="353" t="str">
        <f ca="1">_xll.qlSchedule(,K149,L149,M149,N149,O149,P149,Q149)</f>
        <v>obj_004e0#0001</v>
      </c>
      <c r="S149" s="346" t="s">
        <v>19</v>
      </c>
      <c r="T149" s="346" t="s">
        <v>20</v>
      </c>
      <c r="U149" s="346" t="s">
        <v>21</v>
      </c>
      <c r="V149" s="346" t="s">
        <v>21</v>
      </c>
      <c r="W149" s="346" t="s">
        <v>70</v>
      </c>
      <c r="X149" s="353" t="str">
        <f ca="1">_xll.qlSchedule(,K149,L149,S149,T149,U149,V149,W149)</f>
        <v>obj_004e1#0001</v>
      </c>
      <c r="Y149" s="349" t="s">
        <v>1742</v>
      </c>
      <c r="Z149" s="354" t="s">
        <v>36</v>
      </c>
      <c r="AA149" s="354" t="s">
        <v>1745</v>
      </c>
      <c r="AB149" s="353" t="str">
        <f ca="1">_xll.qlVanillaSwap(,,,R149,,Y149,X149,Z149,,AA149)</f>
        <v>obj_00588#0001</v>
      </c>
      <c r="AC149" s="353" t="b">
        <f ca="1">_xll.qlInstrumentSetPricingEngine(AB149,_xll.qlDiscountingSwapEngine(,Curve!$S$16))</f>
        <v>1</v>
      </c>
      <c r="AD149" s="355" t="e">
        <f ca="1">_xll.qlVanillaSwapFairRate(AB149,AC149)</f>
        <v>#NUM!</v>
      </c>
      <c r="AE149" s="346" t="s">
        <v>1752</v>
      </c>
      <c r="AF149" s="347">
        <v>10000</v>
      </c>
      <c r="AG149" s="350" t="str">
        <f ca="1">_xll.qlVanillaSwap(,AE149,AF149,R149,AD149,Y149,X149,Z149,,AA149)</f>
        <v>obj_006c8#0000</v>
      </c>
      <c r="AH149" s="347" t="str">
        <f ca="1">_xll.qlEuropeanExercise(,J149)</f>
        <v>obj_002cc#0001</v>
      </c>
      <c r="AI149" s="346" t="s">
        <v>1749</v>
      </c>
      <c r="AJ149" s="356" t="str">
        <f ca="1">_xll.qlSwaption(,AG149,AH149,AI149)</f>
        <v>obj_00747#0001</v>
      </c>
      <c r="AK149" s="357" t="str">
        <f ca="1">_xll.qlConstantSwaptionVolatility(,,H149,I149,F149)</f>
        <v>obj_003c7#0001</v>
      </c>
      <c r="AL149" s="357" t="b">
        <f ca="1">_xll.qlInstrumentSetPricingEngine(AJ149,_xll.qlBachelierBlackSwaptionEngine(,Curve!$S$16,AK149))</f>
        <v>1</v>
      </c>
      <c r="AM149" s="358">
        <f ca="1">_xll.qlInstrumentNPV(AJ149,AL149)*2/_xll.qlYieldTSDiscount(Curve!$S$16,K149)</f>
        <v>1099.0028135220921</v>
      </c>
      <c r="AN149" s="358">
        <f ca="1">_xll.qlInstrumentResults(AJ149,"annuity",AL149)</f>
        <v>82291.785688965625</v>
      </c>
      <c r="AO149" s="359">
        <f ca="1">G149/2*_xll.qlYieldTSDiscount(Curve!$S$16,K149)/AN149</f>
        <v>7.2508393772622148E-3</v>
      </c>
      <c r="AP149" s="360" t="e">
        <f ca="1">_xll.qlBachelierBlackFormulaImpliedVol("Call",AD149,AD149,_xll.qlDayCounterYearFraction("Act/365 (Fixed)",C149,J149),AO149)</f>
        <v>#VALUE!</v>
      </c>
      <c r="AQ149" s="361" t="e">
        <f ca="1">_xll.qlBlackFormulaImpliedStdDev("Call",AD149,AD149,AO149)/SQRT(_xll.qlDayCounterYearFraction("Act/365 (Fixed)",C149,J149))</f>
        <v>#VALUE!</v>
      </c>
      <c r="AS149" s="363">
        <v>7.3012493603923385E-3</v>
      </c>
      <c r="AT149" s="363">
        <v>8.1237280652517105E-3</v>
      </c>
      <c r="AU149" s="365">
        <f t="shared" ca="1" si="10"/>
        <v>1.3875063960766282E-4</v>
      </c>
      <c r="AV149" s="365">
        <f t="shared" ca="1" si="11"/>
        <v>-6.8372806525170918E-4</v>
      </c>
    </row>
    <row r="150" spans="2:48">
      <c r="B150" s="348" t="str">
        <f t="shared" ca="1" si="9"/>
        <v>7Yx10Y</v>
      </c>
      <c r="C150" s="345">
        <f t="shared" ca="1" si="8"/>
        <v>42254</v>
      </c>
      <c r="D150" s="346" t="s">
        <v>13</v>
      </c>
      <c r="E150" s="346" t="s">
        <v>16</v>
      </c>
      <c r="F150" s="351">
        <f ca="1">VLOOKUP(F$3&amp;$D150&amp;$E150,'Swaption Volatilities'!$V:$W,2,FALSE)%%</f>
        <v>7.3900000000000007E-3</v>
      </c>
      <c r="G150" s="352">
        <f ca="1">VLOOKUP(G$3&amp;$D150&amp;$E150,'Swaption Volatilities'!$V:$W,2,FALSE)</f>
        <v>1396</v>
      </c>
      <c r="H150" s="346" t="s">
        <v>20</v>
      </c>
      <c r="I150" s="346" t="s">
        <v>21</v>
      </c>
      <c r="J150" s="345">
        <f ca="1">_xll.qlCalendarAdvance(H150,C150,D150,I150)</f>
        <v>44811</v>
      </c>
      <c r="K150" s="345">
        <f ca="1">_xll.qlCalendarAdvance(H150,J150,"2d")</f>
        <v>44813</v>
      </c>
      <c r="L150" s="345">
        <f ca="1">_xll.qlCalendarAdvance(H150,K150,E150,"unadjusted")</f>
        <v>48466</v>
      </c>
      <c r="M150" s="346" t="s">
        <v>7</v>
      </c>
      <c r="N150" s="346" t="s">
        <v>20</v>
      </c>
      <c r="O150" s="346" t="s">
        <v>21</v>
      </c>
      <c r="P150" s="346" t="s">
        <v>21</v>
      </c>
      <c r="Q150" s="346" t="s">
        <v>70</v>
      </c>
      <c r="R150" s="353" t="str">
        <f ca="1">_xll.qlSchedule(,K150,L150,M150,N150,O150,P150,Q150)</f>
        <v>obj_004d4#0001</v>
      </c>
      <c r="S150" s="346" t="s">
        <v>19</v>
      </c>
      <c r="T150" s="346" t="s">
        <v>20</v>
      </c>
      <c r="U150" s="346" t="s">
        <v>21</v>
      </c>
      <c r="V150" s="346" t="s">
        <v>21</v>
      </c>
      <c r="W150" s="346" t="s">
        <v>70</v>
      </c>
      <c r="X150" s="353" t="str">
        <f ca="1">_xll.qlSchedule(,K150,L150,S150,T150,U150,V150,W150)</f>
        <v>obj_004d5#0001</v>
      </c>
      <c r="Y150" s="349" t="s">
        <v>1742</v>
      </c>
      <c r="Z150" s="354" t="s">
        <v>36</v>
      </c>
      <c r="AA150" s="354" t="s">
        <v>1745</v>
      </c>
      <c r="AB150" s="353" t="str">
        <f ca="1">_xll.qlVanillaSwap(,,,R150,,Y150,X150,Z150,,AA150)</f>
        <v>obj_0057e#0001</v>
      </c>
      <c r="AC150" s="353" t="b">
        <f ca="1">_xll.qlInstrumentSetPricingEngine(AB150,_xll.qlDiscountingSwapEngine(,Curve!$S$16))</f>
        <v>1</v>
      </c>
      <c r="AD150" s="355" t="e">
        <f ca="1">_xll.qlVanillaSwapFairRate(AB150,AC150)</f>
        <v>#NUM!</v>
      </c>
      <c r="AE150" s="346" t="s">
        <v>1752</v>
      </c>
      <c r="AF150" s="347">
        <v>10000</v>
      </c>
      <c r="AG150" s="350" t="str">
        <f ca="1">_xll.qlVanillaSwap(,AE150,AF150,R150,AD150,Y150,X150,Z150,,AA150)</f>
        <v>obj_00691#0000</v>
      </c>
      <c r="AH150" s="347" t="str">
        <f ca="1">_xll.qlEuropeanExercise(,J150)</f>
        <v>obj_000c7#0000</v>
      </c>
      <c r="AI150" s="346" t="s">
        <v>1749</v>
      </c>
      <c r="AJ150" s="356" t="str">
        <f ca="1">_xll.qlSwaption(,AG150,AH150,AI150)</f>
        <v>obj_0074f#0001</v>
      </c>
      <c r="AK150" s="357" t="str">
        <f ca="1">_xll.qlConstantSwaptionVolatility(,,H150,I150,F150)</f>
        <v>obj_000c1#0001</v>
      </c>
      <c r="AL150" s="357" t="b">
        <f ca="1">_xll.qlInstrumentSetPricingEngine(AJ150,_xll.qlBachelierBlackSwaptionEngine(,Curve!$S$16,AK150))</f>
        <v>1</v>
      </c>
      <c r="AM150" s="358">
        <f ca="1">_xll.qlInstrumentNPV(AJ150,AL150)*2/_xll.qlYieldTSDiscount(Curve!$S$16,K150)</f>
        <v>1245.3834934226784</v>
      </c>
      <c r="AN150" s="358">
        <f ca="1">_xll.qlInstrumentResults(AJ150,"annuity",AL150)</f>
        <v>77692.153143581643</v>
      </c>
      <c r="AO150" s="359">
        <f ca="1">G150/2*_xll.qlYieldTSDiscount(Curve!$S$16,K150)/AN150</f>
        <v>8.7469319764250705E-3</v>
      </c>
      <c r="AP150" s="360" t="e">
        <f ca="1">_xll.qlBachelierBlackFormulaImpliedVol("Call",AD150,AD150,_xll.qlDayCounterYearFraction("Act/365 (Fixed)",C150,J150),AO150)</f>
        <v>#VALUE!</v>
      </c>
      <c r="AQ150" s="361" t="e">
        <f ca="1">_xll.qlBlackFormulaImpliedStdDev("Call",AD150,AD150,AO150)/SQRT(_xll.qlDayCounterYearFraction("Act/365 (Fixed)",C150,J150))</f>
        <v>#VALUE!</v>
      </c>
      <c r="AS150" s="363">
        <v>7.2927629954073151E-3</v>
      </c>
      <c r="AT150" s="363">
        <v>8.2837455727371306E-3</v>
      </c>
      <c r="AU150" s="365">
        <f t="shared" ca="1" si="10"/>
        <v>9.7237004592685625E-5</v>
      </c>
      <c r="AV150" s="365">
        <f t="shared" ca="1" si="11"/>
        <v>-8.937455727371299E-4</v>
      </c>
    </row>
    <row r="151" spans="2:48">
      <c r="B151" s="348" t="str">
        <f t="shared" ca="1" si="9"/>
        <v>10Yx10Y</v>
      </c>
      <c r="C151" s="345">
        <f t="shared" ca="1" si="8"/>
        <v>42254</v>
      </c>
      <c r="D151" s="346" t="s">
        <v>16</v>
      </c>
      <c r="E151" s="346" t="s">
        <v>16</v>
      </c>
      <c r="F151" s="351">
        <f ca="1">VLOOKUP(F$3&amp;$D151&amp;$E151,'Swaption Volatilities'!$V:$W,2,FALSE)%%</f>
        <v>7.2299999999999994E-3</v>
      </c>
      <c r="G151" s="352">
        <f ca="1">VLOOKUP(G$3&amp;$D151&amp;$E151,'Swaption Volatilities'!$V:$W,2,FALSE)</f>
        <v>1630</v>
      </c>
      <c r="H151" s="346" t="s">
        <v>20</v>
      </c>
      <c r="I151" s="346" t="s">
        <v>21</v>
      </c>
      <c r="J151" s="345">
        <f ca="1">_xll.qlCalendarAdvance(H151,C151,D151,I151)</f>
        <v>45908</v>
      </c>
      <c r="K151" s="345">
        <f ca="1">_xll.qlCalendarAdvance(H151,J151,"2d")</f>
        <v>45910</v>
      </c>
      <c r="L151" s="345">
        <f ca="1">_xll.qlCalendarAdvance(H151,K151,E151,"unadjusted")</f>
        <v>49562</v>
      </c>
      <c r="M151" s="346" t="s">
        <v>7</v>
      </c>
      <c r="N151" s="346" t="s">
        <v>20</v>
      </c>
      <c r="O151" s="346" t="s">
        <v>21</v>
      </c>
      <c r="P151" s="346" t="s">
        <v>21</v>
      </c>
      <c r="Q151" s="346" t="s">
        <v>70</v>
      </c>
      <c r="R151" s="353" t="str">
        <f ca="1">_xll.qlSchedule(,K151,L151,M151,N151,O151,P151,Q151)</f>
        <v>obj_00420#0001</v>
      </c>
      <c r="S151" s="346" t="s">
        <v>19</v>
      </c>
      <c r="T151" s="346" t="s">
        <v>20</v>
      </c>
      <c r="U151" s="346" t="s">
        <v>21</v>
      </c>
      <c r="V151" s="346" t="s">
        <v>21</v>
      </c>
      <c r="W151" s="346" t="s">
        <v>70</v>
      </c>
      <c r="X151" s="353" t="str">
        <f ca="1">_xll.qlSchedule(,K151,L151,S151,T151,U151,V151,W151)</f>
        <v>obj_0044b#0001</v>
      </c>
      <c r="Y151" s="349" t="s">
        <v>1742</v>
      </c>
      <c r="Z151" s="354" t="s">
        <v>36</v>
      </c>
      <c r="AA151" s="354" t="s">
        <v>1745</v>
      </c>
      <c r="AB151" s="353" t="str">
        <f ca="1">_xll.qlVanillaSwap(,,,R151,,Y151,X151,Z151,,AA151)</f>
        <v>obj_0050f#0001</v>
      </c>
      <c r="AC151" s="353" t="b">
        <f ca="1">_xll.qlInstrumentSetPricingEngine(AB151,_xll.qlDiscountingSwapEngine(,Curve!$S$16))</f>
        <v>1</v>
      </c>
      <c r="AD151" s="355" t="e">
        <f ca="1">_xll.qlVanillaSwapFairRate(AB151,AC151)</f>
        <v>#NUM!</v>
      </c>
      <c r="AE151" s="346" t="s">
        <v>1752</v>
      </c>
      <c r="AF151" s="347">
        <v>10000</v>
      </c>
      <c r="AG151" s="350" t="str">
        <f ca="1">_xll.qlVanillaSwap(,AE151,AF151,R151,AD151,Y151,X151,Z151,,AA151)</f>
        <v>obj_0065d#0000</v>
      </c>
      <c r="AH151" s="347" t="str">
        <f ca="1">_xll.qlEuropeanExercise(,J151)</f>
        <v>obj_000c9#0001</v>
      </c>
      <c r="AI151" s="346" t="s">
        <v>1749</v>
      </c>
      <c r="AJ151" s="356" t="str">
        <f ca="1">_xll.qlSwaption(,AG151,AH151,AI151)</f>
        <v>obj_007b7#0001</v>
      </c>
      <c r="AK151" s="357" t="str">
        <f ca="1">_xll.qlConstantSwaptionVolatility(,,H151,I151,F151)</f>
        <v>obj_0032d#0001</v>
      </c>
      <c r="AL151" s="357" t="b">
        <f ca="1">_xll.qlInstrumentSetPricingEngine(AJ151,_xll.qlBachelierBlackSwaptionEngine(,Curve!$S$16,AK151))</f>
        <v>1</v>
      </c>
      <c r="AM151" s="358">
        <f ca="1">_xll.qlInstrumentNPV(AJ151,AL151)*2/_xll.qlYieldTSDiscount(Curve!$S$16,K151)</f>
        <v>1431.6541364465854</v>
      </c>
      <c r="AN151" s="358">
        <f ca="1">_xll.qlInstrumentResults(AJ151,"annuity",AL151)</f>
        <v>72675.799158292095</v>
      </c>
      <c r="AO151" s="359">
        <f ca="1">G151/2*_xll.qlYieldTSDiscount(Curve!$S$16,K151)/AN151</f>
        <v>1.0390482001331089E-2</v>
      </c>
      <c r="AP151" s="360" t="e">
        <f ca="1">_xll.qlBachelierBlackFormulaImpliedVol("Call",AD151,AD151,_xll.qlDayCounterYearFraction("Act/365 (Fixed)",C151,J151),AO151)</f>
        <v>#VALUE!</v>
      </c>
      <c r="AQ151" s="361" t="e">
        <f ca="1">_xll.qlBlackFormulaImpliedStdDev("Call",AD151,AD151,AO151)/SQRT(_xll.qlDayCounterYearFraction("Act/365 (Fixed)",C151,J151))</f>
        <v>#VALUE!</v>
      </c>
      <c r="AS151" s="363">
        <v>7.1870406959334398E-3</v>
      </c>
      <c r="AT151" s="363">
        <v>8.2316669228858063E-3</v>
      </c>
      <c r="AU151" s="365">
        <f t="shared" ca="1" si="10"/>
        <v>4.2959304066559657E-5</v>
      </c>
      <c r="AV151" s="365">
        <f t="shared" ca="1" si="11"/>
        <v>-1.0016669228858069E-3</v>
      </c>
    </row>
    <row r="152" spans="2:48">
      <c r="B152" s="348" t="str">
        <f t="shared" ca="1" si="9"/>
        <v>15Yx10Y</v>
      </c>
      <c r="C152" s="345">
        <f t="shared" ca="1" si="8"/>
        <v>42254</v>
      </c>
      <c r="D152" s="346" t="s">
        <v>17</v>
      </c>
      <c r="E152" s="346" t="s">
        <v>16</v>
      </c>
      <c r="F152" s="351">
        <f ca="1">VLOOKUP(F$3&amp;$D152&amp;$E152,'Swaption Volatilities'!$V:$W,2,FALSE)%%</f>
        <v>6.8099999999999992E-3</v>
      </c>
      <c r="G152" s="352">
        <f ca="1">VLOOKUP(G$3&amp;$D152&amp;$E152,'Swaption Volatilities'!$V:$W,2,FALSE)</f>
        <v>1903</v>
      </c>
      <c r="H152" s="346" t="s">
        <v>20</v>
      </c>
      <c r="I152" s="346" t="s">
        <v>21</v>
      </c>
      <c r="J152" s="345">
        <f ca="1">_xll.qlCalendarAdvance(H152,C152,D152,I152)</f>
        <v>47735</v>
      </c>
      <c r="K152" s="345">
        <f ca="1">_xll.qlCalendarAdvance(H152,J152,"2d")</f>
        <v>47737</v>
      </c>
      <c r="L152" s="345">
        <f ca="1">_xll.qlCalendarAdvance(H152,K152,E152,"unadjusted")</f>
        <v>51390</v>
      </c>
      <c r="M152" s="346" t="s">
        <v>7</v>
      </c>
      <c r="N152" s="346" t="s">
        <v>20</v>
      </c>
      <c r="O152" s="346" t="s">
        <v>21</v>
      </c>
      <c r="P152" s="346" t="s">
        <v>21</v>
      </c>
      <c r="Q152" s="346" t="s">
        <v>70</v>
      </c>
      <c r="R152" s="353" t="str">
        <f ca="1">_xll.qlSchedule(,K152,L152,M152,N152,O152,P152,Q152)</f>
        <v>obj_00476#0000</v>
      </c>
      <c r="S152" s="346" t="s">
        <v>19</v>
      </c>
      <c r="T152" s="346" t="s">
        <v>20</v>
      </c>
      <c r="U152" s="346" t="s">
        <v>21</v>
      </c>
      <c r="V152" s="346" t="s">
        <v>21</v>
      </c>
      <c r="W152" s="346" t="s">
        <v>70</v>
      </c>
      <c r="X152" s="353" t="str">
        <f ca="1">_xll.qlSchedule(,K152,L152,S152,T152,U152,V152,W152)</f>
        <v>obj_00477#0001</v>
      </c>
      <c r="Y152" s="349" t="s">
        <v>1742</v>
      </c>
      <c r="Z152" s="354" t="s">
        <v>36</v>
      </c>
      <c r="AA152" s="354" t="s">
        <v>1745</v>
      </c>
      <c r="AB152" s="353" t="str">
        <f ca="1">_xll.qlVanillaSwap(,,,R152,,Y152,X152,Z152,,AA152)</f>
        <v>obj_00534#0001</v>
      </c>
      <c r="AC152" s="353" t="b">
        <f ca="1">_xll.qlInstrumentSetPricingEngine(AB152,_xll.qlDiscountingSwapEngine(,Curve!$S$16))</f>
        <v>1</v>
      </c>
      <c r="AD152" s="355" t="e">
        <f ca="1">_xll.qlVanillaSwapFairRate(AB152,AC152)</f>
        <v>#NUM!</v>
      </c>
      <c r="AE152" s="346" t="s">
        <v>1752</v>
      </c>
      <c r="AF152" s="347">
        <v>10000</v>
      </c>
      <c r="AG152" s="350" t="e">
        <f ca="1">_xll.qlVanillaSwap(,AE152,AF152,R152,AD152,Y152,X152,Z152,,AA152)</f>
        <v>#NUM!</v>
      </c>
      <c r="AH152" s="347" t="str">
        <f ca="1">_xll.qlEuropeanExercise(,J152)</f>
        <v>obj_00189#0000</v>
      </c>
      <c r="AI152" s="346" t="s">
        <v>1749</v>
      </c>
      <c r="AJ152" s="356" t="e">
        <f ca="1">_xll.qlSwaption(,AG152,AH152,AI152)</f>
        <v>#VALUE!</v>
      </c>
      <c r="AK152" s="357" t="str">
        <f ca="1">_xll.qlConstantSwaptionVolatility(,,H152,I152,F152)</f>
        <v>obj_0008a#0001</v>
      </c>
      <c r="AL152" s="357" t="e">
        <f ca="1">_xll.qlInstrumentSetPricingEngine(AJ152,_xll.qlBachelierBlackSwaptionEngine(,Curve!$S$16,AK152))</f>
        <v>#VALUE!</v>
      </c>
      <c r="AM152" s="358" t="e">
        <f ca="1">_xll.qlInstrumentNPV(AJ152,AL152)*2/_xll.qlYieldTSDiscount(Curve!$S$16,K152)</f>
        <v>#VALUE!</v>
      </c>
      <c r="AN152" s="358" t="e">
        <f ca="1">_xll.qlInstrumentResults(AJ152,"annuity",AL152)</f>
        <v>#VALUE!</v>
      </c>
      <c r="AO152" s="359" t="e">
        <f ca="1">G152/2*_xll.qlYieldTSDiscount(Curve!$S$16,K152)/AN152</f>
        <v>#VALUE!</v>
      </c>
      <c r="AP152" s="360" t="e">
        <f ca="1">_xll.qlBachelierBlackFormulaImpliedVol("Call",AD152,AD152,_xll.qlDayCounterYearFraction("Act/365 (Fixed)",C152,J152),AO152)</f>
        <v>#VALUE!</v>
      </c>
      <c r="AQ152" s="361" t="e">
        <f ca="1">_xll.qlBlackFormulaImpliedStdDev("Call",AD152,AD152,AO152)/SQRT(_xll.qlDayCounterYearFraction("Act/365 (Fixed)",C152,J152))</f>
        <v>#VALUE!</v>
      </c>
      <c r="AS152" s="363">
        <v>6.8053490477454287E-3</v>
      </c>
      <c r="AT152" s="363">
        <v>7.523359270540925E-3</v>
      </c>
      <c r="AU152" s="365">
        <f t="shared" ca="1" si="10"/>
        <v>4.6509522545704757E-6</v>
      </c>
      <c r="AV152" s="365">
        <f t="shared" ca="1" si="11"/>
        <v>-7.1335927054092581E-4</v>
      </c>
    </row>
    <row r="153" spans="2:48">
      <c r="B153" s="348" t="str">
        <f t="shared" ca="1" si="9"/>
        <v>20Yx10Y</v>
      </c>
      <c r="C153" s="345">
        <f t="shared" ca="1" si="8"/>
        <v>42254</v>
      </c>
      <c r="D153" s="346" t="s">
        <v>104</v>
      </c>
      <c r="E153" s="346" t="s">
        <v>16</v>
      </c>
      <c r="F153" s="351">
        <f ca="1">VLOOKUP(F$3&amp;$D153&amp;$E153,'Swaption Volatilities'!$V:$W,2,FALSE)%%</f>
        <v>6.3699999999999998E-3</v>
      </c>
      <c r="G153" s="352">
        <f ca="1">VLOOKUP(G$3&amp;$D153&amp;$E153,'Swaption Volatilities'!$V:$W,2,FALSE)</f>
        <v>2081</v>
      </c>
      <c r="H153" s="346" t="s">
        <v>20</v>
      </c>
      <c r="I153" s="346" t="s">
        <v>21</v>
      </c>
      <c r="J153" s="345">
        <f ca="1">_xll.qlCalendarAdvance(H153,C153,D153,I153)</f>
        <v>49559</v>
      </c>
      <c r="K153" s="345">
        <f ca="1">_xll.qlCalendarAdvance(H153,J153,"2d")</f>
        <v>49563</v>
      </c>
      <c r="L153" s="345">
        <f ca="1">_xll.qlCalendarAdvance(H153,K153,E153,"unadjusted")</f>
        <v>53216</v>
      </c>
      <c r="M153" s="346" t="s">
        <v>7</v>
      </c>
      <c r="N153" s="346" t="s">
        <v>20</v>
      </c>
      <c r="O153" s="346" t="s">
        <v>21</v>
      </c>
      <c r="P153" s="346" t="s">
        <v>21</v>
      </c>
      <c r="Q153" s="346" t="s">
        <v>70</v>
      </c>
      <c r="R153" s="353" t="str">
        <f ca="1">_xll.qlSchedule(,K153,L153,M153,N153,O153,P153,Q153)</f>
        <v>obj_0058e#0000</v>
      </c>
      <c r="S153" s="346" t="s">
        <v>19</v>
      </c>
      <c r="T153" s="346" t="s">
        <v>20</v>
      </c>
      <c r="U153" s="346" t="s">
        <v>21</v>
      </c>
      <c r="V153" s="346" t="s">
        <v>21</v>
      </c>
      <c r="W153" s="346" t="s">
        <v>70</v>
      </c>
      <c r="X153" s="353" t="str">
        <f ca="1">_xll.qlSchedule(,K153,L153,S153,T153,U153,V153,W153)</f>
        <v>obj_0058f#0001</v>
      </c>
      <c r="Y153" s="349" t="s">
        <v>1742</v>
      </c>
      <c r="Z153" s="354" t="s">
        <v>36</v>
      </c>
      <c r="AA153" s="354" t="s">
        <v>1745</v>
      </c>
      <c r="AB153" s="353" t="str">
        <f ca="1">_xll.qlVanillaSwap(,,,R153,,Y153,X153,Z153,,AA153)</f>
        <v>obj_00608#0001</v>
      </c>
      <c r="AC153" s="353" t="b">
        <f ca="1">_xll.qlInstrumentSetPricingEngine(AB153,_xll.qlDiscountingSwapEngine(,Curve!$S$16))</f>
        <v>1</v>
      </c>
      <c r="AD153" s="355" t="e">
        <f ca="1">_xll.qlVanillaSwapFairRate(AB153,AC153)</f>
        <v>#NUM!</v>
      </c>
      <c r="AE153" s="346" t="s">
        <v>1752</v>
      </c>
      <c r="AF153" s="347">
        <v>10000</v>
      </c>
      <c r="AG153" s="350" t="e">
        <f ca="1">_xll.qlVanillaSwap(,AE153,AF153,R153,AD153,Y153,X153,Z153,,AA153)</f>
        <v>#NUM!</v>
      </c>
      <c r="AH153" s="347" t="str">
        <f ca="1">_xll.qlEuropeanExercise(,J153)</f>
        <v>obj_004e8#0001</v>
      </c>
      <c r="AI153" s="346" t="s">
        <v>1749</v>
      </c>
      <c r="AJ153" s="356" t="e">
        <f ca="1">_xll.qlSwaption(,AG153,AH153,AI153)</f>
        <v>#VALUE!</v>
      </c>
      <c r="AK153" s="357" t="str">
        <f ca="1">_xll.qlConstantSwaptionVolatility(,,H153,I153,F153)</f>
        <v>obj_001ba#0001</v>
      </c>
      <c r="AL153" s="357" t="e">
        <f ca="1">_xll.qlInstrumentSetPricingEngine(AJ153,_xll.qlBachelierBlackSwaptionEngine(,Curve!$S$16,AK153))</f>
        <v>#VALUE!</v>
      </c>
      <c r="AM153" s="358">
        <f ca="1">_xll.qlInstrumentNPV(AJ153,AL153)*2/_xll.qlYieldTSDiscount(Curve!$S$16,K153)</f>
        <v>1970.6430681683282</v>
      </c>
      <c r="AN153" s="358" t="e">
        <f ca="1">_xll.qlInstrumentResults(AJ153,"annuity",AL153)</f>
        <v>#VALUE!</v>
      </c>
      <c r="AO153" s="359" t="e">
        <f ca="1">G153/2*_xll.qlYieldTSDiscount(Curve!$S$16,K153)/AN153</f>
        <v>#VALUE!</v>
      </c>
      <c r="AP153" s="360" t="e">
        <f ca="1">_xll.qlBachelierBlackFormulaImpliedVol("Call",AD153,AD153,_xll.qlDayCounterYearFraction("Act/365 (Fixed)",C153,J153),AO153)</f>
        <v>#VALUE!</v>
      </c>
      <c r="AQ153" s="361" t="e">
        <f ca="1">_xll.qlBlackFormulaImpliedStdDev("Call",AD153,AD153,AO153)/SQRT(_xll.qlDayCounterYearFraction("Act/365 (Fixed)",C153,J153))</f>
        <v>#VALUE!</v>
      </c>
      <c r="AS153" s="363">
        <v>6.3631712736702236E-3</v>
      </c>
      <c r="AT153" s="363">
        <v>6.7267229738976267E-3</v>
      </c>
      <c r="AU153" s="365">
        <f t="shared" ca="1" si="10"/>
        <v>6.8287263297762274E-6</v>
      </c>
      <c r="AV153" s="365">
        <f t="shared" ca="1" si="11"/>
        <v>-3.567229738976269E-4</v>
      </c>
    </row>
    <row r="154" spans="2:48">
      <c r="B154" s="348" t="str">
        <f t="shared" ca="1" si="9"/>
        <v>1Mx15Y</v>
      </c>
      <c r="C154" s="345">
        <f t="shared" ca="1" si="8"/>
        <v>42254</v>
      </c>
      <c r="D154" s="346" t="s">
        <v>23</v>
      </c>
      <c r="E154" s="346" t="s">
        <v>17</v>
      </c>
      <c r="F154" s="351">
        <f ca="1">VLOOKUP(F$3&amp;$D154&amp;$E154,'Swaption Volatilities'!$V:$W,2,FALSE)%%</f>
        <v>7.8799999999999999E-3</v>
      </c>
      <c r="G154" s="352">
        <f ca="1">VLOOKUP(G$3&amp;$D154&amp;$E154,'Swaption Volatilities'!$V:$W,2,FALSE)</f>
        <v>243</v>
      </c>
      <c r="H154" s="346" t="s">
        <v>20</v>
      </c>
      <c r="I154" s="346" t="s">
        <v>21</v>
      </c>
      <c r="J154" s="345">
        <f ca="1">_xll.qlCalendarAdvance(H154,C154,D154,I154)</f>
        <v>42284</v>
      </c>
      <c r="K154" s="345">
        <f ca="1">_xll.qlCalendarAdvance(H154,J154,"2d")</f>
        <v>42286</v>
      </c>
      <c r="L154" s="345">
        <f ca="1">_xll.qlCalendarAdvance(H154,K154,E154,"unadjusted")</f>
        <v>47765</v>
      </c>
      <c r="M154" s="346" t="s">
        <v>7</v>
      </c>
      <c r="N154" s="346" t="s">
        <v>20</v>
      </c>
      <c r="O154" s="346" t="s">
        <v>21</v>
      </c>
      <c r="P154" s="346" t="s">
        <v>21</v>
      </c>
      <c r="Q154" s="346" t="s">
        <v>70</v>
      </c>
      <c r="R154" s="353" t="str">
        <f ca="1">_xll.qlSchedule(,K154,L154,M154,N154,O154,P154,Q154)</f>
        <v>obj_0052d#0001</v>
      </c>
      <c r="S154" s="346" t="s">
        <v>19</v>
      </c>
      <c r="T154" s="346" t="s">
        <v>20</v>
      </c>
      <c r="U154" s="346" t="s">
        <v>21</v>
      </c>
      <c r="V154" s="346" t="s">
        <v>21</v>
      </c>
      <c r="W154" s="346" t="s">
        <v>70</v>
      </c>
      <c r="X154" s="353" t="str">
        <f ca="1">_xll.qlSchedule(,K154,L154,S154,T154,U154,V154,W154)</f>
        <v>obj_0052c#0001</v>
      </c>
      <c r="Y154" s="349" t="s">
        <v>1742</v>
      </c>
      <c r="Z154" s="354" t="s">
        <v>36</v>
      </c>
      <c r="AA154" s="354" t="s">
        <v>1745</v>
      </c>
      <c r="AB154" s="353" t="str">
        <f ca="1">_xll.qlVanillaSwap(,,,R154,,Y154,X154,Z154,,AA154)</f>
        <v>obj_005c8#0001</v>
      </c>
      <c r="AC154" s="353" t="b">
        <f ca="1">_xll.qlInstrumentSetPricingEngine(AB154,_xll.qlDiscountingSwapEngine(,Curve!$S$16))</f>
        <v>1</v>
      </c>
      <c r="AD154" s="355" t="e">
        <f ca="1">_xll.qlVanillaSwapFairRate(AB154,AC154)</f>
        <v>#NUM!</v>
      </c>
      <c r="AE154" s="346" t="s">
        <v>1752</v>
      </c>
      <c r="AF154" s="347">
        <v>10000</v>
      </c>
      <c r="AG154" s="350" t="e">
        <f ca="1">_xll.qlVanillaSwap(,AE154,AF154,R154,AD154,Y154,X154,Z154,,AA154)</f>
        <v>#NUM!</v>
      </c>
      <c r="AH154" s="347" t="str">
        <f ca="1">_xll.qlEuropeanExercise(,J154)</f>
        <v>obj_00121#0001</v>
      </c>
      <c r="AI154" s="346" t="s">
        <v>1749</v>
      </c>
      <c r="AJ154" s="356" t="e">
        <f ca="1">_xll.qlSwaption(,AG154,AH154,AI154)</f>
        <v>#VALUE!</v>
      </c>
      <c r="AK154" s="357" t="str">
        <f ca="1">_xll.qlConstantSwaptionVolatility(,,H154,I154,F154)</f>
        <v>obj_000c0#0001</v>
      </c>
      <c r="AL154" s="357" t="e">
        <f ca="1">_xll.qlInstrumentSetPricingEngine(AJ154,_xll.qlBachelierBlackSwaptionEngine(,Curve!$S$16,AK154))</f>
        <v>#VALUE!</v>
      </c>
      <c r="AM154" s="358" t="e">
        <f ca="1">_xll.qlInstrumentNPV(AJ154,AL154)*2/_xll.qlYieldTSDiscount(Curve!$S$16,K154)</f>
        <v>#VALUE!</v>
      </c>
      <c r="AN154" s="358">
        <f ca="1">_xll.qlInstrumentResults(AJ154,"annuity",AL154)</f>
        <v>134699.2678895322</v>
      </c>
      <c r="AO154" s="359">
        <f ca="1">G154/2*_xll.qlYieldTSDiscount(Curve!$S$16,K154)/AN154</f>
        <v>9.0211371620566461E-4</v>
      </c>
      <c r="AP154" s="360" t="e">
        <f ca="1">_xll.qlBachelierBlackFormulaImpliedVol("Call",AD154,AD154,_xll.qlDayCounterYearFraction("Act/365 (Fixed)",C154,J154),AO154)</f>
        <v>#VALUE!</v>
      </c>
      <c r="AQ154" s="361" t="e">
        <f ca="1">_xll.qlBlackFormulaImpliedStdDev("Call",AD154,AD154,AO154)/SQRT(_xll.qlDayCounterYearFraction("Act/365 (Fixed)",C154,J154))</f>
        <v>#VALUE!</v>
      </c>
      <c r="AS154" s="363">
        <v>7.511878757961379E-3</v>
      </c>
      <c r="AT154" s="363">
        <v>7.8874573730138096E-3</v>
      </c>
      <c r="AU154" s="365">
        <f t="shared" ca="1" si="10"/>
        <v>3.6812124203862082E-4</v>
      </c>
      <c r="AV154" s="365">
        <f t="shared" ca="1" si="11"/>
        <v>-7.4573730138097205E-6</v>
      </c>
    </row>
    <row r="155" spans="2:48">
      <c r="B155" s="348" t="str">
        <f t="shared" ca="1" si="9"/>
        <v>2Mx15Y</v>
      </c>
      <c r="C155" s="345">
        <f t="shared" ca="1" si="8"/>
        <v>42254</v>
      </c>
      <c r="D155" s="346" t="s">
        <v>398</v>
      </c>
      <c r="E155" s="346" t="s">
        <v>17</v>
      </c>
      <c r="F155" s="351">
        <f ca="1">VLOOKUP(F$3&amp;$D155&amp;$E155,'Swaption Volatilities'!$V:$W,2,FALSE)%%</f>
        <v>7.9000000000000008E-3</v>
      </c>
      <c r="G155" s="352">
        <f ca="1">VLOOKUP(G$3&amp;$D155&amp;$E155,'Swaption Volatilities'!$V:$W,2,FALSE)</f>
        <v>352</v>
      </c>
      <c r="H155" s="346" t="s">
        <v>20</v>
      </c>
      <c r="I155" s="346" t="s">
        <v>21</v>
      </c>
      <c r="J155" s="345">
        <f ca="1">_xll.qlCalendarAdvance(H155,C155,D155,I155)</f>
        <v>42317</v>
      </c>
      <c r="K155" s="345">
        <f ca="1">_xll.qlCalendarAdvance(H155,J155,"2d")</f>
        <v>42319</v>
      </c>
      <c r="L155" s="345">
        <f ca="1">_xll.qlCalendarAdvance(H155,K155,E155,"unadjusted")</f>
        <v>47798</v>
      </c>
      <c r="M155" s="346" t="s">
        <v>7</v>
      </c>
      <c r="N155" s="346" t="s">
        <v>20</v>
      </c>
      <c r="O155" s="346" t="s">
        <v>21</v>
      </c>
      <c r="P155" s="346" t="s">
        <v>21</v>
      </c>
      <c r="Q155" s="346" t="s">
        <v>70</v>
      </c>
      <c r="R155" s="353" t="str">
        <f ca="1">_xll.qlSchedule(,K155,L155,M155,N155,O155,P155,Q155)</f>
        <v>obj_004b0#0001</v>
      </c>
      <c r="S155" s="346" t="s">
        <v>19</v>
      </c>
      <c r="T155" s="346" t="s">
        <v>20</v>
      </c>
      <c r="U155" s="346" t="s">
        <v>21</v>
      </c>
      <c r="V155" s="346" t="s">
        <v>21</v>
      </c>
      <c r="W155" s="346" t="s">
        <v>70</v>
      </c>
      <c r="X155" s="353" t="str">
        <f ca="1">_xll.qlSchedule(,K155,L155,S155,T155,U155,V155,W155)</f>
        <v>obj_004b1#0001</v>
      </c>
      <c r="Y155" s="349" t="s">
        <v>1742</v>
      </c>
      <c r="Z155" s="354" t="s">
        <v>36</v>
      </c>
      <c r="AA155" s="354" t="s">
        <v>1745</v>
      </c>
      <c r="AB155" s="353" t="str">
        <f ca="1">_xll.qlVanillaSwap(,,,R155,,Y155,X155,Z155,,AA155)</f>
        <v>obj_0056e#0001</v>
      </c>
      <c r="AC155" s="353" t="b">
        <f ca="1">_xll.qlInstrumentSetPricingEngine(AB155,_xll.qlDiscountingSwapEngine(,Curve!$S$16))</f>
        <v>1</v>
      </c>
      <c r="AD155" s="355" t="e">
        <f ca="1">_xll.qlVanillaSwapFairRate(AB155,AC155)</f>
        <v>#NUM!</v>
      </c>
      <c r="AE155" s="346" t="s">
        <v>1752</v>
      </c>
      <c r="AF155" s="347">
        <v>10000</v>
      </c>
      <c r="AG155" s="350" t="str">
        <f ca="1">_xll.qlVanillaSwap(,AE155,AF155,R155,AD155,Y155,X155,Z155,,AA155)</f>
        <v>obj_006ca#0000</v>
      </c>
      <c r="AH155" s="347" t="str">
        <f ca="1">_xll.qlEuropeanExercise(,J155)</f>
        <v>obj_0041a#0001</v>
      </c>
      <c r="AI155" s="346" t="s">
        <v>1749</v>
      </c>
      <c r="AJ155" s="356" t="str">
        <f ca="1">_xll.qlSwaption(,AG155,AH155,AI155)</f>
        <v>obj_00789#0001</v>
      </c>
      <c r="AK155" s="357" t="str">
        <f ca="1">_xll.qlConstantSwaptionVolatility(,,H155,I155,F155)</f>
        <v>obj_000f9#0001</v>
      </c>
      <c r="AL155" s="357" t="b">
        <f ca="1">_xll.qlInstrumentSetPricingEngine(AJ155,_xll.qlBachelierBlackSwaptionEngine(,Curve!$S$16,AK155))</f>
        <v>1</v>
      </c>
      <c r="AM155" s="358">
        <f ca="1">_xll.qlInstrumentNPV(AJ155,AL155)*2/_xll.qlYieldTSDiscount(Curve!$S$16,K155)</f>
        <v>351.8901117641322</v>
      </c>
      <c r="AN155" s="358">
        <f ca="1">_xll.qlInstrumentResults(AJ155,"annuity",AL155)</f>
        <v>134406.34428918455</v>
      </c>
      <c r="AO155" s="359">
        <f ca="1">G155/2*_xll.qlYieldTSDiscount(Curve!$S$16,K155)/AN155</f>
        <v>1.3097747081350383E-3</v>
      </c>
      <c r="AP155" s="360" t="e">
        <f ca="1">_xll.qlBachelierBlackFormulaImpliedVol("Call",AD155,AD155,_xll.qlDayCounterYearFraction("Act/365 (Fixed)",C155,J155),AO155)</f>
        <v>#VALUE!</v>
      </c>
      <c r="AQ155" s="361" t="e">
        <f ca="1">_xll.qlBlackFormulaImpliedStdDev("Call",AD155,AD155,AO155)/SQRT(_xll.qlDayCounterYearFraction("Act/365 (Fixed)",C155,J155))</f>
        <v>#VALUE!</v>
      </c>
      <c r="AS155" s="363">
        <v>7.5181087951624297E-3</v>
      </c>
      <c r="AT155" s="363">
        <v>7.9024670118151806E-3</v>
      </c>
      <c r="AU155" s="365">
        <f t="shared" ca="1" si="10"/>
        <v>3.8189120483757104E-4</v>
      </c>
      <c r="AV155" s="365">
        <f t="shared" ca="1" si="11"/>
        <v>-2.4670118151798315E-6</v>
      </c>
    </row>
    <row r="156" spans="2:48">
      <c r="B156" s="348" t="str">
        <f t="shared" ca="1" si="9"/>
        <v>3Mx15Y</v>
      </c>
      <c r="C156" s="345">
        <f t="shared" ca="1" si="8"/>
        <v>42254</v>
      </c>
      <c r="D156" s="346" t="s">
        <v>26</v>
      </c>
      <c r="E156" s="346" t="s">
        <v>17</v>
      </c>
      <c r="F156" s="351">
        <f ca="1">VLOOKUP(F$3&amp;$D156&amp;$E156,'Swaption Volatilities'!$V:$W,2,FALSE)%%</f>
        <v>7.8399999999999997E-3</v>
      </c>
      <c r="G156" s="352">
        <f ca="1">VLOOKUP(G$3&amp;$D156&amp;$E156,'Swaption Volatilities'!$V:$W,2,FALSE)</f>
        <v>420</v>
      </c>
      <c r="H156" s="346" t="s">
        <v>20</v>
      </c>
      <c r="I156" s="346" t="s">
        <v>21</v>
      </c>
      <c r="J156" s="345">
        <f ca="1">_xll.qlCalendarAdvance(H156,C156,D156,I156)</f>
        <v>42345</v>
      </c>
      <c r="K156" s="345">
        <f ca="1">_xll.qlCalendarAdvance(H156,J156,"2d")</f>
        <v>42347</v>
      </c>
      <c r="L156" s="345">
        <f ca="1">_xll.qlCalendarAdvance(H156,K156,E156,"unadjusted")</f>
        <v>47826</v>
      </c>
      <c r="M156" s="346" t="s">
        <v>7</v>
      </c>
      <c r="N156" s="346" t="s">
        <v>20</v>
      </c>
      <c r="O156" s="346" t="s">
        <v>21</v>
      </c>
      <c r="P156" s="346" t="s">
        <v>21</v>
      </c>
      <c r="Q156" s="346" t="s">
        <v>70</v>
      </c>
      <c r="R156" s="353" t="str">
        <f ca="1">_xll.qlSchedule(,K156,L156,M156,N156,O156,P156,Q156)</f>
        <v>obj_004ef#0001</v>
      </c>
      <c r="S156" s="346" t="s">
        <v>19</v>
      </c>
      <c r="T156" s="346" t="s">
        <v>20</v>
      </c>
      <c r="U156" s="346" t="s">
        <v>21</v>
      </c>
      <c r="V156" s="346" t="s">
        <v>21</v>
      </c>
      <c r="W156" s="346" t="s">
        <v>70</v>
      </c>
      <c r="X156" s="353" t="str">
        <f ca="1">_xll.qlSchedule(,K156,L156,S156,T156,U156,V156,W156)</f>
        <v>obj_004ee#0000</v>
      </c>
      <c r="Y156" s="349" t="s">
        <v>1742</v>
      </c>
      <c r="Z156" s="354" t="s">
        <v>36</v>
      </c>
      <c r="AA156" s="354" t="s">
        <v>1745</v>
      </c>
      <c r="AB156" s="353" t="str">
        <f ca="1">_xll.qlVanillaSwap(,,,R156,,Y156,X156,Z156,,AA156)</f>
        <v>obj_00598#0001</v>
      </c>
      <c r="AC156" s="353" t="b">
        <f ca="1">_xll.qlInstrumentSetPricingEngine(AB156,_xll.qlDiscountingSwapEngine(,Curve!$S$16))</f>
        <v>1</v>
      </c>
      <c r="AD156" s="355">
        <f ca="1">_xll.qlVanillaSwapFairRate(AB156,AC156)</f>
        <v>1.3834315465116279E-2</v>
      </c>
      <c r="AE156" s="346" t="s">
        <v>1752</v>
      </c>
      <c r="AF156" s="347">
        <v>10000</v>
      </c>
      <c r="AG156" s="350" t="str">
        <f ca="1">_xll.qlVanillaSwap(,AE156,AF156,R156,AD156,Y156,X156,Z156,,AA156)</f>
        <v>obj_0060c#0000</v>
      </c>
      <c r="AH156" s="347" t="str">
        <f ca="1">_xll.qlEuropeanExercise(,J156)</f>
        <v>obj_0039d#0000</v>
      </c>
      <c r="AI156" s="346" t="s">
        <v>1749</v>
      </c>
      <c r="AJ156" s="356" t="str">
        <f ca="1">_xll.qlSwaption(,AG156,AH156,AI156)</f>
        <v>obj_006f7#0001</v>
      </c>
      <c r="AK156" s="357" t="str">
        <f ca="1">_xll.qlConstantSwaptionVolatility(,,H156,I156,F156)</f>
        <v>obj_000e1#0001</v>
      </c>
      <c r="AL156" s="357" t="b">
        <f ca="1">_xll.qlInstrumentSetPricingEngine(AJ156,_xll.qlBachelierBlackSwaptionEngine(,Curve!$S$16,AK156))</f>
        <v>1</v>
      </c>
      <c r="AM156" s="358">
        <f ca="1">_xll.qlInstrumentNPV(AJ156,AL156)*2/_xll.qlYieldTSDiscount(Curve!$S$16,K156)</f>
        <v>418.8662310042422</v>
      </c>
      <c r="AN156" s="358">
        <f ca="1">_xll.qlInstrumentResults(AJ156,"annuity",AL156)</f>
        <v>134151.42285117428</v>
      </c>
      <c r="AO156" s="359">
        <f ca="1">G156/2*_xll.qlYieldTSDiscount(Curve!$S$16,K156)/AN156</f>
        <v>1.5659371735462543E-3</v>
      </c>
      <c r="AP156" s="360">
        <f ca="1">_xll.qlBachelierBlackFormulaImpliedVol("Call",AD156,AD156,_xll.qlDayCounterYearFraction("Act/365 (Fixed)",C156,J156),AO156)</f>
        <v>7.8612209728756918E-3</v>
      </c>
      <c r="AQ156" s="361">
        <f ca="1">_xll.qlBlackFormulaImpliedStdDev("Call",AD156,AD156,AO156)/SQRT(_xll.qlDayCounterYearFraction("Act/365 (Fixed)",C156,J156))</f>
        <v>0.57016028459737955</v>
      </c>
      <c r="AS156" s="363">
        <v>7.4717549643689065E-3</v>
      </c>
      <c r="AT156" s="363">
        <v>7.8612209728756918E-3</v>
      </c>
      <c r="AU156" s="365">
        <f t="shared" ca="1" si="10"/>
        <v>3.6824503563109325E-4</v>
      </c>
      <c r="AV156" s="365">
        <f t="shared" ca="1" si="11"/>
        <v>-2.1220972875692079E-5</v>
      </c>
    </row>
    <row r="157" spans="2:48">
      <c r="B157" s="348" t="str">
        <f t="shared" ca="1" si="9"/>
        <v>6Mx15Y</v>
      </c>
      <c r="C157" s="345">
        <f t="shared" ca="1" si="8"/>
        <v>42254</v>
      </c>
      <c r="D157" s="346" t="s">
        <v>19</v>
      </c>
      <c r="E157" s="346" t="s">
        <v>17</v>
      </c>
      <c r="F157" s="351">
        <f ca="1">VLOOKUP(F$3&amp;$D157&amp;$E157,'Swaption Volatilities'!$V:$W,2,FALSE)%%</f>
        <v>7.5900000000000004E-3</v>
      </c>
      <c r="G157" s="352">
        <f ca="1">VLOOKUP(G$3&amp;$D157&amp;$E157,'Swaption Volatilities'!$V:$W,2,FALSE)</f>
        <v>573</v>
      </c>
      <c r="H157" s="346" t="s">
        <v>20</v>
      </c>
      <c r="I157" s="346" t="s">
        <v>21</v>
      </c>
      <c r="J157" s="345">
        <f ca="1">_xll.qlCalendarAdvance(H157,C157,D157,I157)</f>
        <v>42436</v>
      </c>
      <c r="K157" s="345">
        <f ca="1">_xll.qlCalendarAdvance(H157,J157,"2d")</f>
        <v>42438</v>
      </c>
      <c r="L157" s="345">
        <f ca="1">_xll.qlCalendarAdvance(H157,K157,E157,"unadjusted")</f>
        <v>47916</v>
      </c>
      <c r="M157" s="346" t="s">
        <v>7</v>
      </c>
      <c r="N157" s="346" t="s">
        <v>20</v>
      </c>
      <c r="O157" s="346" t="s">
        <v>21</v>
      </c>
      <c r="P157" s="346" t="s">
        <v>21</v>
      </c>
      <c r="Q157" s="346" t="s">
        <v>70</v>
      </c>
      <c r="R157" s="353" t="str">
        <f ca="1">_xll.qlSchedule(,K157,L157,M157,N157,O157,P157,Q157)</f>
        <v>obj_00485#0001</v>
      </c>
      <c r="S157" s="346" t="s">
        <v>19</v>
      </c>
      <c r="T157" s="346" t="s">
        <v>20</v>
      </c>
      <c r="U157" s="346" t="s">
        <v>21</v>
      </c>
      <c r="V157" s="346" t="s">
        <v>21</v>
      </c>
      <c r="W157" s="346" t="s">
        <v>70</v>
      </c>
      <c r="X157" s="353" t="str">
        <f ca="1">_xll.qlSchedule(,K157,L157,S157,T157,U157,V157,W157)</f>
        <v>obj_00486#0001</v>
      </c>
      <c r="Y157" s="349" t="s">
        <v>1742</v>
      </c>
      <c r="Z157" s="354" t="s">
        <v>36</v>
      </c>
      <c r="AA157" s="354" t="s">
        <v>1745</v>
      </c>
      <c r="AB157" s="353" t="str">
        <f ca="1">_xll.qlVanillaSwap(,,,R157,,Y157,X157,Z157,,AA157)</f>
        <v>obj_0054a#0001</v>
      </c>
      <c r="AC157" s="353" t="b">
        <f ca="1">_xll.qlInstrumentSetPricingEngine(AB157,_xll.qlDiscountingSwapEngine(,Curve!$S$16))</f>
        <v>1</v>
      </c>
      <c r="AD157" s="355" t="e">
        <f ca="1">_xll.qlVanillaSwapFairRate(AB157,AC157)</f>
        <v>#NUM!</v>
      </c>
      <c r="AE157" s="346" t="s">
        <v>1752</v>
      </c>
      <c r="AF157" s="347">
        <v>10000</v>
      </c>
      <c r="AG157" s="350" t="str">
        <f ca="1">_xll.qlVanillaSwap(,AE157,AF157,R157,AD157,Y157,X157,Z157,,AA157)</f>
        <v>obj_0065b#0000</v>
      </c>
      <c r="AH157" s="347" t="str">
        <f ca="1">_xll.qlEuropeanExercise(,J157)</f>
        <v>obj_00277#0001</v>
      </c>
      <c r="AI157" s="346" t="s">
        <v>1749</v>
      </c>
      <c r="AJ157" s="356" t="str">
        <f ca="1">_xll.qlSwaption(,AG157,AH157,AI157)</f>
        <v>obj_00755#0001</v>
      </c>
      <c r="AK157" s="357" t="str">
        <f ca="1">_xll.qlConstantSwaptionVolatility(,,H157,I157,F157)</f>
        <v>obj_00093#0001</v>
      </c>
      <c r="AL157" s="357" t="b">
        <f ca="1">_xll.qlInstrumentSetPricingEngine(AJ157,_xll.qlBachelierBlackSwaptionEngine(,Curve!$S$16,AK157))</f>
        <v>1</v>
      </c>
      <c r="AM157" s="358">
        <f ca="1">_xll.qlInstrumentNPV(AJ157,AL157)*2/_xll.qlYieldTSDiscount(Curve!$S$16,K157)</f>
        <v>569.79291824766869</v>
      </c>
      <c r="AN157" s="358">
        <f ca="1">_xll.qlInstrumentResults(AJ157,"annuity",AL157)</f>
        <v>133338.82791796947</v>
      </c>
      <c r="AO157" s="359">
        <f ca="1">G157/2*_xll.qlYieldTSDiscount(Curve!$S$16,K157)/AN157</f>
        <v>2.1501991121760512E-3</v>
      </c>
      <c r="AP157" s="360" t="e">
        <f ca="1">_xll.qlBachelierBlackFormulaImpliedVol("Call",AD157,AD157,_xll.qlDayCounterYearFraction("Act/365 (Fixed)",C157,J157),AO157)</f>
        <v>#VALUE!</v>
      </c>
      <c r="AQ157" s="361" t="e">
        <f ca="1">_xll.qlBlackFormulaImpliedStdDev("Call",AD157,AD157,AO157)/SQRT(_xll.qlDayCounterYearFraction("Act/365 (Fixed)",C157,J157))</f>
        <v>#VALUE!</v>
      </c>
      <c r="AS157" s="363">
        <v>7.2319185026049216E-3</v>
      </c>
      <c r="AT157" s="363">
        <v>7.6327203457968659E-3</v>
      </c>
      <c r="AU157" s="365">
        <f t="shared" ca="1" si="10"/>
        <v>3.5808149739507879E-4</v>
      </c>
      <c r="AV157" s="365">
        <f t="shared" ca="1" si="11"/>
        <v>-4.2720345796865532E-5</v>
      </c>
    </row>
    <row r="158" spans="2:48">
      <c r="B158" s="348" t="str">
        <f t="shared" ca="1" si="9"/>
        <v>9Mx15Y</v>
      </c>
      <c r="C158" s="345">
        <f t="shared" ca="1" si="8"/>
        <v>42254</v>
      </c>
      <c r="D158" s="346" t="s">
        <v>412</v>
      </c>
      <c r="E158" s="346" t="s">
        <v>17</v>
      </c>
      <c r="F158" s="351">
        <f ca="1">VLOOKUP(F$3&amp;$D158&amp;$E158,'Swaption Volatilities'!$V:$W,2,FALSE)%%</f>
        <v>7.4999999999999997E-3</v>
      </c>
      <c r="G158" s="352">
        <f ca="1">VLOOKUP(G$3&amp;$D158&amp;$E158,'Swaption Volatilities'!$V:$W,2,FALSE)</f>
        <v>694</v>
      </c>
      <c r="H158" s="346" t="s">
        <v>20</v>
      </c>
      <c r="I158" s="346" t="s">
        <v>21</v>
      </c>
      <c r="J158" s="345">
        <f ca="1">_xll.qlCalendarAdvance(H158,C158,D158,I158)</f>
        <v>42528</v>
      </c>
      <c r="K158" s="345">
        <f ca="1">_xll.qlCalendarAdvance(H158,J158,"2d")</f>
        <v>42530</v>
      </c>
      <c r="L158" s="345">
        <f ca="1">_xll.qlCalendarAdvance(H158,K158,E158,"unadjusted")</f>
        <v>48008</v>
      </c>
      <c r="M158" s="346" t="s">
        <v>7</v>
      </c>
      <c r="N158" s="346" t="s">
        <v>20</v>
      </c>
      <c r="O158" s="346" t="s">
        <v>21</v>
      </c>
      <c r="P158" s="346" t="s">
        <v>21</v>
      </c>
      <c r="Q158" s="346" t="s">
        <v>70</v>
      </c>
      <c r="R158" s="353" t="str">
        <f ca="1">_xll.qlSchedule(,K158,L158,M158,N158,O158,P158,Q158)</f>
        <v>obj_006e2#0001</v>
      </c>
      <c r="S158" s="346" t="s">
        <v>19</v>
      </c>
      <c r="T158" s="346" t="s">
        <v>20</v>
      </c>
      <c r="U158" s="346" t="s">
        <v>21</v>
      </c>
      <c r="V158" s="346" t="s">
        <v>21</v>
      </c>
      <c r="W158" s="346" t="s">
        <v>70</v>
      </c>
      <c r="X158" s="353" t="str">
        <f ca="1">_xll.qlSchedule(,K158,L158,S158,T158,U158,V158,W158)</f>
        <v>obj_002e2#0001</v>
      </c>
      <c r="Y158" s="349" t="s">
        <v>1742</v>
      </c>
      <c r="Z158" s="354" t="s">
        <v>36</v>
      </c>
      <c r="AA158" s="354" t="s">
        <v>1745</v>
      </c>
      <c r="AB158" s="353" t="str">
        <f ca="1">_xll.qlVanillaSwap(,,,R158,,Y158,X158,Z158,,AA158)</f>
        <v>obj_00710#0001</v>
      </c>
      <c r="AC158" s="353" t="b">
        <f ca="1">_xll.qlInstrumentSetPricingEngine(AB158,_xll.qlDiscountingSwapEngine(,Curve!$S$16))</f>
        <v>1</v>
      </c>
      <c r="AD158" s="355" t="e">
        <f ca="1">_xll.qlVanillaSwapFairRate(AB158,AC158)</f>
        <v>#NUM!</v>
      </c>
      <c r="AE158" s="346" t="s">
        <v>1752</v>
      </c>
      <c r="AF158" s="347">
        <v>10000</v>
      </c>
      <c r="AG158" s="350" t="e">
        <f ca="1">_xll.qlVanillaSwap(,AE158,AF158,R158,AD158,Y158,X158,Z158,,AA158)</f>
        <v>#NUM!</v>
      </c>
      <c r="AH158" s="347" t="str">
        <f ca="1">_xll.qlEuropeanExercise(,J158)</f>
        <v>obj_002da#0001</v>
      </c>
      <c r="AI158" s="346" t="s">
        <v>1749</v>
      </c>
      <c r="AJ158" s="356" t="e">
        <f ca="1">_xll.qlSwaption(,AG158,AH158,AI158)</f>
        <v>#VALUE!</v>
      </c>
      <c r="AK158" s="357" t="str">
        <f ca="1">_xll.qlConstantSwaptionVolatility(,,H158,I158,F158)</f>
        <v>obj_00182#0001</v>
      </c>
      <c r="AL158" s="357" t="e">
        <f ca="1">_xll.qlInstrumentSetPricingEngine(AJ158,_xll.qlBachelierBlackSwaptionEngine(,Curve!$S$16,AK158))</f>
        <v>#VALUE!</v>
      </c>
      <c r="AM158" s="358" t="e">
        <f ca="1">_xll.qlInstrumentNPV(AJ158,AL158)*2/_xll.qlYieldTSDiscount(Curve!$S$16,K158)</f>
        <v>#VALUE!</v>
      </c>
      <c r="AN158" s="358" t="e">
        <f ca="1">_xll.qlInstrumentResults(AJ158,"annuity",AL158)</f>
        <v>#VALUE!</v>
      </c>
      <c r="AO158" s="359" t="e">
        <f ca="1">G158/2*_xll.qlYieldTSDiscount(Curve!$S$16,K158)/AN158</f>
        <v>#VALUE!</v>
      </c>
      <c r="AP158" s="360" t="e">
        <f ca="1">_xll.qlBachelierBlackFormulaImpliedVol("Call",AD158,AD158,_xll.qlDayCounterYearFraction("Act/365 (Fixed)",C158,J158),AO158)</f>
        <v>#VALUE!</v>
      </c>
      <c r="AQ158" s="361" t="e">
        <f ca="1">_xll.qlBlackFormulaImpliedStdDev("Call",AD158,AD158,AO158)/SQRT(_xll.qlDayCounterYearFraction("Act/365 (Fixed)",C158,J158))</f>
        <v>#VALUE!</v>
      </c>
      <c r="AS158" s="363">
        <v>7.1659879690428403E-3</v>
      </c>
      <c r="AT158" s="363">
        <v>7.5872676593857213E-3</v>
      </c>
      <c r="AU158" s="365">
        <f t="shared" ca="1" si="10"/>
        <v>3.3401203095715943E-4</v>
      </c>
      <c r="AV158" s="365">
        <f t="shared" ca="1" si="11"/>
        <v>-8.7267659385721619E-5</v>
      </c>
    </row>
    <row r="159" spans="2:48">
      <c r="B159" s="348" t="str">
        <f t="shared" ca="1" si="9"/>
        <v>1Yx15Y</v>
      </c>
      <c r="C159" s="345">
        <f t="shared" ca="1" si="8"/>
        <v>42254</v>
      </c>
      <c r="D159" s="346" t="s">
        <v>7</v>
      </c>
      <c r="E159" s="346" t="s">
        <v>17</v>
      </c>
      <c r="F159" s="351">
        <f ca="1">VLOOKUP(F$3&amp;$D159&amp;$E159,'Swaption Volatilities'!$V:$W,2,FALSE)%%</f>
        <v>7.559999999999999E-3</v>
      </c>
      <c r="G159" s="352">
        <f ca="1">VLOOKUP(G$3&amp;$D159&amp;$E159,'Swaption Volatilities'!$V:$W,2,FALSE)</f>
        <v>807</v>
      </c>
      <c r="H159" s="346" t="s">
        <v>20</v>
      </c>
      <c r="I159" s="346" t="s">
        <v>21</v>
      </c>
      <c r="J159" s="345">
        <f ca="1">_xll.qlCalendarAdvance(H159,C159,D159,I159)</f>
        <v>42620</v>
      </c>
      <c r="K159" s="345">
        <f ca="1">_xll.qlCalendarAdvance(H159,J159,"2d")</f>
        <v>42622</v>
      </c>
      <c r="L159" s="345">
        <f ca="1">_xll.qlCalendarAdvance(H159,K159,E159,"unadjusted")</f>
        <v>48100</v>
      </c>
      <c r="M159" s="346" t="s">
        <v>7</v>
      </c>
      <c r="N159" s="346" t="s">
        <v>20</v>
      </c>
      <c r="O159" s="346" t="s">
        <v>21</v>
      </c>
      <c r="P159" s="346" t="s">
        <v>21</v>
      </c>
      <c r="Q159" s="346" t="s">
        <v>70</v>
      </c>
      <c r="R159" s="353" t="str">
        <f ca="1">_xll.qlSchedule(,K159,L159,M159,N159,O159,P159,Q159)</f>
        <v>obj_00614#0001</v>
      </c>
      <c r="S159" s="346" t="s">
        <v>19</v>
      </c>
      <c r="T159" s="346" t="s">
        <v>20</v>
      </c>
      <c r="U159" s="346" t="s">
        <v>21</v>
      </c>
      <c r="V159" s="346" t="s">
        <v>21</v>
      </c>
      <c r="W159" s="346" t="s">
        <v>70</v>
      </c>
      <c r="X159" s="353" t="str">
        <f ca="1">_xll.qlSchedule(,K159,L159,S159,T159,U159,V159,W159)</f>
        <v>obj_00613#0001</v>
      </c>
      <c r="Y159" s="349" t="s">
        <v>1742</v>
      </c>
      <c r="Z159" s="354" t="s">
        <v>36</v>
      </c>
      <c r="AA159" s="354" t="s">
        <v>1745</v>
      </c>
      <c r="AB159" s="353" t="str">
        <f ca="1">_xll.qlVanillaSwap(,,,R159,,Y159,X159,Z159,,AA159)</f>
        <v>obj_00635#0001</v>
      </c>
      <c r="AC159" s="353" t="b">
        <f ca="1">_xll.qlInstrumentSetPricingEngine(AB159,_xll.qlDiscountingSwapEngine(,Curve!$S$16))</f>
        <v>1</v>
      </c>
      <c r="AD159" s="355" t="e">
        <f ca="1">_xll.qlVanillaSwapFairRate(AB159,AC159)</f>
        <v>#NUM!</v>
      </c>
      <c r="AE159" s="346" t="s">
        <v>1752</v>
      </c>
      <c r="AF159" s="347">
        <v>10000</v>
      </c>
      <c r="AG159" s="350" t="str">
        <f ca="1">_xll.qlVanillaSwap(,AE159,AF159,R159,AD159,Y159,X159,Z159,,AA159)</f>
        <v>obj_00640#0000</v>
      </c>
      <c r="AH159" s="347" t="str">
        <f ca="1">_xll.qlEuropeanExercise(,J159)</f>
        <v>obj_0050b#0001</v>
      </c>
      <c r="AI159" s="346" t="s">
        <v>1749</v>
      </c>
      <c r="AJ159" s="356" t="str">
        <f ca="1">_xll.qlSwaption(,AG159,AH159,AI159)</f>
        <v>obj_00799#0001</v>
      </c>
      <c r="AK159" s="357" t="str">
        <f ca="1">_xll.qlConstantSwaptionVolatility(,,H159,I159,F159)</f>
        <v>obj_000be#0001</v>
      </c>
      <c r="AL159" s="357" t="b">
        <f ca="1">_xll.qlInstrumentSetPricingEngine(AJ159,_xll.qlBachelierBlackSwaptionEngine(,Curve!$S$16,AK159))</f>
        <v>1</v>
      </c>
      <c r="AM159" s="358">
        <f ca="1">_xll.qlInstrumentNPV(AJ159,AL159)*2/_xll.qlYieldTSDiscount(Curve!$S$16,K159)</f>
        <v>793.61626616719604</v>
      </c>
      <c r="AN159" s="358">
        <f ca="1">_xll.qlInstrumentResults(AJ159,"annuity",AL159)</f>
        <v>131586.62439861015</v>
      </c>
      <c r="AO159" s="359">
        <f ca="1">G159/2*_xll.qlYieldTSDiscount(Curve!$S$16,K159)/AN159</f>
        <v>3.0710645569814918E-3</v>
      </c>
      <c r="AP159" s="360" t="e">
        <f ca="1">_xll.qlBachelierBlackFormulaImpliedVol("Call",AD159,AD159,_xll.qlDayCounterYearFraction("Act/365 (Fixed)",C159,J159),AO159)</f>
        <v>#VALUE!</v>
      </c>
      <c r="AQ159" s="361" t="e">
        <f ca="1">_xll.qlBlackFormulaImpliedStdDev("Call",AD159,AD159,AO159)/SQRT(_xll.qlDayCounterYearFraction("Act/365 (Fixed)",C159,J159))</f>
        <v>#VALUE!</v>
      </c>
      <c r="AS159" s="363">
        <v>7.2369286931575627E-3</v>
      </c>
      <c r="AT159" s="363">
        <v>7.6874936415612886E-3</v>
      </c>
      <c r="AU159" s="365">
        <f t="shared" ca="1" si="10"/>
        <v>3.230713068424363E-4</v>
      </c>
      <c r="AV159" s="365">
        <f t="shared" ca="1" si="11"/>
        <v>-1.2749364156128956E-4</v>
      </c>
    </row>
    <row r="160" spans="2:48">
      <c r="B160" s="348" t="str">
        <f t="shared" ca="1" si="9"/>
        <v>18Mx15Y</v>
      </c>
      <c r="C160" s="345">
        <f t="shared" ca="1" si="8"/>
        <v>42254</v>
      </c>
      <c r="D160" s="346" t="s">
        <v>154</v>
      </c>
      <c r="E160" s="346" t="s">
        <v>17</v>
      </c>
      <c r="F160" s="351">
        <f ca="1">VLOOKUP(F$3&amp;$D160&amp;$E160,'Swaption Volatilities'!$V:$W,2,FALSE)%%</f>
        <v>7.559999999999999E-3</v>
      </c>
      <c r="G160" s="352">
        <f ca="1">VLOOKUP(G$3&amp;$D160&amp;$E160,'Swaption Volatilities'!$V:$W,2,FALSE)</f>
        <v>980</v>
      </c>
      <c r="H160" s="346" t="s">
        <v>20</v>
      </c>
      <c r="I160" s="346" t="s">
        <v>21</v>
      </c>
      <c r="J160" s="345">
        <f ca="1">_xll.qlCalendarAdvance(H160,C160,D160,I160)</f>
        <v>42801</v>
      </c>
      <c r="K160" s="345">
        <f ca="1">_xll.qlCalendarAdvance(H160,J160,"2d")</f>
        <v>42803</v>
      </c>
      <c r="L160" s="345">
        <f ca="1">_xll.qlCalendarAdvance(H160,K160,E160,"unadjusted")</f>
        <v>48282</v>
      </c>
      <c r="M160" s="346" t="s">
        <v>7</v>
      </c>
      <c r="N160" s="346" t="s">
        <v>20</v>
      </c>
      <c r="O160" s="346" t="s">
        <v>21</v>
      </c>
      <c r="P160" s="346" t="s">
        <v>21</v>
      </c>
      <c r="Q160" s="346" t="s">
        <v>70</v>
      </c>
      <c r="R160" s="353" t="str">
        <f ca="1">_xll.qlSchedule(,K160,L160,M160,N160,O160,P160,Q160)</f>
        <v>obj_00138#0001</v>
      </c>
      <c r="S160" s="346" t="s">
        <v>19</v>
      </c>
      <c r="T160" s="346" t="s">
        <v>20</v>
      </c>
      <c r="U160" s="346" t="s">
        <v>21</v>
      </c>
      <c r="V160" s="346" t="s">
        <v>21</v>
      </c>
      <c r="W160" s="346" t="s">
        <v>70</v>
      </c>
      <c r="X160" s="353" t="str">
        <f ca="1">_xll.qlSchedule(,K160,L160,S160,T160,U160,V160,W160)</f>
        <v>obj_00200#0001</v>
      </c>
      <c r="Y160" s="349" t="s">
        <v>1742</v>
      </c>
      <c r="Z160" s="354" t="s">
        <v>36</v>
      </c>
      <c r="AA160" s="354" t="s">
        <v>1745</v>
      </c>
      <c r="AB160" s="353" t="str">
        <f ca="1">_xll.qlVanillaSwap(,,,R160,,Y160,X160,Z160,,AA160)</f>
        <v>obj_00201#0000</v>
      </c>
      <c r="AC160" s="353" t="b">
        <f ca="1">_xll.qlInstrumentSetPricingEngine(AB160,_xll.qlDiscountingSwapEngine(,Curve!$S$16))</f>
        <v>1</v>
      </c>
      <c r="AD160" s="355" t="e">
        <f ca="1">_xll.qlVanillaSwapFairRate(AB160,AC160)</f>
        <v>#NUM!</v>
      </c>
      <c r="AE160" s="346" t="s">
        <v>1752</v>
      </c>
      <c r="AF160" s="347">
        <v>10000</v>
      </c>
      <c r="AG160" s="350" t="str">
        <f ca="1">_xll.qlVanillaSwap(,AE160,AF160,R160,AD160,Y160,X160,Z160,,AA160)</f>
        <v>obj_003f8#0000</v>
      </c>
      <c r="AH160" s="347" t="str">
        <f ca="1">_xll.qlEuropeanExercise(,J160)</f>
        <v>obj_001a4#0001</v>
      </c>
      <c r="AI160" s="346" t="s">
        <v>1749</v>
      </c>
      <c r="AJ160" s="356" t="str">
        <f ca="1">_xll.qlSwaption(,AG160,AH160,AI160)</f>
        <v>obj_006a1#0001</v>
      </c>
      <c r="AK160" s="357" t="str">
        <f ca="1">_xll.qlConstantSwaptionVolatility(,,H160,I160,F160)</f>
        <v>obj_00094#0001</v>
      </c>
      <c r="AL160" s="357" t="b">
        <f ca="1">_xll.qlInstrumentSetPricingEngine(AJ160,_xll.qlBachelierBlackSwaptionEngine(,Curve!$S$16,AK160))</f>
        <v>1</v>
      </c>
      <c r="AM160" s="358">
        <f ca="1">_xll.qlInstrumentNPV(AJ160,AL160)*2/_xll.qlYieldTSDiscount(Curve!$S$16,K160)</f>
        <v>956.41449902497584</v>
      </c>
      <c r="AN160" s="358">
        <f ca="1">_xll.qlInstrumentResults(AJ160,"annuity",AL160)</f>
        <v>129810.81602591215</v>
      </c>
      <c r="AO160" s="359">
        <f ca="1">G160/2*_xll.qlYieldTSDiscount(Curve!$S$16,K160)/AN160</f>
        <v>3.7831975229631934E-3</v>
      </c>
      <c r="AP160" s="360" t="e">
        <f ca="1">_xll.qlBachelierBlackFormulaImpliedVol("Call",AD160,AD160,_xll.qlDayCounterYearFraction("Act/365 (Fixed)",C160,J160),AO160)</f>
        <v>#VALUE!</v>
      </c>
      <c r="AQ160" s="361" t="e">
        <f ca="1">_xll.qlBlackFormulaImpliedStdDev("Call",AD160,AD160,AO160)/SQRT(_xll.qlDayCounterYearFraction("Act/365 (Fixed)",C160,J160))</f>
        <v>#VALUE!</v>
      </c>
      <c r="AS160" s="363">
        <v>7.243562044086313E-3</v>
      </c>
      <c r="AT160" s="363">
        <v>7.7464321249342896E-3</v>
      </c>
      <c r="AU160" s="365">
        <f t="shared" ca="1" si="10"/>
        <v>3.1643795591368602E-4</v>
      </c>
      <c r="AV160" s="365">
        <f t="shared" ca="1" si="11"/>
        <v>-1.8643212493429061E-4</v>
      </c>
    </row>
    <row r="161" spans="2:48">
      <c r="B161" s="348" t="str">
        <f t="shared" ca="1" si="9"/>
        <v>2Yx15Y</v>
      </c>
      <c r="C161" s="345">
        <f t="shared" ca="1" si="8"/>
        <v>42254</v>
      </c>
      <c r="D161" s="346" t="s">
        <v>8</v>
      </c>
      <c r="E161" s="346" t="s">
        <v>17</v>
      </c>
      <c r="F161" s="351">
        <f ca="1">VLOOKUP(F$3&amp;$D161&amp;$E161,'Swaption Volatilities'!$V:$W,2,FALSE)%%</f>
        <v>7.4799999999999997E-3</v>
      </c>
      <c r="G161" s="352">
        <f ca="1">VLOOKUP(G$3&amp;$D161&amp;$E161,'Swaption Volatilities'!$V:$W,2,FALSE)</f>
        <v>1115</v>
      </c>
      <c r="H161" s="346" t="s">
        <v>20</v>
      </c>
      <c r="I161" s="346" t="s">
        <v>21</v>
      </c>
      <c r="J161" s="345">
        <f ca="1">_xll.qlCalendarAdvance(H161,C161,D161,I161)</f>
        <v>42985</v>
      </c>
      <c r="K161" s="345">
        <f ca="1">_xll.qlCalendarAdvance(H161,J161,"2d")</f>
        <v>42989</v>
      </c>
      <c r="L161" s="345">
        <f ca="1">_xll.qlCalendarAdvance(H161,K161,E161,"unadjusted")</f>
        <v>48468</v>
      </c>
      <c r="M161" s="346" t="s">
        <v>7</v>
      </c>
      <c r="N161" s="346" t="s">
        <v>20</v>
      </c>
      <c r="O161" s="346" t="s">
        <v>21</v>
      </c>
      <c r="P161" s="346" t="s">
        <v>21</v>
      </c>
      <c r="Q161" s="346" t="s">
        <v>70</v>
      </c>
      <c r="R161" s="353" t="str">
        <f ca="1">_xll.qlSchedule(,K161,L161,M161,N161,O161,P161,Q161)</f>
        <v>obj_004ad#0001</v>
      </c>
      <c r="S161" s="346" t="s">
        <v>19</v>
      </c>
      <c r="T161" s="346" t="s">
        <v>20</v>
      </c>
      <c r="U161" s="346" t="s">
        <v>21</v>
      </c>
      <c r="V161" s="346" t="s">
        <v>21</v>
      </c>
      <c r="W161" s="346" t="s">
        <v>70</v>
      </c>
      <c r="X161" s="353" t="str">
        <f ca="1">_xll.qlSchedule(,K161,L161,S161,T161,U161,V161,W161)</f>
        <v>obj_004ac#0000</v>
      </c>
      <c r="Y161" s="349" t="s">
        <v>1742</v>
      </c>
      <c r="Z161" s="354" t="s">
        <v>36</v>
      </c>
      <c r="AA161" s="354" t="s">
        <v>1745</v>
      </c>
      <c r="AB161" s="353" t="str">
        <f ca="1">_xll.qlVanillaSwap(,,,R161,,Y161,X161,Z161,,AA161)</f>
        <v>obj_0056d#0001</v>
      </c>
      <c r="AC161" s="353" t="b">
        <f ca="1">_xll.qlInstrumentSetPricingEngine(AB161,_xll.qlDiscountingSwapEngine(,Curve!$S$16))</f>
        <v>1</v>
      </c>
      <c r="AD161" s="355" t="e">
        <f ca="1">_xll.qlVanillaSwapFairRate(AB161,AC161)</f>
        <v>#NUM!</v>
      </c>
      <c r="AE161" s="346" t="s">
        <v>1752</v>
      </c>
      <c r="AF161" s="347">
        <v>10000</v>
      </c>
      <c r="AG161" s="350" t="e">
        <f ca="1">_xll.qlVanillaSwap(,AE161,AF161,R161,AD161,Y161,X161,Z161,,AA161)</f>
        <v>#NUM!</v>
      </c>
      <c r="AH161" s="347" t="str">
        <f ca="1">_xll.qlEuropeanExercise(,J161)</f>
        <v>obj_0012c#0001</v>
      </c>
      <c r="AI161" s="346" t="s">
        <v>1749</v>
      </c>
      <c r="AJ161" s="356" t="e">
        <f ca="1">_xll.qlSwaption(,AG161,AH161,AI161)</f>
        <v>#VALUE!</v>
      </c>
      <c r="AK161" s="357" t="str">
        <f ca="1">_xll.qlConstantSwaptionVolatility(,,H161,I161,F161)</f>
        <v>obj_000cb#0001</v>
      </c>
      <c r="AL161" s="357" t="e">
        <f ca="1">_xll.qlInstrumentSetPricingEngine(AJ161,_xll.qlBachelierBlackSwaptionEngine(,Curve!$S$16,AK161))</f>
        <v>#VALUE!</v>
      </c>
      <c r="AM161" s="358" t="e">
        <f ca="1">_xll.qlInstrumentNPV(AJ161,AL161)*2/_xll.qlYieldTSDiscount(Curve!$S$16,K161)</f>
        <v>#VALUE!</v>
      </c>
      <c r="AN161" s="358" t="e">
        <f ca="1">_xll.qlInstrumentResults(AJ161,"annuity",AL161)</f>
        <v>#VALUE!</v>
      </c>
      <c r="AO161" s="359" t="e">
        <f ca="1">G161/2*_xll.qlYieldTSDiscount(Curve!$S$16,K161)/AN161</f>
        <v>#VALUE!</v>
      </c>
      <c r="AP161" s="360" t="e">
        <f ca="1">_xll.qlBachelierBlackFormulaImpliedVol("Call",AD161,AD161,_xll.qlDayCounterYearFraction("Act/365 (Fixed)",C161,J161),AO161)</f>
        <v>#VALUE!</v>
      </c>
      <c r="AQ161" s="361" t="e">
        <f ca="1">_xll.qlBlackFormulaImpliedStdDev("Call",AD161,AD161,AO161)/SQRT(_xll.qlDayCounterYearFraction("Act/365 (Fixed)",C161,J161))</f>
        <v>#VALUE!</v>
      </c>
      <c r="AS161" s="363">
        <v>7.1836218535547957E-3</v>
      </c>
      <c r="AT161" s="363">
        <v>7.7353291530045222E-3</v>
      </c>
      <c r="AU161" s="365">
        <f t="shared" ca="1" si="10"/>
        <v>2.9637814644520397E-4</v>
      </c>
      <c r="AV161" s="365">
        <f t="shared" ca="1" si="11"/>
        <v>-2.5532915300452257E-4</v>
      </c>
    </row>
    <row r="162" spans="2:48">
      <c r="B162" s="348" t="str">
        <f t="shared" ca="1" si="9"/>
        <v>3Yx15Y</v>
      </c>
      <c r="C162" s="345">
        <f t="shared" ca="1" si="8"/>
        <v>42254</v>
      </c>
      <c r="D162" s="346" t="s">
        <v>9</v>
      </c>
      <c r="E162" s="346" t="s">
        <v>17</v>
      </c>
      <c r="F162" s="351">
        <f ca="1">VLOOKUP(F$3&amp;$D162&amp;$E162,'Swaption Volatilities'!$V:$W,2,FALSE)%%</f>
        <v>7.4099999999999999E-3</v>
      </c>
      <c r="G162" s="352">
        <f ca="1">VLOOKUP(G$3&amp;$D162&amp;$E162,'Swaption Volatilities'!$V:$W,2,FALSE)</f>
        <v>1340</v>
      </c>
      <c r="H162" s="346" t="s">
        <v>20</v>
      </c>
      <c r="I162" s="346" t="s">
        <v>21</v>
      </c>
      <c r="J162" s="345">
        <f ca="1">_xll.qlCalendarAdvance(H162,C162,D162,I162)</f>
        <v>43350</v>
      </c>
      <c r="K162" s="345">
        <f ca="1">_xll.qlCalendarAdvance(H162,J162,"2d")</f>
        <v>43354</v>
      </c>
      <c r="L162" s="345">
        <f ca="1">_xll.qlCalendarAdvance(H162,K162,E162,"unadjusted")</f>
        <v>48833</v>
      </c>
      <c r="M162" s="346" t="s">
        <v>7</v>
      </c>
      <c r="N162" s="346" t="s">
        <v>20</v>
      </c>
      <c r="O162" s="346" t="s">
        <v>21</v>
      </c>
      <c r="P162" s="346" t="s">
        <v>21</v>
      </c>
      <c r="Q162" s="346" t="s">
        <v>70</v>
      </c>
      <c r="R162" s="353" t="str">
        <f ca="1">_xll.qlSchedule(,K162,L162,M162,N162,O162,P162,Q162)</f>
        <v>obj_00559#0001</v>
      </c>
      <c r="S162" s="346" t="s">
        <v>19</v>
      </c>
      <c r="T162" s="346" t="s">
        <v>20</v>
      </c>
      <c r="U162" s="346" t="s">
        <v>21</v>
      </c>
      <c r="V162" s="346" t="s">
        <v>21</v>
      </c>
      <c r="W162" s="346" t="s">
        <v>70</v>
      </c>
      <c r="X162" s="353" t="str">
        <f ca="1">_xll.qlSchedule(,K162,L162,S162,T162,U162,V162,W162)</f>
        <v>obj_00558#0001</v>
      </c>
      <c r="Y162" s="349" t="s">
        <v>1742</v>
      </c>
      <c r="Z162" s="354" t="s">
        <v>36</v>
      </c>
      <c r="AA162" s="354" t="s">
        <v>1745</v>
      </c>
      <c r="AB162" s="353" t="str">
        <f ca="1">_xll.qlVanillaSwap(,,,R162,,Y162,X162,Z162,,AA162)</f>
        <v>obj_005e0#0001</v>
      </c>
      <c r="AC162" s="353" t="b">
        <f ca="1">_xll.qlInstrumentSetPricingEngine(AB162,_xll.qlDiscountingSwapEngine(,Curve!$S$16))</f>
        <v>1</v>
      </c>
      <c r="AD162" s="355" t="e">
        <f ca="1">_xll.qlVanillaSwapFairRate(AB162,AC162)</f>
        <v>#NUM!</v>
      </c>
      <c r="AE162" s="346" t="s">
        <v>1752</v>
      </c>
      <c r="AF162" s="347">
        <v>10000</v>
      </c>
      <c r="AG162" s="350" t="e">
        <f ca="1">_xll.qlVanillaSwap(,AE162,AF162,R162,AD162,Y162,X162,Z162,,AA162)</f>
        <v>#NUM!</v>
      </c>
      <c r="AH162" s="347" t="str">
        <f ca="1">_xll.qlEuropeanExercise(,J162)</f>
        <v>obj_00497#0001</v>
      </c>
      <c r="AI162" s="346" t="s">
        <v>1749</v>
      </c>
      <c r="AJ162" s="356" t="e">
        <f ca="1">_xll.qlSwaption(,AG162,AH162,AI162)</f>
        <v>#VALUE!</v>
      </c>
      <c r="AK162" s="357" t="str">
        <f ca="1">_xll.qlConstantSwaptionVolatility(,,H162,I162,F162)</f>
        <v>obj_00261#0001</v>
      </c>
      <c r="AL162" s="357" t="e">
        <f ca="1">_xll.qlInstrumentSetPricingEngine(AJ162,_xll.qlBachelierBlackSwaptionEngine(,Curve!$S$16,AK162))</f>
        <v>#VALUE!</v>
      </c>
      <c r="AM162" s="358" t="e">
        <f ca="1">_xll.qlInstrumentNPV(AJ162,AL162)*2/_xll.qlYieldTSDiscount(Curve!$S$16,K162)</f>
        <v>#VALUE!</v>
      </c>
      <c r="AN162" s="358">
        <f ca="1">_xll.qlInstrumentResults(AJ162,"annuity",AL162)</f>
        <v>124335.02042719658</v>
      </c>
      <c r="AO162" s="359">
        <f ca="1">G162/2*_xll.qlYieldTSDiscount(Curve!$S$16,K162)/AN162</f>
        <v>5.4025113543451865E-3</v>
      </c>
      <c r="AP162" s="360" t="e">
        <f ca="1">_xll.qlBachelierBlackFormulaImpliedVol("Call",AD162,AD162,_xll.qlDayCounterYearFraction("Act/365 (Fixed)",C162,J162),AO162)</f>
        <v>#VALUE!</v>
      </c>
      <c r="AQ162" s="361" t="e">
        <f ca="1">_xll.qlBlackFormulaImpliedStdDev("Call",AD162,AD162,AO162)/SQRT(_xll.qlDayCounterYearFraction("Act/365 (Fixed)",C162,J162))</f>
        <v>#VALUE!</v>
      </c>
      <c r="AS162" s="363">
        <v>7.1604133517703117E-3</v>
      </c>
      <c r="AT162" s="363">
        <v>7.8149603268523448E-3</v>
      </c>
      <c r="AU162" s="365">
        <f t="shared" ca="1" si="10"/>
        <v>2.4958664822968823E-4</v>
      </c>
      <c r="AV162" s="365">
        <f t="shared" ca="1" si="11"/>
        <v>-4.0496032685234488E-4</v>
      </c>
    </row>
    <row r="163" spans="2:48">
      <c r="B163" s="348" t="str">
        <f t="shared" ca="1" si="9"/>
        <v>4Yx15Y</v>
      </c>
      <c r="C163" s="345">
        <f t="shared" ca="1" si="8"/>
        <v>42254</v>
      </c>
      <c r="D163" s="346" t="s">
        <v>10</v>
      </c>
      <c r="E163" s="346" t="s">
        <v>17</v>
      </c>
      <c r="F163" s="351">
        <f ca="1">VLOOKUP(F$3&amp;$D163&amp;$E163,'Swaption Volatilities'!$V:$W,2,FALSE)%%</f>
        <v>7.2400000000000008E-3</v>
      </c>
      <c r="G163" s="352">
        <f ca="1">VLOOKUP(G$3&amp;$D163&amp;$E163,'Swaption Volatilities'!$V:$W,2,FALSE)</f>
        <v>1501</v>
      </c>
      <c r="H163" s="346" t="s">
        <v>20</v>
      </c>
      <c r="I163" s="346" t="s">
        <v>21</v>
      </c>
      <c r="J163" s="345">
        <f ca="1">_xll.qlCalendarAdvance(H163,C163,D163,I163)</f>
        <v>43717</v>
      </c>
      <c r="K163" s="345">
        <f ca="1">_xll.qlCalendarAdvance(H163,J163,"2d")</f>
        <v>43719</v>
      </c>
      <c r="L163" s="345">
        <f ca="1">_xll.qlCalendarAdvance(H163,K163,E163,"unadjusted")</f>
        <v>49198</v>
      </c>
      <c r="M163" s="346" t="s">
        <v>7</v>
      </c>
      <c r="N163" s="346" t="s">
        <v>20</v>
      </c>
      <c r="O163" s="346" t="s">
        <v>21</v>
      </c>
      <c r="P163" s="346" t="s">
        <v>21</v>
      </c>
      <c r="Q163" s="346" t="s">
        <v>70</v>
      </c>
      <c r="R163" s="353" t="str">
        <f ca="1">_xll.qlSchedule(,K163,L163,M163,N163,O163,P163,Q163)</f>
        <v>obj_004a4#0000</v>
      </c>
      <c r="S163" s="346" t="s">
        <v>19</v>
      </c>
      <c r="T163" s="346" t="s">
        <v>20</v>
      </c>
      <c r="U163" s="346" t="s">
        <v>21</v>
      </c>
      <c r="V163" s="346" t="s">
        <v>21</v>
      </c>
      <c r="W163" s="346" t="s">
        <v>70</v>
      </c>
      <c r="X163" s="353" t="str">
        <f ca="1">_xll.qlSchedule(,K163,L163,S163,T163,U163,V163,W163)</f>
        <v>obj_004a5#0001</v>
      </c>
      <c r="Y163" s="349" t="s">
        <v>1742</v>
      </c>
      <c r="Z163" s="354" t="s">
        <v>36</v>
      </c>
      <c r="AA163" s="354" t="s">
        <v>1745</v>
      </c>
      <c r="AB163" s="353" t="str">
        <f ca="1">_xll.qlVanillaSwap(,,,R163,,Y163,X163,Z163,,AA163)</f>
        <v>obj_00569#0001</v>
      </c>
      <c r="AC163" s="353" t="b">
        <f ca="1">_xll.qlInstrumentSetPricingEngine(AB163,_xll.qlDiscountingSwapEngine(,Curve!$S$16))</f>
        <v>1</v>
      </c>
      <c r="AD163" s="355" t="e">
        <f ca="1">_xll.qlVanillaSwapFairRate(AB163,AC163)</f>
        <v>#NUM!</v>
      </c>
      <c r="AE163" s="346" t="s">
        <v>1752</v>
      </c>
      <c r="AF163" s="347">
        <v>10000</v>
      </c>
      <c r="AG163" s="350" t="str">
        <f ca="1">_xll.qlVanillaSwap(,AE163,AF163,R163,AD163,Y163,X163,Z163,,AA163)</f>
        <v>obj_006cb#0000</v>
      </c>
      <c r="AH163" s="347" t="str">
        <f ca="1">_xll.qlEuropeanExercise(,J163)</f>
        <v>obj_0011f#0001</v>
      </c>
      <c r="AI163" s="346" t="s">
        <v>1749</v>
      </c>
      <c r="AJ163" s="356" t="str">
        <f ca="1">_xll.qlSwaption(,AG163,AH163,AI163)</f>
        <v>obj_00766#0001</v>
      </c>
      <c r="AK163" s="357" t="str">
        <f ca="1">_xll.qlConstantSwaptionVolatility(,,H163,I163,F163)</f>
        <v>obj_001b9#0001</v>
      </c>
      <c r="AL163" s="357" t="b">
        <f ca="1">_xll.qlInstrumentSetPricingEngine(AJ163,_xll.qlBachelierBlackSwaptionEngine(,Curve!$S$16,AK163))</f>
        <v>1</v>
      </c>
      <c r="AM163" s="358">
        <f ca="1">_xll.qlInstrumentNPV(AJ163,AL163)*2/_xll.qlYieldTSDiscount(Curve!$S$16,K163)</f>
        <v>1396.7286466790827</v>
      </c>
      <c r="AN163" s="358">
        <f ca="1">_xll.qlInstrumentResults(AJ163,"annuity",AL163)</f>
        <v>120758.06823704715</v>
      </c>
      <c r="AO163" s="359">
        <f ca="1">G163/2*_xll.qlYieldTSDiscount(Curve!$S$16,K163)/AN163</f>
        <v>6.2143114361702771E-3</v>
      </c>
      <c r="AP163" s="360" t="e">
        <f ca="1">_xll.qlBachelierBlackFormulaImpliedVol("Call",AD163,AD163,_xll.qlDayCounterYearFraction("Act/365 (Fixed)",C163,J163),AO163)</f>
        <v>#VALUE!</v>
      </c>
      <c r="AQ163" s="361" t="e">
        <f ca="1">_xll.qlBlackFormulaImpliedStdDev("Call",AD163,AD163,AO163)/SQRT(_xll.qlDayCounterYearFraction("Act/365 (Fixed)",C163,J163))</f>
        <v>#VALUE!</v>
      </c>
      <c r="AS163" s="363">
        <v>7.0410667995192576E-3</v>
      </c>
      <c r="AT163" s="363">
        <v>7.7804948196905505E-3</v>
      </c>
      <c r="AU163" s="365">
        <f t="shared" ca="1" si="10"/>
        <v>1.9893320048074321E-4</v>
      </c>
      <c r="AV163" s="365">
        <f t="shared" ca="1" si="11"/>
        <v>-5.4049481969054968E-4</v>
      </c>
    </row>
    <row r="164" spans="2:48">
      <c r="B164" s="348" t="str">
        <f t="shared" ca="1" si="9"/>
        <v>5Yx15Y</v>
      </c>
      <c r="C164" s="345">
        <f t="shared" ca="1" si="8"/>
        <v>42254</v>
      </c>
      <c r="D164" s="346" t="s">
        <v>11</v>
      </c>
      <c r="E164" s="346" t="s">
        <v>17</v>
      </c>
      <c r="F164" s="351">
        <f ca="1">VLOOKUP(F$3&amp;$D164&amp;$E164,'Swaption Volatilities'!$V:$W,2,FALSE)%%</f>
        <v>7.0700000000000008E-3</v>
      </c>
      <c r="G164" s="352">
        <f ca="1">VLOOKUP(G$3&amp;$D164&amp;$E164,'Swaption Volatilities'!$V:$W,2,FALSE)</f>
        <v>1629</v>
      </c>
      <c r="H164" s="346" t="s">
        <v>20</v>
      </c>
      <c r="I164" s="346" t="s">
        <v>21</v>
      </c>
      <c r="J164" s="345">
        <f ca="1">_xll.qlCalendarAdvance(H164,C164,D164,I164)</f>
        <v>44081</v>
      </c>
      <c r="K164" s="345">
        <f ca="1">_xll.qlCalendarAdvance(H164,J164,"2d")</f>
        <v>44083</v>
      </c>
      <c r="L164" s="345">
        <f ca="1">_xll.qlCalendarAdvance(H164,K164,E164,"unadjusted")</f>
        <v>49561</v>
      </c>
      <c r="M164" s="346" t="s">
        <v>7</v>
      </c>
      <c r="N164" s="346" t="s">
        <v>20</v>
      </c>
      <c r="O164" s="346" t="s">
        <v>21</v>
      </c>
      <c r="P164" s="346" t="s">
        <v>21</v>
      </c>
      <c r="Q164" s="346" t="s">
        <v>70</v>
      </c>
      <c r="R164" s="353" t="str">
        <f ca="1">_xll.qlSchedule(,K164,L164,M164,N164,O164,P164,Q164)</f>
        <v>obj_0058b#0001</v>
      </c>
      <c r="S164" s="346" t="s">
        <v>19</v>
      </c>
      <c r="T164" s="346" t="s">
        <v>20</v>
      </c>
      <c r="U164" s="346" t="s">
        <v>21</v>
      </c>
      <c r="V164" s="346" t="s">
        <v>21</v>
      </c>
      <c r="W164" s="346" t="s">
        <v>70</v>
      </c>
      <c r="X164" s="353" t="str">
        <f ca="1">_xll.qlSchedule(,K164,L164,S164,T164,U164,V164,W164)</f>
        <v>obj_0058a#0001</v>
      </c>
      <c r="Y164" s="349" t="s">
        <v>1742</v>
      </c>
      <c r="Z164" s="354" t="s">
        <v>36</v>
      </c>
      <c r="AA164" s="354" t="s">
        <v>1745</v>
      </c>
      <c r="AB164" s="353" t="str">
        <f ca="1">_xll.qlVanillaSwap(,,,R164,,Y164,X164,Z164,,AA164)</f>
        <v>obj_00606#0001</v>
      </c>
      <c r="AC164" s="353" t="b">
        <f ca="1">_xll.qlInstrumentSetPricingEngine(AB164,_xll.qlDiscountingSwapEngine(,Curve!$S$16))</f>
        <v>1</v>
      </c>
      <c r="AD164" s="355" t="e">
        <f ca="1">_xll.qlVanillaSwapFairRate(AB164,AC164)</f>
        <v>#NUM!</v>
      </c>
      <c r="AE164" s="346" t="s">
        <v>1752</v>
      </c>
      <c r="AF164" s="347">
        <v>10000</v>
      </c>
      <c r="AG164" s="350" t="str">
        <f ca="1">_xll.qlVanillaSwap(,AE164,AF164,R164,AD164,Y164,X164,Z164,,AA164)</f>
        <v>obj_00649#0000</v>
      </c>
      <c r="AH164" s="347" t="str">
        <f ca="1">_xll.qlEuropeanExercise(,J164)</f>
        <v>obj_001ae#0001</v>
      </c>
      <c r="AI164" s="346" t="s">
        <v>1749</v>
      </c>
      <c r="AJ164" s="356" t="str">
        <f ca="1">_xll.qlSwaption(,AG164,AH164,AI164)</f>
        <v>obj_00758#0001</v>
      </c>
      <c r="AK164" s="357" t="str">
        <f ca="1">_xll.qlConstantSwaptionVolatility(,,H164,I164,F164)</f>
        <v>obj_00085#0001</v>
      </c>
      <c r="AL164" s="357" t="b">
        <f ca="1">_xll.qlInstrumentSetPricingEngine(AJ164,_xll.qlBachelierBlackSwaptionEngine(,Curve!$S$16,AK164))</f>
        <v>1</v>
      </c>
      <c r="AM164" s="358">
        <f ca="1">_xll.qlInstrumentNPV(AJ164,AL164)*2/_xll.qlYieldTSDiscount(Curve!$S$16,K164)</f>
        <v>1490.3979006698064</v>
      </c>
      <c r="AN164" s="358">
        <f ca="1">_xll.qlInstrumentResults(AJ164,"annuity",AL164)</f>
        <v>117439.29461596528</v>
      </c>
      <c r="AO164" s="359">
        <f ca="1">G164/2*_xll.qlYieldTSDiscount(Curve!$S$16,K164)/AN164</f>
        <v>6.8971738861583042E-3</v>
      </c>
      <c r="AP164" s="360" t="e">
        <f ca="1">_xll.qlBachelierBlackFormulaImpliedVol("Call",AD164,AD164,_xll.qlDayCounterYearFraction("Act/365 (Fixed)",C164,J164),AO164)</f>
        <v>#VALUE!</v>
      </c>
      <c r="AQ164" s="361" t="e">
        <f ca="1">_xll.qlBlackFormulaImpliedStdDev("Call",AD164,AD164,AO164)/SQRT(_xll.qlDayCounterYearFraction("Act/365 (Fixed)",C164,J164))</f>
        <v>#VALUE!</v>
      </c>
      <c r="AS164" s="363">
        <v>6.9196303369572576E-3</v>
      </c>
      <c r="AT164" s="363">
        <v>7.7274867301034625E-3</v>
      </c>
      <c r="AU164" s="365">
        <f t="shared" ca="1" si="10"/>
        <v>1.5036966304274313E-4</v>
      </c>
      <c r="AV164" s="365">
        <f t="shared" ca="1" si="11"/>
        <v>-6.5748673010346172E-4</v>
      </c>
    </row>
    <row r="165" spans="2:48">
      <c r="B165" s="348" t="str">
        <f t="shared" ca="1" si="9"/>
        <v>7Yx15Y</v>
      </c>
      <c r="C165" s="345">
        <f t="shared" ca="1" si="8"/>
        <v>42254</v>
      </c>
      <c r="D165" s="346" t="s">
        <v>13</v>
      </c>
      <c r="E165" s="346" t="s">
        <v>17</v>
      </c>
      <c r="F165" s="351">
        <f ca="1">VLOOKUP(F$3&amp;$D165&amp;$E165,'Swaption Volatilities'!$V:$W,2,FALSE)%%</f>
        <v>6.8700000000000002E-3</v>
      </c>
      <c r="G165" s="352">
        <f ca="1">VLOOKUP(G$3&amp;$D165&amp;$E165,'Swaption Volatilities'!$V:$W,2,FALSE)</f>
        <v>1861</v>
      </c>
      <c r="H165" s="346" t="s">
        <v>20</v>
      </c>
      <c r="I165" s="346" t="s">
        <v>21</v>
      </c>
      <c r="J165" s="345">
        <f ca="1">_xll.qlCalendarAdvance(H165,C165,D165,I165)</f>
        <v>44811</v>
      </c>
      <c r="K165" s="345">
        <f ca="1">_xll.qlCalendarAdvance(H165,J165,"2d")</f>
        <v>44813</v>
      </c>
      <c r="L165" s="345">
        <f ca="1">_xll.qlCalendarAdvance(H165,K165,E165,"unadjusted")</f>
        <v>50292</v>
      </c>
      <c r="M165" s="346" t="s">
        <v>7</v>
      </c>
      <c r="N165" s="346" t="s">
        <v>20</v>
      </c>
      <c r="O165" s="346" t="s">
        <v>21</v>
      </c>
      <c r="P165" s="346" t="s">
        <v>21</v>
      </c>
      <c r="Q165" s="346" t="s">
        <v>70</v>
      </c>
      <c r="R165" s="353" t="str">
        <f ca="1">_xll.qlSchedule(,K165,L165,M165,N165,O165,P165,Q165)</f>
        <v>obj_004fc#0001</v>
      </c>
      <c r="S165" s="346" t="s">
        <v>19</v>
      </c>
      <c r="T165" s="346" t="s">
        <v>20</v>
      </c>
      <c r="U165" s="346" t="s">
        <v>21</v>
      </c>
      <c r="V165" s="346" t="s">
        <v>21</v>
      </c>
      <c r="W165" s="346" t="s">
        <v>70</v>
      </c>
      <c r="X165" s="353" t="str">
        <f ca="1">_xll.qlSchedule(,K165,L165,S165,T165,U165,V165,W165)</f>
        <v>obj_004fb#0001</v>
      </c>
      <c r="Y165" s="349" t="s">
        <v>1742</v>
      </c>
      <c r="Z165" s="354" t="s">
        <v>36</v>
      </c>
      <c r="AA165" s="354" t="s">
        <v>1745</v>
      </c>
      <c r="AB165" s="353" t="str">
        <f ca="1">_xll.qlVanillaSwap(,,,R165,,Y165,X165,Z165,,AA165)</f>
        <v>obj_005a2#0001</v>
      </c>
      <c r="AC165" s="353" t="b">
        <f ca="1">_xll.qlInstrumentSetPricingEngine(AB165,_xll.qlDiscountingSwapEngine(,Curve!$S$16))</f>
        <v>1</v>
      </c>
      <c r="AD165" s="355">
        <f ca="1">_xll.qlVanillaSwapFairRate(AB165,AC165)</f>
        <v>2.0032289269354943E-2</v>
      </c>
      <c r="AE165" s="346" t="s">
        <v>1752</v>
      </c>
      <c r="AF165" s="347">
        <v>10000</v>
      </c>
      <c r="AG165" s="350" t="str">
        <f ca="1">_xll.qlVanillaSwap(,AE165,AF165,R165,AD165,Y165,X165,Z165,,AA165)</f>
        <v>obj_00612#0000</v>
      </c>
      <c r="AH165" s="347" t="str">
        <f ca="1">_xll.qlEuropeanExercise(,J165)</f>
        <v>obj_00107#0000</v>
      </c>
      <c r="AI165" s="346" t="s">
        <v>1749</v>
      </c>
      <c r="AJ165" s="356" t="str">
        <f ca="1">_xll.qlSwaption(,AG165,AH165,AI165)</f>
        <v>obj_00680#0001</v>
      </c>
      <c r="AK165" s="357" t="str">
        <f ca="1">_xll.qlConstantSwaptionVolatility(,,H165,I165,F165)</f>
        <v>obj_00089#0001</v>
      </c>
      <c r="AL165" s="357" t="b">
        <f ca="1">_xll.qlInstrumentSetPricingEngine(AJ165,_xll.qlBachelierBlackSwaptionEngine(,Curve!$S$16,AK165))</f>
        <v>1</v>
      </c>
      <c r="AM165" s="358">
        <f ca="1">_xll.qlInstrumentNPV(AJ165,AL165)*2/_xll.qlYieldTSDiscount(Curve!$S$16,K165)</f>
        <v>1665.9659125894764</v>
      </c>
      <c r="AN165" s="358">
        <f ca="1">_xll.qlInstrumentResults(AJ165,"annuity",AL165)</f>
        <v>111796.41180401655</v>
      </c>
      <c r="AO165" s="359">
        <f ca="1">G165/2*_xll.qlYieldTSDiscount(Curve!$S$16,K165)/AN165</f>
        <v>8.1033761107756723E-3</v>
      </c>
      <c r="AP165" s="360">
        <f ca="1">_xll.qlBachelierBlackFormulaImpliedVol("Call",AD165,AD165,_xll.qlDayCounterYearFraction("Act/365 (Fixed)",C165,J165),AO165)</f>
        <v>7.6742686650338818E-3</v>
      </c>
      <c r="AQ165" s="361">
        <f ca="1">_xll.qlBlackFormulaImpliedStdDev("Call",AD165,AD165,AO165)/SQRT(_xll.qlDayCounterYearFraction("Act/365 (Fixed)",C165,J165))</f>
        <v>0.40116984768452746</v>
      </c>
      <c r="AS165" s="363">
        <v>6.7878184437225311E-3</v>
      </c>
      <c r="AT165" s="363">
        <v>7.6742686650338818E-3</v>
      </c>
      <c r="AU165" s="365">
        <f t="shared" ca="1" si="10"/>
        <v>8.2181556277469148E-5</v>
      </c>
      <c r="AV165" s="365">
        <f t="shared" ca="1" si="11"/>
        <v>-8.0426866503388161E-4</v>
      </c>
    </row>
    <row r="166" spans="2:48">
      <c r="B166" s="348" t="str">
        <f t="shared" ca="1" si="9"/>
        <v>10Yx15Y</v>
      </c>
      <c r="C166" s="345">
        <f t="shared" ca="1" si="8"/>
        <v>42254</v>
      </c>
      <c r="D166" s="346" t="s">
        <v>16</v>
      </c>
      <c r="E166" s="346" t="s">
        <v>17</v>
      </c>
      <c r="F166" s="351">
        <f ca="1">VLOOKUP(F$3&amp;$D166&amp;$E166,'Swaption Volatilities'!$V:$W,2,FALSE)%%</f>
        <v>6.6799999999999993E-3</v>
      </c>
      <c r="G166" s="352">
        <f ca="1">VLOOKUP(G$3&amp;$D166&amp;$E166,'Swaption Volatilities'!$V:$W,2,FALSE)</f>
        <v>2171</v>
      </c>
      <c r="H166" s="346" t="s">
        <v>20</v>
      </c>
      <c r="I166" s="346" t="s">
        <v>21</v>
      </c>
      <c r="J166" s="345">
        <f ca="1">_xll.qlCalendarAdvance(H166,C166,D166,I166)</f>
        <v>45908</v>
      </c>
      <c r="K166" s="345">
        <f ca="1">_xll.qlCalendarAdvance(H166,J166,"2d")</f>
        <v>45910</v>
      </c>
      <c r="L166" s="345">
        <f ca="1">_xll.qlCalendarAdvance(H166,K166,E166,"unadjusted")</f>
        <v>51389</v>
      </c>
      <c r="M166" s="346" t="s">
        <v>7</v>
      </c>
      <c r="N166" s="346" t="s">
        <v>20</v>
      </c>
      <c r="O166" s="346" t="s">
        <v>21</v>
      </c>
      <c r="P166" s="346" t="s">
        <v>21</v>
      </c>
      <c r="Q166" s="346" t="s">
        <v>70</v>
      </c>
      <c r="R166" s="353" t="str">
        <f ca="1">_xll.qlSchedule(,K166,L166,M166,N166,O166,P166,Q166)</f>
        <v>obj_005b4#0001</v>
      </c>
      <c r="S166" s="346" t="s">
        <v>19</v>
      </c>
      <c r="T166" s="346" t="s">
        <v>20</v>
      </c>
      <c r="U166" s="346" t="s">
        <v>21</v>
      </c>
      <c r="V166" s="346" t="s">
        <v>21</v>
      </c>
      <c r="W166" s="346" t="s">
        <v>70</v>
      </c>
      <c r="X166" s="353" t="str">
        <f ca="1">_xll.qlSchedule(,K166,L166,S166,T166,U166,V166,W166)</f>
        <v>obj_006e9#0001</v>
      </c>
      <c r="Y166" s="349" t="s">
        <v>1742</v>
      </c>
      <c r="Z166" s="354" t="s">
        <v>36</v>
      </c>
      <c r="AA166" s="354" t="s">
        <v>1745</v>
      </c>
      <c r="AB166" s="353" t="str">
        <f ca="1">_xll.qlVanillaSwap(,,,R166,,Y166,X166,Z166,,AA166)</f>
        <v>obj_006ea#0000</v>
      </c>
      <c r="AC166" s="353" t="b">
        <f ca="1">_xll.qlInstrumentSetPricingEngine(AB166,_xll.qlDiscountingSwapEngine(,Curve!$S$16))</f>
        <v>1</v>
      </c>
      <c r="AD166" s="355" t="e">
        <f ca="1">_xll.qlVanillaSwapFairRate(AB166,AC166)</f>
        <v>#NUM!</v>
      </c>
      <c r="AE166" s="346" t="s">
        <v>1752</v>
      </c>
      <c r="AF166" s="347">
        <v>10000</v>
      </c>
      <c r="AG166" s="350" t="e">
        <f ca="1">_xll.qlVanillaSwap(,AE166,AF166,R166,AD166,Y166,X166,Z166,,AA166)</f>
        <v>#NUM!</v>
      </c>
      <c r="AH166" s="347" t="str">
        <f ca="1">_xll.qlEuropeanExercise(,J166)</f>
        <v>obj_0051b#0001</v>
      </c>
      <c r="AI166" s="346" t="s">
        <v>1749</v>
      </c>
      <c r="AJ166" s="356" t="e">
        <f ca="1">_xll.qlSwaption(,AG166,AH166,AI166)</f>
        <v>#VALUE!</v>
      </c>
      <c r="AK166" s="357" t="str">
        <f ca="1">_xll.qlConstantSwaptionVolatility(,,H166,I166,F166)</f>
        <v>obj_000bf#0001</v>
      </c>
      <c r="AL166" s="357" t="e">
        <f ca="1">_xll.qlInstrumentSetPricingEngine(AJ166,_xll.qlBachelierBlackSwaptionEngine(,Curve!$S$16,AK166))</f>
        <v>#VALUE!</v>
      </c>
      <c r="AM166" s="358" t="e">
        <f ca="1">_xll.qlInstrumentNPV(AJ166,AL166)*2/_xll.qlYieldTSDiscount(Curve!$S$16,K166)</f>
        <v>#VALUE!</v>
      </c>
      <c r="AN166" s="358">
        <f ca="1">_xll.qlInstrumentResults(AJ166,"annuity",AL166)</f>
        <v>105965.14037023675</v>
      </c>
      <c r="AO166" s="359">
        <f ca="1">G166/2*_xll.qlYieldTSDiscount(Curve!$S$16,K166)/AN166</f>
        <v>9.4914969330560633E-3</v>
      </c>
      <c r="AP166" s="360" t="e">
        <f ca="1">_xll.qlBachelierBlackFormulaImpliedVol("Call",AD166,AD166,_xll.qlDayCounterYearFraction("Act/365 (Fixed)",C166,J166),AO166)</f>
        <v>#VALUE!</v>
      </c>
      <c r="AQ166" s="361" t="e">
        <f ca="1">_xll.qlBlackFormulaImpliedStdDev("Call",AD166,AD166,AO166)/SQRT(_xll.qlDayCounterYearFraction("Act/365 (Fixed)",C166,J166))</f>
        <v>#VALUE!</v>
      </c>
      <c r="AS166" s="363">
        <v>6.6673421294681217E-3</v>
      </c>
      <c r="AT166" s="363">
        <v>7.5194626526950917E-3</v>
      </c>
      <c r="AU166" s="365">
        <f t="shared" ca="1" si="10"/>
        <v>1.2657870531877606E-5</v>
      </c>
      <c r="AV166" s="365">
        <f t="shared" ca="1" si="11"/>
        <v>-8.3946265269509244E-4</v>
      </c>
    </row>
    <row r="167" spans="2:48">
      <c r="B167" s="348" t="str">
        <f t="shared" ca="1" si="9"/>
        <v>15Yx15Y</v>
      </c>
      <c r="C167" s="345">
        <f t="shared" ca="1" si="8"/>
        <v>42254</v>
      </c>
      <c r="D167" s="346" t="s">
        <v>17</v>
      </c>
      <c r="E167" s="346" t="s">
        <v>17</v>
      </c>
      <c r="F167" s="351">
        <f ca="1">VLOOKUP(F$3&amp;$D167&amp;$E167,'Swaption Volatilities'!$V:$W,2,FALSE)%%</f>
        <v>6.28E-3</v>
      </c>
      <c r="G167" s="352">
        <f ca="1">VLOOKUP(G$3&amp;$D167&amp;$E167,'Swaption Volatilities'!$V:$W,2,FALSE)</f>
        <v>2534</v>
      </c>
      <c r="H167" s="346" t="s">
        <v>20</v>
      </c>
      <c r="I167" s="346" t="s">
        <v>21</v>
      </c>
      <c r="J167" s="345">
        <f ca="1">_xll.qlCalendarAdvance(H167,C167,D167,I167)</f>
        <v>47735</v>
      </c>
      <c r="K167" s="345">
        <f ca="1">_xll.qlCalendarAdvance(H167,J167,"2d")</f>
        <v>47737</v>
      </c>
      <c r="L167" s="345">
        <f ca="1">_xll.qlCalendarAdvance(H167,K167,E167,"unadjusted")</f>
        <v>53216</v>
      </c>
      <c r="M167" s="346" t="s">
        <v>7</v>
      </c>
      <c r="N167" s="346" t="s">
        <v>20</v>
      </c>
      <c r="O167" s="346" t="s">
        <v>21</v>
      </c>
      <c r="P167" s="346" t="s">
        <v>21</v>
      </c>
      <c r="Q167" s="346" t="s">
        <v>70</v>
      </c>
      <c r="R167" s="353" t="str">
        <f ca="1">_xll.qlSchedule(,K167,L167,M167,N167,O167,P167,Q167)</f>
        <v>obj_006e0#0001</v>
      </c>
      <c r="S167" s="346" t="s">
        <v>19</v>
      </c>
      <c r="T167" s="346" t="s">
        <v>20</v>
      </c>
      <c r="U167" s="346" t="s">
        <v>21</v>
      </c>
      <c r="V167" s="346" t="s">
        <v>21</v>
      </c>
      <c r="W167" s="346" t="s">
        <v>70</v>
      </c>
      <c r="X167" s="353" t="str">
        <f ca="1">_xll.qlSchedule(,K167,L167,S167,T167,U167,V167,W167)</f>
        <v>obj_0033c#0001</v>
      </c>
      <c r="Y167" s="349" t="s">
        <v>1742</v>
      </c>
      <c r="Z167" s="354" t="s">
        <v>36</v>
      </c>
      <c r="AA167" s="354" t="s">
        <v>1745</v>
      </c>
      <c r="AB167" s="353" t="str">
        <f ca="1">_xll.qlVanillaSwap(,,,R167,,Y167,X167,Z167,,AA167)</f>
        <v>obj_0070f#0001</v>
      </c>
      <c r="AC167" s="353" t="b">
        <f ca="1">_xll.qlInstrumentSetPricingEngine(AB167,_xll.qlDiscountingSwapEngine(,Curve!$S$16))</f>
        <v>1</v>
      </c>
      <c r="AD167" s="355" t="e">
        <f ca="1">_xll.qlVanillaSwapFairRate(AB167,AC167)</f>
        <v>#NUM!</v>
      </c>
      <c r="AE167" s="346" t="s">
        <v>1752</v>
      </c>
      <c r="AF167" s="347">
        <v>10000</v>
      </c>
      <c r="AG167" s="350" t="e">
        <f ca="1">_xll.qlVanillaSwap(,AE167,AF167,R167,AD167,Y167,X167,Z167,,AA167)</f>
        <v>#NUM!</v>
      </c>
      <c r="AH167" s="347" t="str">
        <f ca="1">_xll.qlEuropeanExercise(,J167)</f>
        <v>obj_001d8#0001</v>
      </c>
      <c r="AI167" s="346" t="s">
        <v>1749</v>
      </c>
      <c r="AJ167" s="356" t="e">
        <f ca="1">_xll.qlSwaption(,AG167,AH167,AI167)</f>
        <v>#VALUE!</v>
      </c>
      <c r="AK167" s="357" t="str">
        <f ca="1">_xll.qlConstantSwaptionVolatility(,,H167,I167,F167)</f>
        <v>obj_000fa#0001</v>
      </c>
      <c r="AL167" s="357" t="e">
        <f ca="1">_xll.qlInstrumentSetPricingEngine(AJ167,_xll.qlBachelierBlackSwaptionEngine(,Curve!$S$16,AK167))</f>
        <v>#VALUE!</v>
      </c>
      <c r="AM167" s="358" t="e">
        <f ca="1">_xll.qlInstrumentNPV(AJ167,AL167)*2/_xll.qlYieldTSDiscount(Curve!$S$16,K167)</f>
        <v>#VALUE!</v>
      </c>
      <c r="AN167" s="358" t="e">
        <f ca="1">_xll.qlInstrumentResults(AJ167,"annuity",AL167)</f>
        <v>#VALUE!</v>
      </c>
      <c r="AO167" s="359" t="e">
        <f ca="1">G167/2*_xll.qlYieldTSDiscount(Curve!$S$16,K167)/AN167</f>
        <v>#VALUE!</v>
      </c>
      <c r="AP167" s="360" t="e">
        <f ca="1">_xll.qlBachelierBlackFormulaImpliedVol("Call",AD167,AD167,_xll.qlDayCounterYearFraction("Act/365 (Fixed)",C167,J167),AO167)</f>
        <v>#VALUE!</v>
      </c>
      <c r="AQ167" s="361" t="e">
        <f ca="1">_xll.qlBlackFormulaImpliedStdDev("Call",AD167,AD167,AO167)/SQRT(_xll.qlDayCounterYearFraction("Act/365 (Fixed)",C167,J167))</f>
        <v>#VALUE!</v>
      </c>
      <c r="AS167" s="363">
        <v>6.2818266393911016E-3</v>
      </c>
      <c r="AT167" s="363">
        <v>6.8555009664783189E-3</v>
      </c>
      <c r="AU167" s="365">
        <f t="shared" ca="1" si="10"/>
        <v>-1.8266393911016074E-6</v>
      </c>
      <c r="AV167" s="365">
        <f t="shared" ca="1" si="11"/>
        <v>-5.7550096647831887E-4</v>
      </c>
    </row>
    <row r="168" spans="2:48">
      <c r="B168" s="348" t="str">
        <f t="shared" ca="1" si="9"/>
        <v>20Yx15Y</v>
      </c>
      <c r="C168" s="345">
        <f t="shared" ca="1" si="8"/>
        <v>42254</v>
      </c>
      <c r="D168" s="346" t="s">
        <v>104</v>
      </c>
      <c r="E168" s="346" t="s">
        <v>17</v>
      </c>
      <c r="F168" s="351">
        <f ca="1">VLOOKUP(F$3&amp;$D168&amp;$E168,'Swaption Volatilities'!$V:$W,2,FALSE)%%</f>
        <v>5.8700000000000011E-3</v>
      </c>
      <c r="G168" s="352">
        <f ca="1">VLOOKUP(G$3&amp;$D168&amp;$E168,'Swaption Volatilities'!$V:$W,2,FALSE)</f>
        <v>2764</v>
      </c>
      <c r="H168" s="346" t="s">
        <v>20</v>
      </c>
      <c r="I168" s="346" t="s">
        <v>21</v>
      </c>
      <c r="J168" s="345">
        <f ca="1">_xll.qlCalendarAdvance(H168,C168,D168,I168)</f>
        <v>49559</v>
      </c>
      <c r="K168" s="345">
        <f ca="1">_xll.qlCalendarAdvance(H168,J168,"2d")</f>
        <v>49563</v>
      </c>
      <c r="L168" s="345">
        <f ca="1">_xll.qlCalendarAdvance(H168,K168,E168,"unadjusted")</f>
        <v>55042</v>
      </c>
      <c r="M168" s="346" t="s">
        <v>7</v>
      </c>
      <c r="N168" s="346" t="s">
        <v>20</v>
      </c>
      <c r="O168" s="346" t="s">
        <v>21</v>
      </c>
      <c r="P168" s="346" t="s">
        <v>21</v>
      </c>
      <c r="Q168" s="346" t="s">
        <v>70</v>
      </c>
      <c r="R168" s="353" t="str">
        <f ca="1">_xll.qlSchedule(,K168,L168,M168,N168,O168,P168,Q168)</f>
        <v>obj_0041f#0000</v>
      </c>
      <c r="S168" s="346" t="s">
        <v>19</v>
      </c>
      <c r="T168" s="346" t="s">
        <v>20</v>
      </c>
      <c r="U168" s="346" t="s">
        <v>21</v>
      </c>
      <c r="V168" s="346" t="s">
        <v>21</v>
      </c>
      <c r="W168" s="346" t="s">
        <v>70</v>
      </c>
      <c r="X168" s="353" t="str">
        <f ca="1">_xll.qlSchedule(,K168,L168,S168,T168,U168,V168,W168)</f>
        <v>obj_0044a#0001</v>
      </c>
      <c r="Y168" s="349" t="s">
        <v>1742</v>
      </c>
      <c r="Z168" s="354" t="s">
        <v>36</v>
      </c>
      <c r="AA168" s="354" t="s">
        <v>1745</v>
      </c>
      <c r="AB168" s="353" t="str">
        <f ca="1">_xll.qlVanillaSwap(,,,R168,,Y168,X168,Z168,,AA168)</f>
        <v>obj_0050e#0001</v>
      </c>
      <c r="AC168" s="353" t="b">
        <f ca="1">_xll.qlInstrumentSetPricingEngine(AB168,_xll.qlDiscountingSwapEngine(,Curve!$S$16))</f>
        <v>1</v>
      </c>
      <c r="AD168" s="355" t="e">
        <f ca="1">_xll.qlVanillaSwapFairRate(AB168,AC168)</f>
        <v>#NUM!</v>
      </c>
      <c r="AE168" s="346" t="s">
        <v>1752</v>
      </c>
      <c r="AF168" s="347">
        <v>10000</v>
      </c>
      <c r="AG168" s="350" t="str">
        <f ca="1">_xll.qlVanillaSwap(,AE168,AF168,R168,AD168,Y168,X168,Z168,,AA168)</f>
        <v>obj_00698#0000</v>
      </c>
      <c r="AH168" s="347" t="str">
        <f ca="1">_xll.qlEuropeanExercise(,J168)</f>
        <v>obj_003d1#0001</v>
      </c>
      <c r="AI168" s="346" t="s">
        <v>1749</v>
      </c>
      <c r="AJ168" s="356" t="str">
        <f ca="1">_xll.qlSwaption(,AG168,AH168,AI168)</f>
        <v>obj_007af#0001</v>
      </c>
      <c r="AK168" s="357" t="str">
        <f ca="1">_xll.qlConstantSwaptionVolatility(,,H168,I168,F168)</f>
        <v>obj_003c5#0001</v>
      </c>
      <c r="AL168" s="357" t="b">
        <f ca="1">_xll.qlInstrumentSetPricingEngine(AJ168,_xll.qlBachelierBlackSwaptionEngine(,Curve!$S$16,AK168))</f>
        <v>1</v>
      </c>
      <c r="AM168" s="358">
        <f ca="1">_xll.qlInstrumentNPV(AJ168,AL168)*2/_xll.qlYieldTSDiscount(Curve!$S$16,K168)</f>
        <v>2614.1735214248029</v>
      </c>
      <c r="AN168" s="358">
        <f ca="1">_xll.qlInstrumentResults(AJ168,"annuity",AL168)</f>
        <v>95086.385447939843</v>
      </c>
      <c r="AO168" s="359">
        <f ca="1">G168/2*_xll.qlYieldTSDiscount(Curve!$S$16,K168)/AN168</f>
        <v>1.1076829534455709E-2</v>
      </c>
      <c r="AP168" s="360" t="e">
        <f ca="1">_xll.qlBachelierBlackFormulaImpliedVol("Call",AD168,AD168,_xll.qlDayCounterYearFraction("Act/365 (Fixed)",C168,J168),AO168)</f>
        <v>#VALUE!</v>
      </c>
      <c r="AQ168" s="361" t="e">
        <f ca="1">_xll.qlBlackFormulaImpliedStdDev("Call",AD168,AD168,AO168)/SQRT(_xll.qlDayCounterYearFraction("Act/365 (Fixed)",C168,J168))</f>
        <v>#VALUE!</v>
      </c>
      <c r="AS168" s="363">
        <v>5.8523155006572269E-3</v>
      </c>
      <c r="AT168" s="363">
        <v>6.2064280993700286E-3</v>
      </c>
      <c r="AU168" s="365">
        <f t="shared" ca="1" si="10"/>
        <v>1.7684499342774176E-5</v>
      </c>
      <c r="AV168" s="365">
        <f t="shared" ca="1" si="11"/>
        <v>-3.3642809937002756E-4</v>
      </c>
    </row>
    <row r="169" spans="2:48">
      <c r="B169" s="348" t="str">
        <f t="shared" ca="1" si="9"/>
        <v>1Mx20Y</v>
      </c>
      <c r="C169" s="345">
        <f t="shared" ca="1" si="8"/>
        <v>42254</v>
      </c>
      <c r="D169" s="346" t="s">
        <v>23</v>
      </c>
      <c r="E169" s="346" t="s">
        <v>104</v>
      </c>
      <c r="F169" s="351">
        <f ca="1">VLOOKUP(F$3&amp;$D169&amp;$E169,'Swaption Volatilities'!$V:$W,2,FALSE)%%</f>
        <v>8.4799999999999997E-3</v>
      </c>
      <c r="G169" s="352">
        <f ca="1">VLOOKUP(G$3&amp;$D169&amp;$E169,'Swaption Volatilities'!$V:$W,2,FALSE)</f>
        <v>333</v>
      </c>
      <c r="H169" s="346" t="s">
        <v>20</v>
      </c>
      <c r="I169" s="346" t="s">
        <v>21</v>
      </c>
      <c r="J169" s="345">
        <f ca="1">_xll.qlCalendarAdvance(H169,C169,D169,I169)</f>
        <v>42284</v>
      </c>
      <c r="K169" s="345">
        <f ca="1">_xll.qlCalendarAdvance(H169,J169,"2d")</f>
        <v>42286</v>
      </c>
      <c r="L169" s="345">
        <f ca="1">_xll.qlCalendarAdvance(H169,K169,E169,"unadjusted")</f>
        <v>49591</v>
      </c>
      <c r="M169" s="346" t="s">
        <v>7</v>
      </c>
      <c r="N169" s="346" t="s">
        <v>20</v>
      </c>
      <c r="O169" s="346" t="s">
        <v>21</v>
      </c>
      <c r="P169" s="346" t="s">
        <v>21</v>
      </c>
      <c r="Q169" s="346" t="s">
        <v>70</v>
      </c>
      <c r="R169" s="353" t="str">
        <f ca="1">_xll.qlSchedule(,K169,L169,M169,N169,O169,P169,Q169)</f>
        <v>obj_00422#0001</v>
      </c>
      <c r="S169" s="346" t="s">
        <v>19</v>
      </c>
      <c r="T169" s="346" t="s">
        <v>20</v>
      </c>
      <c r="U169" s="346" t="s">
        <v>21</v>
      </c>
      <c r="V169" s="346" t="s">
        <v>21</v>
      </c>
      <c r="W169" s="346" t="s">
        <v>70</v>
      </c>
      <c r="X169" s="353" t="str">
        <f ca="1">_xll.qlSchedule(,K169,L169,S169,T169,U169,V169,W169)</f>
        <v>obj_00282#0000</v>
      </c>
      <c r="Y169" s="349" t="s">
        <v>1742</v>
      </c>
      <c r="Z169" s="354" t="s">
        <v>36</v>
      </c>
      <c r="AA169" s="354" t="s">
        <v>1745</v>
      </c>
      <c r="AB169" s="353" t="str">
        <f ca="1">_xll.qlVanillaSwap(,,,R169,,Y169,X169,Z169,,AA169)</f>
        <v>obj_00518#0001</v>
      </c>
      <c r="AC169" s="353" t="b">
        <f ca="1">_xll.qlInstrumentSetPricingEngine(AB169,_xll.qlDiscountingSwapEngine(,Curve!$S$16))</f>
        <v>1</v>
      </c>
      <c r="AD169" s="355">
        <f ca="1">_xll.qlVanillaSwapFairRate(AB169,AC169)</f>
        <v>1.5037331815726748E-2</v>
      </c>
      <c r="AE169" s="346" t="s">
        <v>1752</v>
      </c>
      <c r="AF169" s="347">
        <v>10000</v>
      </c>
      <c r="AG169" s="350" t="str">
        <f ca="1">_xll.qlVanillaSwap(,AE169,AF169,R169,AD169,Y169,X169,Z169,,AA169)</f>
        <v>obj_005b3#0000</v>
      </c>
      <c r="AH169" s="347" t="str">
        <f ca="1">_xll.qlEuropeanExercise(,J169)</f>
        <v>obj_0041b#0001</v>
      </c>
      <c r="AI169" s="346" t="s">
        <v>1749</v>
      </c>
      <c r="AJ169" s="356" t="str">
        <f ca="1">_xll.qlSwaption(,AG169,AH169,AI169)</f>
        <v>obj_00653#0001</v>
      </c>
      <c r="AK169" s="357" t="str">
        <f ca="1">_xll.qlConstantSwaptionVolatility(,,H169,I169,F169)</f>
        <v>obj_00181#0001</v>
      </c>
      <c r="AL169" s="357" t="b">
        <f ca="1">_xll.qlInstrumentSetPricingEngine(AJ169,_xll.qlBachelierBlackSwaptionEngine(,Curve!$S$16,AK169))</f>
        <v>1</v>
      </c>
      <c r="AM169" s="358">
        <f ca="1">_xll.qlInstrumentNPV(AJ169,AL169)*2/_xll.qlYieldTSDiscount(Curve!$S$16,K169)</f>
        <v>332.42957198428473</v>
      </c>
      <c r="AN169" s="358">
        <f ca="1">_xll.qlInstrumentResults(AJ169,"annuity",AL169)</f>
        <v>171395.64590132845</v>
      </c>
      <c r="AO169" s="359">
        <f ca="1">G169/2*_xll.qlYieldTSDiscount(Curve!$S$16,K169)/AN169</f>
        <v>9.7154897134807329E-4</v>
      </c>
      <c r="AP169" s="360">
        <f ca="1">_xll.qlBachelierBlackFormulaImpliedVol("Call",AD169,AD169,_xll.qlDayCounterYearFraction("Act/365 (Fixed)",C169,J169),AO169)</f>
        <v>8.4945511409964154E-3</v>
      </c>
      <c r="AQ169" s="361">
        <f ca="1">_xll.qlBlackFormulaImpliedStdDev("Call",AD169,AD169,AO169)/SQRT(_xll.qlDayCounterYearFraction("Act/365 (Fixed)",C169,J169))</f>
        <v>0.56551626264586008</v>
      </c>
      <c r="AS169" s="363">
        <v>8.0464627163066519E-3</v>
      </c>
      <c r="AT169" s="363">
        <v>8.4945511409964154E-3</v>
      </c>
      <c r="AU169" s="365">
        <f t="shared" ca="1" si="10"/>
        <v>4.3353728369334779E-4</v>
      </c>
      <c r="AV169" s="365">
        <f t="shared" ca="1" si="11"/>
        <v>-1.4551140996415732E-5</v>
      </c>
    </row>
    <row r="170" spans="2:48">
      <c r="B170" s="348" t="str">
        <f t="shared" ca="1" si="9"/>
        <v>2Mx20Y</v>
      </c>
      <c r="C170" s="345">
        <f t="shared" ca="1" si="8"/>
        <v>42254</v>
      </c>
      <c r="D170" s="346" t="s">
        <v>398</v>
      </c>
      <c r="E170" s="346" t="s">
        <v>104</v>
      </c>
      <c r="F170" s="351">
        <f ca="1">VLOOKUP(F$3&amp;$D170&amp;$E170,'Swaption Volatilities'!$V:$W,2,FALSE)%%</f>
        <v>8.3800000000000003E-3</v>
      </c>
      <c r="G170" s="352">
        <f ca="1">VLOOKUP(G$3&amp;$D170&amp;$E170,'Swaption Volatilities'!$V:$W,2,FALSE)</f>
        <v>476</v>
      </c>
      <c r="H170" s="346" t="s">
        <v>20</v>
      </c>
      <c r="I170" s="346" t="s">
        <v>21</v>
      </c>
      <c r="J170" s="345">
        <f ca="1">_xll.qlCalendarAdvance(H170,C170,D170,I170)</f>
        <v>42317</v>
      </c>
      <c r="K170" s="345">
        <f ca="1">_xll.qlCalendarAdvance(H170,J170,"2d")</f>
        <v>42319</v>
      </c>
      <c r="L170" s="345">
        <f ca="1">_xll.qlCalendarAdvance(H170,K170,E170,"unadjusted")</f>
        <v>49624</v>
      </c>
      <c r="M170" s="346" t="s">
        <v>7</v>
      </c>
      <c r="N170" s="346" t="s">
        <v>20</v>
      </c>
      <c r="O170" s="346" t="s">
        <v>21</v>
      </c>
      <c r="P170" s="346" t="s">
        <v>21</v>
      </c>
      <c r="Q170" s="346" t="s">
        <v>70</v>
      </c>
      <c r="R170" s="353" t="str">
        <f ca="1">_xll.qlSchedule(,K170,L170,M170,N170,O170,P170,Q170)</f>
        <v>obj_002e7#0001</v>
      </c>
      <c r="S170" s="346" t="s">
        <v>19</v>
      </c>
      <c r="T170" s="346" t="s">
        <v>20</v>
      </c>
      <c r="U170" s="346" t="s">
        <v>21</v>
      </c>
      <c r="V170" s="346" t="s">
        <v>21</v>
      </c>
      <c r="W170" s="346" t="s">
        <v>70</v>
      </c>
      <c r="X170" s="353" t="str">
        <f ca="1">_xll.qlSchedule(,K170,L170,S170,T170,U170,V170,W170)</f>
        <v>obj_00284#0001</v>
      </c>
      <c r="Y170" s="349" t="s">
        <v>1742</v>
      </c>
      <c r="Z170" s="354" t="s">
        <v>36</v>
      </c>
      <c r="AA170" s="354" t="s">
        <v>1745</v>
      </c>
      <c r="AB170" s="353" t="str">
        <f ca="1">_xll.qlVanillaSwap(,,,R170,,Y170,X170,Z170,,AA170)</f>
        <v>obj_002fa#0001</v>
      </c>
      <c r="AC170" s="353" t="b">
        <f ca="1">_xll.qlInstrumentSetPricingEngine(AB170,_xll.qlDiscountingSwapEngine(,Curve!$S$16))</f>
        <v>1</v>
      </c>
      <c r="AD170" s="355" t="e">
        <f ca="1">_xll.qlVanillaSwapFairRate(AB170,AC170)</f>
        <v>#NUM!</v>
      </c>
      <c r="AE170" s="346" t="s">
        <v>1752</v>
      </c>
      <c r="AF170" s="347">
        <v>10000</v>
      </c>
      <c r="AG170" s="350" t="str">
        <f ca="1">_xll.qlVanillaSwap(,AE170,AF170,R170,AD170,Y170,X170,Z170,,AA170)</f>
        <v>obj_006df#0000</v>
      </c>
      <c r="AH170" s="347" t="str">
        <f ca="1">_xll.qlEuropeanExercise(,J170)</f>
        <v>obj_00383#0001</v>
      </c>
      <c r="AI170" s="346" t="s">
        <v>1749</v>
      </c>
      <c r="AJ170" s="356" t="str">
        <f ca="1">_xll.qlSwaption(,AG170,AH170,AI170)</f>
        <v>obj_00743#0001</v>
      </c>
      <c r="AK170" s="357" t="str">
        <f ca="1">_xll.qlConstantSwaptionVolatility(,,H170,I170,F170)</f>
        <v>obj_000f8#0001</v>
      </c>
      <c r="AL170" s="357" t="b">
        <f ca="1">_xll.qlInstrumentSetPricingEngine(AJ170,_xll.qlBachelierBlackSwaptionEngine(,Curve!$S$16,AK170))</f>
        <v>1</v>
      </c>
      <c r="AM170" s="358">
        <f ca="1">_xll.qlInstrumentNPV(AJ170,AL170)*2/_xll.qlYieldTSDiscount(Curve!$S$16,K170)</f>
        <v>475.01273036080562</v>
      </c>
      <c r="AN170" s="358">
        <f ca="1">_xll.qlInstrumentResults(AJ170,"annuity",AL170)</f>
        <v>171041.31517851591</v>
      </c>
      <c r="AO170" s="359">
        <f ca="1">G170/2*_xll.qlYieldTSDiscount(Curve!$S$16,K170)/AN170</f>
        <v>1.3918089688737399E-3</v>
      </c>
      <c r="AP170" s="360" t="e">
        <f ca="1">_xll.qlBachelierBlackFormulaImpliedVol("Call",AD170,AD170,_xll.qlDayCounterYearFraction("Act/365 (Fixed)",C170,J170),AO170)</f>
        <v>#VALUE!</v>
      </c>
      <c r="AQ170" s="361" t="e">
        <f ca="1">_xll.qlBlackFormulaImpliedStdDev("Call",AD170,AD170,AO170)/SQRT(_xll.qlDayCounterYearFraction("Act/365 (Fixed)",C170,J170))</f>
        <v>#VALUE!</v>
      </c>
      <c r="AS170" s="363">
        <v>7.9468991636390401E-3</v>
      </c>
      <c r="AT170" s="363">
        <v>8.3974170481075274E-3</v>
      </c>
      <c r="AU170" s="365">
        <f t="shared" ca="1" si="10"/>
        <v>4.3310083636096015E-4</v>
      </c>
      <c r="AV170" s="365">
        <f t="shared" ca="1" si="11"/>
        <v>-1.7417048107527117E-5</v>
      </c>
    </row>
    <row r="171" spans="2:48">
      <c r="B171" s="348" t="str">
        <f t="shared" ca="1" si="9"/>
        <v>3Mx20Y</v>
      </c>
      <c r="C171" s="345">
        <f t="shared" ca="1" si="8"/>
        <v>42254</v>
      </c>
      <c r="D171" s="346" t="s">
        <v>26</v>
      </c>
      <c r="E171" s="346" t="s">
        <v>104</v>
      </c>
      <c r="F171" s="351">
        <f ca="1">VLOOKUP(F$3&amp;$D171&amp;$E171,'Swaption Volatilities'!$V:$W,2,FALSE)%%</f>
        <v>8.2199999999999999E-3</v>
      </c>
      <c r="G171" s="352">
        <f ca="1">VLOOKUP(G$3&amp;$D171&amp;$E171,'Swaption Volatilities'!$V:$W,2,FALSE)</f>
        <v>561</v>
      </c>
      <c r="H171" s="346" t="s">
        <v>20</v>
      </c>
      <c r="I171" s="346" t="s">
        <v>21</v>
      </c>
      <c r="J171" s="345">
        <f ca="1">_xll.qlCalendarAdvance(H171,C171,D171,I171)</f>
        <v>42345</v>
      </c>
      <c r="K171" s="345">
        <f ca="1">_xll.qlCalendarAdvance(H171,J171,"2d")</f>
        <v>42347</v>
      </c>
      <c r="L171" s="345">
        <f ca="1">_xll.qlCalendarAdvance(H171,K171,E171,"unadjusted")</f>
        <v>49652</v>
      </c>
      <c r="M171" s="346" t="s">
        <v>7</v>
      </c>
      <c r="N171" s="346" t="s">
        <v>20</v>
      </c>
      <c r="O171" s="346" t="s">
        <v>21</v>
      </c>
      <c r="P171" s="346" t="s">
        <v>21</v>
      </c>
      <c r="Q171" s="346" t="s">
        <v>70</v>
      </c>
      <c r="R171" s="353" t="str">
        <f ca="1">_xll.qlSchedule(,K171,L171,M171,N171,O171,P171,Q171)</f>
        <v>obj_003dc#0001</v>
      </c>
      <c r="S171" s="346" t="s">
        <v>19</v>
      </c>
      <c r="T171" s="346" t="s">
        <v>20</v>
      </c>
      <c r="U171" s="346" t="s">
        <v>21</v>
      </c>
      <c r="V171" s="346" t="s">
        <v>21</v>
      </c>
      <c r="W171" s="346" t="s">
        <v>70</v>
      </c>
      <c r="X171" s="353" t="str">
        <f ca="1">_xll.qlSchedule(,K171,L171,S171,T171,U171,V171,W171)</f>
        <v>obj_001f2#0001</v>
      </c>
      <c r="Y171" s="349" t="s">
        <v>1742</v>
      </c>
      <c r="Z171" s="354" t="s">
        <v>36</v>
      </c>
      <c r="AA171" s="354" t="s">
        <v>1745</v>
      </c>
      <c r="AB171" s="353" t="str">
        <f ca="1">_xll.qlVanillaSwap(,,,R171,,Y171,X171,Z171,,AA171)</f>
        <v>obj_004fd#0001</v>
      </c>
      <c r="AC171" s="353" t="b">
        <f ca="1">_xll.qlInstrumentSetPricingEngine(AB171,_xll.qlDiscountingSwapEngine(,Curve!$S$16))</f>
        <v>1</v>
      </c>
      <c r="AD171" s="355" t="e">
        <f ca="1">_xll.qlVanillaSwapFairRate(AB171,AC171)</f>
        <v>#NUM!</v>
      </c>
      <c r="AE171" s="346" t="s">
        <v>1752</v>
      </c>
      <c r="AF171" s="347">
        <v>10000</v>
      </c>
      <c r="AG171" s="350" t="str">
        <f ca="1">_xll.qlVanillaSwap(,AE171,AF171,R171,AD171,Y171,X171,Z171,,AA171)</f>
        <v>obj_006d0#0000</v>
      </c>
      <c r="AH171" s="347" t="str">
        <f ca="1">_xll.qlEuropeanExercise(,J171)</f>
        <v>obj_0018e#0000</v>
      </c>
      <c r="AI171" s="346" t="s">
        <v>1749</v>
      </c>
      <c r="AJ171" s="356" t="str">
        <f ca="1">_xll.qlSwaption(,AG171,AH171,AI171)</f>
        <v>obj_00765#0001</v>
      </c>
      <c r="AK171" s="357" t="str">
        <f ca="1">_xll.qlConstantSwaptionVolatility(,,H171,I171,F171)</f>
        <v>obj_00087#0001</v>
      </c>
      <c r="AL171" s="357" t="b">
        <f ca="1">_xll.qlInstrumentSetPricingEngine(AJ171,_xll.qlBachelierBlackSwaptionEngine(,Curve!$S$16,AK171))</f>
        <v>1</v>
      </c>
      <c r="AM171" s="358">
        <f ca="1">_xll.qlInstrumentNPV(AJ171,AL171)*2/_xll.qlYieldTSDiscount(Curve!$S$16,K171)</f>
        <v>558.87071208225677</v>
      </c>
      <c r="AN171" s="358">
        <f ca="1">_xll.qlInstrumentResults(AJ171,"annuity",AL171)</f>
        <v>170716.51254850713</v>
      </c>
      <c r="AO171" s="359">
        <f ca="1">G171/2*_xll.qlYieldTSDiscount(Curve!$S$16,K171)/AN171</f>
        <v>1.6436436179601372E-3</v>
      </c>
      <c r="AP171" s="360" t="e">
        <f ca="1">_xll.qlBachelierBlackFormulaImpliedVol("Call",AD171,AD171,_xll.qlDayCounterYearFraction("Act/365 (Fixed)",C171,J171),AO171)</f>
        <v>#VALUE!</v>
      </c>
      <c r="AQ171" s="361" t="e">
        <f ca="1">_xll.qlBlackFormulaImpliedStdDev("Call",AD171,AD171,AO171)/SQRT(_xll.qlDayCounterYearFraction("Act/365 (Fixed)",C171,J171))</f>
        <v>#VALUE!</v>
      </c>
      <c r="AS171" s="363">
        <v>7.802026841371921E-3</v>
      </c>
      <c r="AT171" s="363">
        <v>8.2513180603409775E-3</v>
      </c>
      <c r="AU171" s="365">
        <f t="shared" ca="1" si="10"/>
        <v>4.1797315862807886E-4</v>
      </c>
      <c r="AV171" s="365">
        <f t="shared" ca="1" si="11"/>
        <v>-3.1318060340977671E-5</v>
      </c>
    </row>
    <row r="172" spans="2:48">
      <c r="B172" s="348" t="str">
        <f t="shared" ca="1" si="9"/>
        <v>6Mx20Y</v>
      </c>
      <c r="C172" s="345">
        <f t="shared" ca="1" si="8"/>
        <v>42254</v>
      </c>
      <c r="D172" s="346" t="s">
        <v>19</v>
      </c>
      <c r="E172" s="346" t="s">
        <v>104</v>
      </c>
      <c r="F172" s="351">
        <f ca="1">VLOOKUP(F$3&amp;$D172&amp;$E172,'Swaption Volatilities'!$V:$W,2,FALSE)%%</f>
        <v>7.9099999999999986E-3</v>
      </c>
      <c r="G172" s="352">
        <f ca="1">VLOOKUP(G$3&amp;$D172&amp;$E172,'Swaption Volatilities'!$V:$W,2,FALSE)</f>
        <v>761</v>
      </c>
      <c r="H172" s="346" t="s">
        <v>20</v>
      </c>
      <c r="I172" s="346" t="s">
        <v>21</v>
      </c>
      <c r="J172" s="345">
        <f ca="1">_xll.qlCalendarAdvance(H172,C172,D172,I172)</f>
        <v>42436</v>
      </c>
      <c r="K172" s="345">
        <f ca="1">_xll.qlCalendarAdvance(H172,J172,"2d")</f>
        <v>42438</v>
      </c>
      <c r="L172" s="345">
        <f ca="1">_xll.qlCalendarAdvance(H172,K172,E172,"unadjusted")</f>
        <v>49743</v>
      </c>
      <c r="M172" s="346" t="s">
        <v>7</v>
      </c>
      <c r="N172" s="346" t="s">
        <v>20</v>
      </c>
      <c r="O172" s="346" t="s">
        <v>21</v>
      </c>
      <c r="P172" s="346" t="s">
        <v>21</v>
      </c>
      <c r="Q172" s="346" t="s">
        <v>70</v>
      </c>
      <c r="R172" s="353" t="str">
        <f ca="1">_xll.qlSchedule(,K172,L172,M172,N172,O172,P172,Q172)</f>
        <v>obj_00132#0000</v>
      </c>
      <c r="S172" s="346" t="s">
        <v>19</v>
      </c>
      <c r="T172" s="346" t="s">
        <v>20</v>
      </c>
      <c r="U172" s="346" t="s">
        <v>21</v>
      </c>
      <c r="V172" s="346" t="s">
        <v>21</v>
      </c>
      <c r="W172" s="346" t="s">
        <v>70</v>
      </c>
      <c r="X172" s="353" t="str">
        <f ca="1">_xll.qlSchedule(,K172,L172,S172,T172,U172,V172,W172)</f>
        <v>obj_001ed#0001</v>
      </c>
      <c r="Y172" s="349" t="s">
        <v>1742</v>
      </c>
      <c r="Z172" s="354" t="s">
        <v>36</v>
      </c>
      <c r="AA172" s="354" t="s">
        <v>1745</v>
      </c>
      <c r="AB172" s="353" t="str">
        <f ca="1">_xll.qlVanillaSwap(,,,R172,,Y172,X172,Z172,,AA172)</f>
        <v>obj_00421#0001</v>
      </c>
      <c r="AC172" s="353" t="b">
        <f ca="1">_xll.qlInstrumentSetPricingEngine(AB172,_xll.qlDiscountingSwapEngine(,Curve!$S$16))</f>
        <v>1</v>
      </c>
      <c r="AD172" s="355" t="e">
        <f ca="1">_xll.qlVanillaSwapFairRate(AB172,AC172)</f>
        <v>#NUM!</v>
      </c>
      <c r="AE172" s="346" t="s">
        <v>1752</v>
      </c>
      <c r="AF172" s="347">
        <v>10000</v>
      </c>
      <c r="AG172" s="350" t="str">
        <f ca="1">_xll.qlVanillaSwap(,AE172,AF172,R172,AD172,Y172,X172,Z172,,AA172)</f>
        <v>obj_006a0#0000</v>
      </c>
      <c r="AH172" s="347" t="str">
        <f ca="1">_xll.qlEuropeanExercise(,J172)</f>
        <v>obj_0011e#0001</v>
      </c>
      <c r="AI172" s="346" t="s">
        <v>1749</v>
      </c>
      <c r="AJ172" s="356" t="str">
        <f ca="1">_xll.qlSwaption(,AG172,AH172,AI172)</f>
        <v>obj_0076c#0001</v>
      </c>
      <c r="AK172" s="357" t="str">
        <f ca="1">_xll.qlConstantSwaptionVolatility(,,H172,I172,F172)</f>
        <v>obj_00084#0001</v>
      </c>
      <c r="AL172" s="357" t="b">
        <f ca="1">_xll.qlInstrumentSetPricingEngine(AJ172,_xll.qlBachelierBlackSwaptionEngine(,Curve!$S$16,AK172))</f>
        <v>1</v>
      </c>
      <c r="AM172" s="358">
        <f ca="1">_xll.qlInstrumentNPV(AJ172,AL172)*2/_xll.qlYieldTSDiscount(Curve!$S$16,K172)</f>
        <v>755.5621085630446</v>
      </c>
      <c r="AN172" s="358">
        <f ca="1">_xll.qlInstrumentResults(AJ172,"annuity",AL172)</f>
        <v>169658.27551897557</v>
      </c>
      <c r="AO172" s="359">
        <f ca="1">G172/2*_xll.qlYieldTSDiscount(Curve!$S$16,K172)/AN172</f>
        <v>2.244348517197832E-3</v>
      </c>
      <c r="AP172" s="360" t="e">
        <f ca="1">_xll.qlBachelierBlackFormulaImpliedVol("Call",AD172,AD172,_xll.qlDayCounterYearFraction("Act/365 (Fixed)",C172,J172),AO172)</f>
        <v>#VALUE!</v>
      </c>
      <c r="AQ172" s="361" t="e">
        <f ca="1">_xll.qlBlackFormulaImpliedStdDev("Call",AD172,AD172,AO172)/SQRT(_xll.qlDayCounterYearFraction("Act/365 (Fixed)",C172,J172))</f>
        <v>#VALUE!</v>
      </c>
      <c r="AS172" s="363">
        <v>7.5122033658671589E-3</v>
      </c>
      <c r="AT172" s="363">
        <v>7.9669294314508726E-3</v>
      </c>
      <c r="AU172" s="365">
        <f t="shared" ca="1" si="10"/>
        <v>3.9779663413283973E-4</v>
      </c>
      <c r="AV172" s="365">
        <f t="shared" ca="1" si="11"/>
        <v>-5.6929431450873993E-5</v>
      </c>
    </row>
    <row r="173" spans="2:48">
      <c r="B173" s="348" t="str">
        <f t="shared" ca="1" si="9"/>
        <v>9Mx20Y</v>
      </c>
      <c r="C173" s="345">
        <f t="shared" ca="1" si="8"/>
        <v>42254</v>
      </c>
      <c r="D173" s="346" t="s">
        <v>412</v>
      </c>
      <c r="E173" s="346" t="s">
        <v>104</v>
      </c>
      <c r="F173" s="351">
        <f ca="1">VLOOKUP(F$3&amp;$D173&amp;$E173,'Swaption Volatilities'!$V:$W,2,FALSE)%%</f>
        <v>7.7599999999999995E-3</v>
      </c>
      <c r="G173" s="352">
        <f ca="1">VLOOKUP(G$3&amp;$D173&amp;$E173,'Swaption Volatilities'!$V:$W,2,FALSE)</f>
        <v>914</v>
      </c>
      <c r="H173" s="346" t="s">
        <v>20</v>
      </c>
      <c r="I173" s="346" t="s">
        <v>21</v>
      </c>
      <c r="J173" s="345">
        <f ca="1">_xll.qlCalendarAdvance(H173,C173,D173,I173)</f>
        <v>42528</v>
      </c>
      <c r="K173" s="345">
        <f ca="1">_xll.qlCalendarAdvance(H173,J173,"2d")</f>
        <v>42530</v>
      </c>
      <c r="L173" s="345">
        <f ca="1">_xll.qlCalendarAdvance(H173,K173,E173,"unadjusted")</f>
        <v>49835</v>
      </c>
      <c r="M173" s="346" t="s">
        <v>7</v>
      </c>
      <c r="N173" s="346" t="s">
        <v>20</v>
      </c>
      <c r="O173" s="346" t="s">
        <v>21</v>
      </c>
      <c r="P173" s="346" t="s">
        <v>21</v>
      </c>
      <c r="Q173" s="346" t="s">
        <v>70</v>
      </c>
      <c r="R173" s="353" t="str">
        <f ca="1">_xll.qlSchedule(,K173,L173,M173,N173,O173,P173,Q173)</f>
        <v>obj_00568#0001</v>
      </c>
      <c r="S173" s="346" t="s">
        <v>19</v>
      </c>
      <c r="T173" s="346" t="s">
        <v>20</v>
      </c>
      <c r="U173" s="346" t="s">
        <v>21</v>
      </c>
      <c r="V173" s="346" t="s">
        <v>21</v>
      </c>
      <c r="W173" s="346" t="s">
        <v>70</v>
      </c>
      <c r="X173" s="353" t="str">
        <f ca="1">_xll.qlSchedule(,K173,L173,S173,T173,U173,V173,W173)</f>
        <v>obj_00567#0001</v>
      </c>
      <c r="Y173" s="349" t="s">
        <v>1742</v>
      </c>
      <c r="Z173" s="354" t="s">
        <v>36</v>
      </c>
      <c r="AA173" s="354" t="s">
        <v>1745</v>
      </c>
      <c r="AB173" s="353" t="str">
        <f ca="1">_xll.qlVanillaSwap(,,,R173,,Y173,X173,Z173,,AA173)</f>
        <v>obj_005eb#0001</v>
      </c>
      <c r="AC173" s="353" t="b">
        <f ca="1">_xll.qlInstrumentSetPricingEngine(AB173,_xll.qlDiscountingSwapEngine(,Curve!$S$16))</f>
        <v>1</v>
      </c>
      <c r="AD173" s="355" t="e">
        <f ca="1">_xll.qlVanillaSwapFairRate(AB173,AC173)</f>
        <v>#NUM!</v>
      </c>
      <c r="AE173" s="346" t="s">
        <v>1752</v>
      </c>
      <c r="AF173" s="347">
        <v>10000</v>
      </c>
      <c r="AG173" s="350" t="str">
        <f ca="1">_xll.qlVanillaSwap(,AE173,AF173,R173,AD173,Y173,X173,Z173,,AA173)</f>
        <v>obj_006bd#0000</v>
      </c>
      <c r="AH173" s="347" t="str">
        <f ca="1">_xll.qlEuropeanExercise(,J173)</f>
        <v>obj_001a0#0001</v>
      </c>
      <c r="AI173" s="346" t="s">
        <v>1749</v>
      </c>
      <c r="AJ173" s="356" t="str">
        <f ca="1">_xll.qlSwaption(,AG173,AH173,AI173)</f>
        <v>obj_00749#0001</v>
      </c>
      <c r="AK173" s="357" t="str">
        <f ca="1">_xll.qlConstantSwaptionVolatility(,,H173,I173,F173)</f>
        <v>obj_000f4#0001</v>
      </c>
      <c r="AL173" s="357" t="b">
        <f ca="1">_xll.qlInstrumentSetPricingEngine(AJ173,_xll.qlBachelierBlackSwaptionEngine(,Curve!$S$16,AK173))</f>
        <v>1</v>
      </c>
      <c r="AM173" s="358">
        <f ca="1">_xll.qlInstrumentNPV(AJ173,AL173)*2/_xll.qlYieldTSDiscount(Curve!$S$16,K173)</f>
        <v>903.27448969722764</v>
      </c>
      <c r="AN173" s="358">
        <f ca="1">_xll.qlInstrumentResults(AJ173,"annuity",AL173)</f>
        <v>168566.7301000944</v>
      </c>
      <c r="AO173" s="359">
        <f ca="1">G173/2*_xll.qlYieldTSDiscount(Curve!$S$16,K173)/AN173</f>
        <v>2.7141077612579602E-3</v>
      </c>
      <c r="AP173" s="360" t="e">
        <f ca="1">_xll.qlBachelierBlackFormulaImpliedVol("Call",AD173,AD173,_xll.qlDayCounterYearFraction("Act/365 (Fixed)",C173,J173),AO173)</f>
        <v>#VALUE!</v>
      </c>
      <c r="AQ173" s="361" t="e">
        <f ca="1">_xll.qlBlackFormulaImpliedStdDev("Call",AD173,AD173,AO173)/SQRT(_xll.qlDayCounterYearFraction("Act/365 (Fixed)",C173,J173))</f>
        <v>#VALUE!</v>
      </c>
      <c r="AS173" s="363">
        <v>7.3834490392464553E-3</v>
      </c>
      <c r="AT173" s="363">
        <v>7.8521424892419658E-3</v>
      </c>
      <c r="AU173" s="365">
        <f t="shared" ca="1" si="10"/>
        <v>3.7655096075354423E-4</v>
      </c>
      <c r="AV173" s="365">
        <f t="shared" ca="1" si="11"/>
        <v>-9.2142489241966302E-5</v>
      </c>
    </row>
    <row r="174" spans="2:48">
      <c r="B174" s="348" t="str">
        <f t="shared" ca="1" si="9"/>
        <v>1Yx20Y</v>
      </c>
      <c r="C174" s="345">
        <f t="shared" ca="1" si="8"/>
        <v>42254</v>
      </c>
      <c r="D174" s="346" t="s">
        <v>7</v>
      </c>
      <c r="E174" s="346" t="s">
        <v>104</v>
      </c>
      <c r="F174" s="351">
        <f ca="1">VLOOKUP(F$3&amp;$D174&amp;$E174,'Swaption Volatilities'!$V:$W,2,FALSE)%%</f>
        <v>7.709999999999999E-3</v>
      </c>
      <c r="G174" s="352">
        <f ca="1">VLOOKUP(G$3&amp;$D174&amp;$E174,'Swaption Volatilities'!$V:$W,2,FALSE)</f>
        <v>1048</v>
      </c>
      <c r="H174" s="346" t="s">
        <v>20</v>
      </c>
      <c r="I174" s="346" t="s">
        <v>21</v>
      </c>
      <c r="J174" s="345">
        <f ca="1">_xll.qlCalendarAdvance(H174,C174,D174,I174)</f>
        <v>42620</v>
      </c>
      <c r="K174" s="345">
        <f ca="1">_xll.qlCalendarAdvance(H174,J174,"2d")</f>
        <v>42622</v>
      </c>
      <c r="L174" s="345">
        <f ca="1">_xll.qlCalendarAdvance(H174,K174,E174,"unadjusted")</f>
        <v>49927</v>
      </c>
      <c r="M174" s="346" t="s">
        <v>7</v>
      </c>
      <c r="N174" s="346" t="s">
        <v>20</v>
      </c>
      <c r="O174" s="346" t="s">
        <v>21</v>
      </c>
      <c r="P174" s="346" t="s">
        <v>21</v>
      </c>
      <c r="Q174" s="346" t="s">
        <v>70</v>
      </c>
      <c r="R174" s="353" t="str">
        <f ca="1">_xll.qlSchedule(,K174,L174,M174,N174,O174,P174,Q174)</f>
        <v>obj_001f6#0000</v>
      </c>
      <c r="S174" s="346" t="s">
        <v>19</v>
      </c>
      <c r="T174" s="346" t="s">
        <v>20</v>
      </c>
      <c r="U174" s="346" t="s">
        <v>21</v>
      </c>
      <c r="V174" s="346" t="s">
        <v>21</v>
      </c>
      <c r="W174" s="346" t="s">
        <v>70</v>
      </c>
      <c r="X174" s="353" t="str">
        <f ca="1">_xll.qlSchedule(,K174,L174,S174,T174,U174,V174,W174)</f>
        <v>obj_00292#0001</v>
      </c>
      <c r="Y174" s="349" t="s">
        <v>1742</v>
      </c>
      <c r="Z174" s="354" t="s">
        <v>36</v>
      </c>
      <c r="AA174" s="354" t="s">
        <v>1745</v>
      </c>
      <c r="AB174" s="353" t="str">
        <f ca="1">_xll.qlVanillaSwap(,,,R174,,Y174,X174,Z174,,AA174)</f>
        <v>obj_00355#0001</v>
      </c>
      <c r="AC174" s="353" t="b">
        <f ca="1">_xll.qlInstrumentSetPricingEngine(AB174,_xll.qlDiscountingSwapEngine(,Curve!$S$16))</f>
        <v>1</v>
      </c>
      <c r="AD174" s="355">
        <f ca="1">_xll.qlVanillaSwapFairRate(AB174,AC174)</f>
        <v>1.5906197855153358E-2</v>
      </c>
      <c r="AE174" s="346" t="s">
        <v>1752</v>
      </c>
      <c r="AF174" s="347">
        <v>10000</v>
      </c>
      <c r="AG174" s="350" t="str">
        <f ca="1">_xll.qlVanillaSwap(,AE174,AF174,R174,AD174,Y174,X174,Z174,,AA174)</f>
        <v>obj_004cc#0000</v>
      </c>
      <c r="AH174" s="347" t="str">
        <f ca="1">_xll.qlEuropeanExercise(,J174)</f>
        <v>obj_000eb#0001</v>
      </c>
      <c r="AI174" s="346" t="s">
        <v>1749</v>
      </c>
      <c r="AJ174" s="356" t="str">
        <f ca="1">_xll.qlSwaption(,AG174,AH174,AI174)</f>
        <v>obj_00661#0001</v>
      </c>
      <c r="AK174" s="357" t="str">
        <f ca="1">_xll.qlConstantSwaptionVolatility(,,H174,I174,F174)</f>
        <v>obj_0032f#0001</v>
      </c>
      <c r="AL174" s="357" t="b">
        <f ca="1">_xll.qlInstrumentSetPricingEngine(AJ174,_xll.qlBachelierBlackSwaptionEngine(,Curve!$S$16,AK174))</f>
        <v>1</v>
      </c>
      <c r="AM174" s="358">
        <f ca="1">_xll.qlInstrumentNPV(AJ174,AL174)*2/_xll.qlYieldTSDiscount(Curve!$S$16,K174)</f>
        <v>1030.1567229577602</v>
      </c>
      <c r="AN174" s="358">
        <f ca="1">_xll.qlInstrumentResults(AJ174,"annuity",AL174)</f>
        <v>167483.45218352557</v>
      </c>
      <c r="AO174" s="359">
        <f ca="1">G174/2*_xll.qlYieldTSDiscount(Curve!$S$16,K174)/AN174</f>
        <v>3.1334050269913767E-3</v>
      </c>
      <c r="AP174" s="360">
        <f ca="1">_xll.qlBachelierBlackFormulaImpliedVol("Call",AD174,AD174,_xll.qlDayCounterYearFraction("Act/365 (Fixed)",C174,J174),AO174)</f>
        <v>7.8435444043899183E-3</v>
      </c>
      <c r="AQ174" s="361">
        <f ca="1">_xll.qlBlackFormulaImpliedStdDev("Call",AD174,AD174,AO174)/SQRT(_xll.qlDayCounterYearFraction("Act/365 (Fixed)",C174,J174))</f>
        <v>0.49823198067422109</v>
      </c>
      <c r="AS174" s="363">
        <v>7.3545975680233289E-3</v>
      </c>
      <c r="AT174" s="363">
        <v>7.8435444043899183E-3</v>
      </c>
      <c r="AU174" s="365">
        <f t="shared" ca="1" si="10"/>
        <v>3.5540243197667003E-4</v>
      </c>
      <c r="AV174" s="365">
        <f t="shared" ca="1" si="11"/>
        <v>-1.3354440438991932E-4</v>
      </c>
    </row>
    <row r="175" spans="2:48">
      <c r="B175" s="348" t="str">
        <f t="shared" ca="1" si="9"/>
        <v>18Mx20Y</v>
      </c>
      <c r="C175" s="345">
        <f t="shared" ca="1" si="8"/>
        <v>42254</v>
      </c>
      <c r="D175" s="346" t="s">
        <v>154</v>
      </c>
      <c r="E175" s="346" t="s">
        <v>104</v>
      </c>
      <c r="F175" s="351">
        <f ca="1">VLOOKUP(F$3&amp;$D175&amp;$E175,'Swaption Volatilities'!$V:$W,2,FALSE)%%</f>
        <v>7.62E-3</v>
      </c>
      <c r="G175" s="352">
        <f ca="1">VLOOKUP(G$3&amp;$D175&amp;$E175,'Swaption Volatilities'!$V:$W,2,FALSE)</f>
        <v>1259</v>
      </c>
      <c r="H175" s="346" t="s">
        <v>20</v>
      </c>
      <c r="I175" s="346" t="s">
        <v>21</v>
      </c>
      <c r="J175" s="345">
        <f ca="1">_xll.qlCalendarAdvance(H175,C175,D175,I175)</f>
        <v>42801</v>
      </c>
      <c r="K175" s="345">
        <f ca="1">_xll.qlCalendarAdvance(H175,J175,"2d")</f>
        <v>42803</v>
      </c>
      <c r="L175" s="345">
        <f ca="1">_xll.qlCalendarAdvance(H175,K175,E175,"unadjusted")</f>
        <v>50108</v>
      </c>
      <c r="M175" s="346" t="s">
        <v>7</v>
      </c>
      <c r="N175" s="346" t="s">
        <v>20</v>
      </c>
      <c r="O175" s="346" t="s">
        <v>21</v>
      </c>
      <c r="P175" s="346" t="s">
        <v>21</v>
      </c>
      <c r="Q175" s="346" t="s">
        <v>70</v>
      </c>
      <c r="R175" s="353" t="str">
        <f ca="1">_xll.qlSchedule(,K175,L175,M175,N175,O175,P175,Q175)</f>
        <v>obj_00531#0001</v>
      </c>
      <c r="S175" s="346" t="s">
        <v>19</v>
      </c>
      <c r="T175" s="346" t="s">
        <v>20</v>
      </c>
      <c r="U175" s="346" t="s">
        <v>21</v>
      </c>
      <c r="V175" s="346" t="s">
        <v>21</v>
      </c>
      <c r="W175" s="346" t="s">
        <v>70</v>
      </c>
      <c r="X175" s="353" t="str">
        <f ca="1">_xll.qlSchedule(,K175,L175,S175,T175,U175,V175,W175)</f>
        <v>obj_00530#0001</v>
      </c>
      <c r="Y175" s="349" t="s">
        <v>1742</v>
      </c>
      <c r="Z175" s="354" t="s">
        <v>36</v>
      </c>
      <c r="AA175" s="354" t="s">
        <v>1745</v>
      </c>
      <c r="AB175" s="353" t="str">
        <f ca="1">_xll.qlVanillaSwap(,,,R175,,Y175,X175,Z175,,AA175)</f>
        <v>obj_005cc#0001</v>
      </c>
      <c r="AC175" s="353" t="b">
        <f ca="1">_xll.qlInstrumentSetPricingEngine(AB175,_xll.qlDiscountingSwapEngine(,Curve!$S$16))</f>
        <v>1</v>
      </c>
      <c r="AD175" s="355" t="e">
        <f ca="1">_xll.qlVanillaSwapFairRate(AB175,AC175)</f>
        <v>#NUM!</v>
      </c>
      <c r="AE175" s="346" t="s">
        <v>1752</v>
      </c>
      <c r="AF175" s="347">
        <v>10000</v>
      </c>
      <c r="AG175" s="350" t="str">
        <f ca="1">_xll.qlVanillaSwap(,AE175,AF175,R175,AD175,Y175,X175,Z175,,AA175)</f>
        <v>obj_0068a#0000</v>
      </c>
      <c r="AH175" s="347" t="str">
        <f ca="1">_xll.qlEuropeanExercise(,J175)</f>
        <v>obj_00474#0001</v>
      </c>
      <c r="AI175" s="346" t="s">
        <v>1749</v>
      </c>
      <c r="AJ175" s="356" t="str">
        <f ca="1">_xll.qlSwaption(,AG175,AH175,AI175)</f>
        <v>obj_00750#0001</v>
      </c>
      <c r="AK175" s="357" t="str">
        <f ca="1">_xll.qlConstantSwaptionVolatility(,,H175,I175,F175)</f>
        <v>obj_002d5#0001</v>
      </c>
      <c r="AL175" s="357" t="b">
        <f ca="1">_xll.qlInstrumentSetPricingEngine(AJ175,_xll.qlBachelierBlackSwaptionEngine(,Curve!$S$16,AK175))</f>
        <v>1</v>
      </c>
      <c r="AM175" s="358">
        <f ca="1">_xll.qlInstrumentNPV(AJ175,AL175)*2/_xll.qlYieldTSDiscount(Curve!$S$16,K175)</f>
        <v>1227.6641630217612</v>
      </c>
      <c r="AN175" s="358">
        <f ca="1">_xll.qlInstrumentResults(AJ175,"annuity",AL175)</f>
        <v>165314.56982261789</v>
      </c>
      <c r="AO175" s="359">
        <f ca="1">G175/2*_xll.qlYieldTSDiscount(Curve!$S$16,K175)/AN175</f>
        <v>3.8164398306003819E-3</v>
      </c>
      <c r="AP175" s="360" t="e">
        <f ca="1">_xll.qlBachelierBlackFormulaImpliedVol("Call",AD175,AD175,_xll.qlDayCounterYearFraction("Act/365 (Fixed)",C175,J175),AO175)</f>
        <v>#VALUE!</v>
      </c>
      <c r="AQ175" s="361" t="e">
        <f ca="1">_xll.qlBlackFormulaImpliedStdDev("Call",AD175,AD175,AO175)/SQRT(_xll.qlDayCounterYearFraction("Act/365 (Fixed)",C175,J175))</f>
        <v>#VALUE!</v>
      </c>
      <c r="AS175" s="363">
        <v>7.2856724457441647E-3</v>
      </c>
      <c r="AT175" s="363">
        <v>7.8144986951370447E-3</v>
      </c>
      <c r="AU175" s="365">
        <f t="shared" ca="1" si="10"/>
        <v>3.3432755425583539E-4</v>
      </c>
      <c r="AV175" s="365">
        <f t="shared" ca="1" si="11"/>
        <v>-1.9449869513704469E-4</v>
      </c>
    </row>
    <row r="176" spans="2:48">
      <c r="B176" s="348" t="str">
        <f t="shared" ca="1" si="9"/>
        <v>2Yx20Y</v>
      </c>
      <c r="C176" s="345">
        <f t="shared" ca="1" si="8"/>
        <v>42254</v>
      </c>
      <c r="D176" s="346" t="s">
        <v>8</v>
      </c>
      <c r="E176" s="346" t="s">
        <v>104</v>
      </c>
      <c r="F176" s="351">
        <f ca="1">VLOOKUP(F$3&amp;$D176&amp;$E176,'Swaption Volatilities'!$V:$W,2,FALSE)%%</f>
        <v>7.5099999999999993E-3</v>
      </c>
      <c r="G176" s="352">
        <f ca="1">VLOOKUP(G$3&amp;$D176&amp;$E176,'Swaption Volatilities'!$V:$W,2,FALSE)</f>
        <v>1429</v>
      </c>
      <c r="H176" s="346" t="s">
        <v>20</v>
      </c>
      <c r="I176" s="346" t="s">
        <v>21</v>
      </c>
      <c r="J176" s="345">
        <f ca="1">_xll.qlCalendarAdvance(H176,C176,D176,I176)</f>
        <v>42985</v>
      </c>
      <c r="K176" s="345">
        <f ca="1">_xll.qlCalendarAdvance(H176,J176,"2d")</f>
        <v>42989</v>
      </c>
      <c r="L176" s="345">
        <f ca="1">_xll.qlCalendarAdvance(H176,K176,E176,"unadjusted")</f>
        <v>50294</v>
      </c>
      <c r="M176" s="346" t="s">
        <v>7</v>
      </c>
      <c r="N176" s="346" t="s">
        <v>20</v>
      </c>
      <c r="O176" s="346" t="s">
        <v>21</v>
      </c>
      <c r="P176" s="346" t="s">
        <v>21</v>
      </c>
      <c r="Q176" s="346" t="s">
        <v>70</v>
      </c>
      <c r="R176" s="353" t="str">
        <f ca="1">_xll.qlSchedule(,K176,L176,M176,N176,O176,P176,Q176)</f>
        <v>obj_00658#0001</v>
      </c>
      <c r="S176" s="346" t="s">
        <v>19</v>
      </c>
      <c r="T176" s="346" t="s">
        <v>20</v>
      </c>
      <c r="U176" s="346" t="s">
        <v>21</v>
      </c>
      <c r="V176" s="346" t="s">
        <v>21</v>
      </c>
      <c r="W176" s="346" t="s">
        <v>70</v>
      </c>
      <c r="X176" s="353" t="str">
        <f ca="1">_xll.qlSchedule(,K176,L176,S176,T176,U176,V176,W176)</f>
        <v>obj_00571#0001</v>
      </c>
      <c r="Y176" s="349" t="s">
        <v>1742</v>
      </c>
      <c r="Z176" s="354" t="s">
        <v>36</v>
      </c>
      <c r="AA176" s="354" t="s">
        <v>1745</v>
      </c>
      <c r="AB176" s="353" t="str">
        <f ca="1">_xll.qlVanillaSwap(,,,R176,,Y176,X176,Z176,,AA176)</f>
        <v>obj_00705#0001</v>
      </c>
      <c r="AC176" s="353" t="b">
        <f ca="1">_xll.qlInstrumentSetPricingEngine(AB176,_xll.qlDiscountingSwapEngine(,Curve!$S$16))</f>
        <v>1</v>
      </c>
      <c r="AD176" s="355" t="e">
        <f ca="1">_xll.qlVanillaSwapFairRate(AB176,AC176)</f>
        <v>#NUM!</v>
      </c>
      <c r="AE176" s="346" t="s">
        <v>1752</v>
      </c>
      <c r="AF176" s="347">
        <v>10000</v>
      </c>
      <c r="AG176" s="350" t="e">
        <f ca="1">_xll.qlVanillaSwap(,AE176,AF176,R176,AD176,Y176,X176,Z176,,AA176)</f>
        <v>#NUM!</v>
      </c>
      <c r="AH176" s="347" t="str">
        <f ca="1">_xll.qlEuropeanExercise(,J176)</f>
        <v>obj_004bc#0001</v>
      </c>
      <c r="AI176" s="346" t="s">
        <v>1749</v>
      </c>
      <c r="AJ176" s="356" t="e">
        <f ca="1">_xll.qlSwaption(,AG176,AH176,AI176)</f>
        <v>#VALUE!</v>
      </c>
      <c r="AK176" s="357" t="str">
        <f ca="1">_xll.qlConstantSwaptionVolatility(,,H176,I176,F176)</f>
        <v>obj_000f6#0001</v>
      </c>
      <c r="AL176" s="357" t="e">
        <f ca="1">_xll.qlInstrumentSetPricingEngine(AJ176,_xll.qlBachelierBlackSwaptionEngine(,Curve!$S$16,AK176))</f>
        <v>#VALUE!</v>
      </c>
      <c r="AM176" s="358" t="e">
        <f ca="1">_xll.qlInstrumentNPV(AJ176,AL176)*2/_xll.qlYieldTSDiscount(Curve!$S$16,K176)</f>
        <v>#VALUE!</v>
      </c>
      <c r="AN176" s="358" t="e">
        <f ca="1">_xll.qlInstrumentResults(AJ176,"annuity",AL176)</f>
        <v>#VALUE!</v>
      </c>
      <c r="AO176" s="359" t="e">
        <f ca="1">G176/2*_xll.qlYieldTSDiscount(Curve!$S$16,K176)/AN176</f>
        <v>#VALUE!</v>
      </c>
      <c r="AP176" s="360" t="e">
        <f ca="1">_xll.qlBachelierBlackFormulaImpliedVol("Call",AD176,AD176,_xll.qlDayCounterYearFraction("Act/365 (Fixed)",C176,J176),AO176)</f>
        <v>#VALUE!</v>
      </c>
      <c r="AQ176" s="361" t="e">
        <f ca="1">_xll.qlBlackFormulaImpliedStdDev("Call",AD176,AD176,AO176)/SQRT(_xll.qlDayCounterYearFraction("Act/365 (Fixed)",C176,J176))</f>
        <v>#VALUE!</v>
      </c>
      <c r="AS176" s="363">
        <v>7.2129897819533948E-3</v>
      </c>
      <c r="AT176" s="363">
        <v>7.7809101668794307E-3</v>
      </c>
      <c r="AU176" s="365">
        <f t="shared" ca="1" si="10"/>
        <v>2.9701021804660454E-4</v>
      </c>
      <c r="AV176" s="365">
        <f t="shared" ca="1" si="11"/>
        <v>-2.7091016687943135E-4</v>
      </c>
    </row>
    <row r="177" spans="2:48">
      <c r="B177" s="348" t="str">
        <f t="shared" ca="1" si="9"/>
        <v>3Yx20Y</v>
      </c>
      <c r="C177" s="345">
        <f t="shared" ca="1" si="8"/>
        <v>42254</v>
      </c>
      <c r="D177" s="346" t="s">
        <v>9</v>
      </c>
      <c r="E177" s="346" t="s">
        <v>104</v>
      </c>
      <c r="F177" s="351">
        <f ca="1">VLOOKUP(F$3&amp;$D177&amp;$E177,'Swaption Volatilities'!$V:$W,2,FALSE)%%</f>
        <v>7.3000000000000001E-3</v>
      </c>
      <c r="G177" s="352">
        <f ca="1">VLOOKUP(G$3&amp;$D177&amp;$E177,'Swaption Volatilities'!$V:$W,2,FALSE)</f>
        <v>1686</v>
      </c>
      <c r="H177" s="346" t="s">
        <v>20</v>
      </c>
      <c r="I177" s="346" t="s">
        <v>21</v>
      </c>
      <c r="J177" s="345">
        <f ca="1">_xll.qlCalendarAdvance(H177,C177,D177,I177)</f>
        <v>43350</v>
      </c>
      <c r="K177" s="345">
        <f ca="1">_xll.qlCalendarAdvance(H177,J177,"2d")</f>
        <v>43354</v>
      </c>
      <c r="L177" s="345">
        <f ca="1">_xll.qlCalendarAdvance(H177,K177,E177,"unadjusted")</f>
        <v>50659</v>
      </c>
      <c r="M177" s="346" t="s">
        <v>7</v>
      </c>
      <c r="N177" s="346" t="s">
        <v>20</v>
      </c>
      <c r="O177" s="346" t="s">
        <v>21</v>
      </c>
      <c r="P177" s="346" t="s">
        <v>21</v>
      </c>
      <c r="Q177" s="346" t="s">
        <v>70</v>
      </c>
      <c r="R177" s="353" t="str">
        <f ca="1">_xll.qlSchedule(,K177,L177,M177,N177,O177,P177,Q177)</f>
        <v>obj_00583#0001</v>
      </c>
      <c r="S177" s="346" t="s">
        <v>19</v>
      </c>
      <c r="T177" s="346" t="s">
        <v>20</v>
      </c>
      <c r="U177" s="346" t="s">
        <v>21</v>
      </c>
      <c r="V177" s="346" t="s">
        <v>21</v>
      </c>
      <c r="W177" s="346" t="s">
        <v>70</v>
      </c>
      <c r="X177" s="353" t="str">
        <f ca="1">_xll.qlSchedule(,K177,L177,S177,T177,U177,V177,W177)</f>
        <v>obj_00582#0000</v>
      </c>
      <c r="Y177" s="349" t="s">
        <v>1742</v>
      </c>
      <c r="Z177" s="354" t="s">
        <v>36</v>
      </c>
      <c r="AA177" s="354" t="s">
        <v>1745</v>
      </c>
      <c r="AB177" s="353" t="str">
        <f ca="1">_xll.qlVanillaSwap(,,,R177,,Y177,X177,Z177,,AA177)</f>
        <v>obj_00601#0001</v>
      </c>
      <c r="AC177" s="353" t="b">
        <f ca="1">_xll.qlInstrumentSetPricingEngine(AB177,_xll.qlDiscountingSwapEngine(,Curve!$S$16))</f>
        <v>1</v>
      </c>
      <c r="AD177" s="355" t="e">
        <f ca="1">_xll.qlVanillaSwapFairRate(AB177,AC177)</f>
        <v>#NUM!</v>
      </c>
      <c r="AE177" s="346" t="s">
        <v>1752</v>
      </c>
      <c r="AF177" s="347">
        <v>10000</v>
      </c>
      <c r="AG177" s="350" t="str">
        <f ca="1">_xll.qlVanillaSwap(,AE177,AF177,R177,AD177,Y177,X177,Z177,,AA177)</f>
        <v>obj_006bb#0000</v>
      </c>
      <c r="AH177" s="347" t="str">
        <f ca="1">_xll.qlEuropeanExercise(,J177)</f>
        <v>obj_004dc#0001</v>
      </c>
      <c r="AI177" s="346" t="s">
        <v>1749</v>
      </c>
      <c r="AJ177" s="356" t="str">
        <f ca="1">_xll.qlSwaption(,AG177,AH177,AI177)</f>
        <v>obj_00769#0001</v>
      </c>
      <c r="AK177" s="357" t="str">
        <f ca="1">_xll.qlConstantSwaptionVolatility(,,H177,I177,F177)</f>
        <v>obj_00377#0001</v>
      </c>
      <c r="AL177" s="357" t="b">
        <f ca="1">_xll.qlInstrumentSetPricingEngine(AJ177,_xll.qlBachelierBlackSwaptionEngine(,Curve!$S$16,AK177))</f>
        <v>1</v>
      </c>
      <c r="AM177" s="358">
        <f ca="1">_xll.qlInstrumentNPV(AJ177,AL177)*2/_xll.qlYieldTSDiscount(Curve!$S$16,K177)</f>
        <v>1598.8272021335433</v>
      </c>
      <c r="AN177" s="358">
        <f ca="1">_xll.qlInstrumentResults(AJ177,"annuity",AL177)</f>
        <v>158815.9503870763</v>
      </c>
      <c r="AO177" s="359">
        <f ca="1">G177/2*_xll.qlYieldTSDiscount(Curve!$S$16,K177)/AN177</f>
        <v>5.3216684344666396E-3</v>
      </c>
      <c r="AP177" s="360" t="e">
        <f ca="1">_xll.qlBachelierBlackFormulaImpliedVol("Call",AD177,AD177,_xll.qlDayCounterYearFraction("Act/365 (Fixed)",C177,J177),AO177)</f>
        <v>#VALUE!</v>
      </c>
      <c r="AQ177" s="361" t="e">
        <f ca="1">_xll.qlBlackFormulaImpliedStdDev("Call",AD177,AD177,AO177)/SQRT(_xll.qlDayCounterYearFraction("Act/365 (Fixed)",C177,J177))</f>
        <v>#VALUE!</v>
      </c>
      <c r="AS177" s="363">
        <v>7.0584836689718709E-3</v>
      </c>
      <c r="AT177" s="363">
        <v>7.6980176366626052E-3</v>
      </c>
      <c r="AU177" s="365">
        <f t="shared" ca="1" si="10"/>
        <v>2.4151633102812917E-4</v>
      </c>
      <c r="AV177" s="365">
        <f t="shared" ca="1" si="11"/>
        <v>-3.9801763666260509E-4</v>
      </c>
    </row>
    <row r="178" spans="2:48">
      <c r="B178" s="348" t="str">
        <f t="shared" ca="1" si="9"/>
        <v>4Yx20Y</v>
      </c>
      <c r="C178" s="345">
        <f t="shared" ca="1" si="8"/>
        <v>42254</v>
      </c>
      <c r="D178" s="346" t="s">
        <v>10</v>
      </c>
      <c r="E178" s="346" t="s">
        <v>104</v>
      </c>
      <c r="F178" s="351">
        <f ca="1">VLOOKUP(F$3&amp;$D178&amp;$E178,'Swaption Volatilities'!$V:$W,2,FALSE)%%</f>
        <v>7.0799999999999995E-3</v>
      </c>
      <c r="G178" s="352">
        <f ca="1">VLOOKUP(G$3&amp;$D178&amp;$E178,'Swaption Volatilities'!$V:$W,2,FALSE)</f>
        <v>1879</v>
      </c>
      <c r="H178" s="346" t="s">
        <v>20</v>
      </c>
      <c r="I178" s="346" t="s">
        <v>21</v>
      </c>
      <c r="J178" s="345">
        <f ca="1">_xll.qlCalendarAdvance(H178,C178,D178,I178)</f>
        <v>43717</v>
      </c>
      <c r="K178" s="345">
        <f ca="1">_xll.qlCalendarAdvance(H178,J178,"2d")</f>
        <v>43719</v>
      </c>
      <c r="L178" s="345">
        <f ca="1">_xll.qlCalendarAdvance(H178,K178,E178,"unadjusted")</f>
        <v>51024</v>
      </c>
      <c r="M178" s="346" t="s">
        <v>7</v>
      </c>
      <c r="N178" s="346" t="s">
        <v>20</v>
      </c>
      <c r="O178" s="346" t="s">
        <v>21</v>
      </c>
      <c r="P178" s="346" t="s">
        <v>21</v>
      </c>
      <c r="Q178" s="346" t="s">
        <v>70</v>
      </c>
      <c r="R178" s="353" t="str">
        <f ca="1">_xll.qlSchedule(,K178,L178,M178,N178,O178,P178,Q178)</f>
        <v>obj_002f3#0001</v>
      </c>
      <c r="S178" s="346" t="s">
        <v>19</v>
      </c>
      <c r="T178" s="346" t="s">
        <v>20</v>
      </c>
      <c r="U178" s="346" t="s">
        <v>21</v>
      </c>
      <c r="V178" s="346" t="s">
        <v>21</v>
      </c>
      <c r="W178" s="346" t="s">
        <v>70</v>
      </c>
      <c r="X178" s="353" t="str">
        <f ca="1">_xll.qlSchedule(,K178,L178,S178,T178,U178,V178,W178)</f>
        <v>obj_001ff#0001</v>
      </c>
      <c r="Y178" s="349" t="s">
        <v>1742</v>
      </c>
      <c r="Z178" s="354" t="s">
        <v>36</v>
      </c>
      <c r="AA178" s="354" t="s">
        <v>1745</v>
      </c>
      <c r="AB178" s="353" t="str">
        <f ca="1">_xll.qlVanillaSwap(,,,R178,,Y178,X178,Z178,,AA178)</f>
        <v>obj_002f4#0000</v>
      </c>
      <c r="AC178" s="353" t="b">
        <f ca="1">_xll.qlInstrumentSetPricingEngine(AB178,_xll.qlDiscountingSwapEngine(,Curve!$S$16))</f>
        <v>1</v>
      </c>
      <c r="AD178" s="355">
        <f ca="1">_xll.qlVanillaSwapFairRate(AB178,AC178)</f>
        <v>1.826119955668663E-2</v>
      </c>
      <c r="AE178" s="346" t="s">
        <v>1752</v>
      </c>
      <c r="AF178" s="347">
        <v>10000</v>
      </c>
      <c r="AG178" s="350" t="str">
        <f ca="1">_xll.qlVanillaSwap(,AE178,AF178,R178,AD178,Y178,X178,Z178,,AA178)</f>
        <v>obj_004b9#0000</v>
      </c>
      <c r="AH178" s="347" t="str">
        <f ca="1">_xll.qlEuropeanExercise(,J178)</f>
        <v>obj_00276#0001</v>
      </c>
      <c r="AI178" s="346" t="s">
        <v>1749</v>
      </c>
      <c r="AJ178" s="356" t="str">
        <f ca="1">_xll.qlSwaption(,AG178,AH178,AI178)</f>
        <v>obj_006d4#0001</v>
      </c>
      <c r="AK178" s="357" t="str">
        <f ca="1">_xll.qlConstantSwaptionVolatility(,,H178,I178,F178)</f>
        <v>obj_002c8#0001</v>
      </c>
      <c r="AL178" s="357" t="b">
        <f ca="1">_xll.qlInstrumentSetPricingEngine(AJ178,_xll.qlBachelierBlackSwaptionEngine(,Curve!$S$16,AK178))</f>
        <v>1</v>
      </c>
      <c r="AM178" s="358">
        <f ca="1">_xll.qlInstrumentNPV(AJ178,AL178)*2/_xll.qlYieldTSDiscount(Curve!$S$16,K178)</f>
        <v>1749.3884669965778</v>
      </c>
      <c r="AN178" s="358">
        <f ca="1">_xll.qlInstrumentResults(AJ178,"annuity",AL178)</f>
        <v>154666.29565083419</v>
      </c>
      <c r="AO178" s="359">
        <f ca="1">G178/2*_xll.qlYieldTSDiscount(Curve!$S$16,K178)/AN178</f>
        <v>6.0737872472598079E-3</v>
      </c>
      <c r="AP178" s="360">
        <f ca="1">_xll.qlBachelierBlackFormulaImpliedVol("Call",AD178,AD178,_xll.qlDayCounterYearFraction("Act/365 (Fixed)",C178,J178),AO178)</f>
        <v>7.6045545348996536E-3</v>
      </c>
      <c r="AQ178" s="361">
        <f ca="1">_xll.qlBlackFormulaImpliedStdDev("Call",AD178,AD178,AO178)/SQRT(_xll.qlDayCounterYearFraction("Act/365 (Fixed)",C178,J178))</f>
        <v>0.4292867126772652</v>
      </c>
      <c r="AS178" s="363">
        <v>6.9055610180823804E-3</v>
      </c>
      <c r="AT178" s="363">
        <v>7.6045545348996536E-3</v>
      </c>
      <c r="AU178" s="365">
        <f t="shared" ca="1" si="10"/>
        <v>1.7443898191761911E-4</v>
      </c>
      <c r="AV178" s="365">
        <f t="shared" ca="1" si="11"/>
        <v>-5.2455453489965408E-4</v>
      </c>
    </row>
    <row r="179" spans="2:48">
      <c r="B179" s="348" t="str">
        <f t="shared" ca="1" si="9"/>
        <v>5Yx20Y</v>
      </c>
      <c r="C179" s="345">
        <f t="shared" ca="1" si="8"/>
        <v>42254</v>
      </c>
      <c r="D179" s="346" t="s">
        <v>11</v>
      </c>
      <c r="E179" s="346" t="s">
        <v>104</v>
      </c>
      <c r="F179" s="351">
        <f ca="1">VLOOKUP(F$3&amp;$D179&amp;$E179,'Swaption Volatilities'!$V:$W,2,FALSE)%%</f>
        <v>6.8900000000000003E-3</v>
      </c>
      <c r="G179" s="352">
        <f ca="1">VLOOKUP(G$3&amp;$D179&amp;$E179,'Swaption Volatilities'!$V:$W,2,FALSE)</f>
        <v>2034</v>
      </c>
      <c r="H179" s="346" t="s">
        <v>20</v>
      </c>
      <c r="I179" s="346" t="s">
        <v>21</v>
      </c>
      <c r="J179" s="345">
        <f ca="1">_xll.qlCalendarAdvance(H179,C179,D179,I179)</f>
        <v>44081</v>
      </c>
      <c r="K179" s="345">
        <f ca="1">_xll.qlCalendarAdvance(H179,J179,"2d")</f>
        <v>44083</v>
      </c>
      <c r="L179" s="345">
        <f ca="1">_xll.qlCalendarAdvance(H179,K179,E179,"unadjusted")</f>
        <v>51388</v>
      </c>
      <c r="M179" s="346" t="s">
        <v>7</v>
      </c>
      <c r="N179" s="346" t="s">
        <v>20</v>
      </c>
      <c r="O179" s="346" t="s">
        <v>21</v>
      </c>
      <c r="P179" s="346" t="s">
        <v>21</v>
      </c>
      <c r="Q179" s="346" t="s">
        <v>70</v>
      </c>
      <c r="R179" s="353" t="str">
        <f ca="1">_xll.qlSchedule(,K179,L179,M179,N179,O179,P179,Q179)</f>
        <v>obj_003db#0001</v>
      </c>
      <c r="S179" s="346" t="s">
        <v>19</v>
      </c>
      <c r="T179" s="346" t="s">
        <v>20</v>
      </c>
      <c r="U179" s="346" t="s">
        <v>21</v>
      </c>
      <c r="V179" s="346" t="s">
        <v>21</v>
      </c>
      <c r="W179" s="346" t="s">
        <v>70</v>
      </c>
      <c r="X179" s="353" t="str">
        <f ca="1">_xll.qlSchedule(,K179,L179,S179,T179,U179,V179,W179)</f>
        <v>obj_0033b#0001</v>
      </c>
      <c r="Y179" s="349" t="s">
        <v>1742</v>
      </c>
      <c r="Z179" s="354" t="s">
        <v>36</v>
      </c>
      <c r="AA179" s="354" t="s">
        <v>1745</v>
      </c>
      <c r="AB179" s="353" t="str">
        <f ca="1">_xll.qlVanillaSwap(,,,R179,,Y179,X179,Z179,,AA179)</f>
        <v>obj_004f8#0001</v>
      </c>
      <c r="AC179" s="353" t="b">
        <f ca="1">_xll.qlInstrumentSetPricingEngine(AB179,_xll.qlDiscountingSwapEngine(,Curve!$S$16))</f>
        <v>1</v>
      </c>
      <c r="AD179" s="355">
        <f ca="1">_xll.qlVanillaSwapFairRate(AB179,AC179)</f>
        <v>1.8754207999588227E-2</v>
      </c>
      <c r="AE179" s="346" t="s">
        <v>1752</v>
      </c>
      <c r="AF179" s="347">
        <v>10000</v>
      </c>
      <c r="AG179" s="350" t="str">
        <f ca="1">_xll.qlVanillaSwap(,AE179,AF179,R179,AD179,Y179,X179,Z179,,AA179)</f>
        <v>obj_005a0#0000</v>
      </c>
      <c r="AH179" s="347" t="str">
        <f ca="1">_xll.qlEuropeanExercise(,J179)</f>
        <v>obj_001d6#0001</v>
      </c>
      <c r="AI179" s="346" t="s">
        <v>1749</v>
      </c>
      <c r="AJ179" s="356" t="str">
        <f ca="1">_xll.qlSwaption(,AG179,AH179,AI179)</f>
        <v>obj_00702#0001</v>
      </c>
      <c r="AK179" s="357" t="str">
        <f ca="1">_xll.qlConstantSwaptionVolatility(,,H179,I179,F179)</f>
        <v>obj_00088#0001</v>
      </c>
      <c r="AL179" s="357" t="b">
        <f ca="1">_xll.qlInstrumentSetPricingEngine(AJ179,_xll.qlBachelierBlackSwaptionEngine(,Curve!$S$16,AK179))</f>
        <v>1</v>
      </c>
      <c r="AM179" s="358">
        <f ca="1">_xll.qlInstrumentNPV(AJ179,AL179)*2/_xll.qlYieldTSDiscount(Curve!$S$16,K179)</f>
        <v>1865.2490286072425</v>
      </c>
      <c r="AN179" s="358">
        <f ca="1">_xll.qlInstrumentResults(AJ179,"annuity",AL179)</f>
        <v>150816.27787926389</v>
      </c>
      <c r="AO179" s="359">
        <f ca="1">G179/2*_xll.qlYieldTSDiscount(Curve!$S$16,K179)/AN179</f>
        <v>6.7060417866636737E-3</v>
      </c>
      <c r="AP179" s="360">
        <f ca="1">_xll.qlBachelierBlackFormulaImpliedVol("Call",AD179,AD179,_xll.qlDayCounterYearFraction("Act/365 (Fixed)",C179,J179),AO179)</f>
        <v>7.5133452879824142E-3</v>
      </c>
      <c r="AQ179" s="361">
        <f ca="1">_xll.qlBlackFormulaImpliedStdDev("Call",AD179,AD179,AO179)/SQRT(_xll.qlDayCounterYearFraction("Act/365 (Fixed)",C179,J179))</f>
        <v>0.41506533311634308</v>
      </c>
      <c r="AS179" s="363">
        <v>6.7682538859695765E-3</v>
      </c>
      <c r="AT179" s="363">
        <v>7.5133452879824142E-3</v>
      </c>
      <c r="AU179" s="365">
        <f t="shared" ca="1" si="10"/>
        <v>1.2174611403042383E-4</v>
      </c>
      <c r="AV179" s="365">
        <f t="shared" ca="1" si="11"/>
        <v>-6.2334528798241393E-4</v>
      </c>
    </row>
    <row r="180" spans="2:48">
      <c r="B180" s="348" t="str">
        <f t="shared" ca="1" si="9"/>
        <v>7Yx20Y</v>
      </c>
      <c r="C180" s="345">
        <f t="shared" ca="1" si="8"/>
        <v>42254</v>
      </c>
      <c r="D180" s="346" t="s">
        <v>13</v>
      </c>
      <c r="E180" s="346" t="s">
        <v>104</v>
      </c>
      <c r="F180" s="351">
        <f ca="1">VLOOKUP(F$3&amp;$D180&amp;$E180,'Swaption Volatilities'!$V:$W,2,FALSE)%%</f>
        <v>6.6299999999999996E-3</v>
      </c>
      <c r="G180" s="352">
        <f ca="1">VLOOKUP(G$3&amp;$D180&amp;$E180,'Swaption Volatilities'!$V:$W,2,FALSE)</f>
        <v>2306</v>
      </c>
      <c r="H180" s="346" t="s">
        <v>20</v>
      </c>
      <c r="I180" s="346" t="s">
        <v>21</v>
      </c>
      <c r="J180" s="345">
        <f ca="1">_xll.qlCalendarAdvance(H180,C180,D180,I180)</f>
        <v>44811</v>
      </c>
      <c r="K180" s="345">
        <f ca="1">_xll.qlCalendarAdvance(H180,J180,"2d")</f>
        <v>44813</v>
      </c>
      <c r="L180" s="345">
        <f ca="1">_xll.qlCalendarAdvance(H180,K180,E180,"unadjusted")</f>
        <v>52118</v>
      </c>
      <c r="M180" s="346" t="s">
        <v>7</v>
      </c>
      <c r="N180" s="346" t="s">
        <v>20</v>
      </c>
      <c r="O180" s="346" t="s">
        <v>21</v>
      </c>
      <c r="P180" s="346" t="s">
        <v>21</v>
      </c>
      <c r="Q180" s="346" t="s">
        <v>70</v>
      </c>
      <c r="R180" s="353" t="str">
        <f ca="1">_xll.qlSchedule(,K180,L180,M180,N180,O180,P180,Q180)</f>
        <v>obj_006ab#0001</v>
      </c>
      <c r="S180" s="346" t="s">
        <v>19</v>
      </c>
      <c r="T180" s="346" t="s">
        <v>20</v>
      </c>
      <c r="U180" s="346" t="s">
        <v>21</v>
      </c>
      <c r="V180" s="346" t="s">
        <v>21</v>
      </c>
      <c r="W180" s="346" t="s">
        <v>70</v>
      </c>
      <c r="X180" s="353" t="str">
        <f ca="1">_xll.qlSchedule(,K180,L180,S180,T180,U180,V180,W180)</f>
        <v>obj_00492#0001</v>
      </c>
      <c r="Y180" s="349" t="s">
        <v>1742</v>
      </c>
      <c r="Z180" s="354" t="s">
        <v>36</v>
      </c>
      <c r="AA180" s="354" t="s">
        <v>1745</v>
      </c>
      <c r="AB180" s="353" t="str">
        <f ca="1">_xll.qlVanillaSwap(,,,R180,,Y180,X180,Z180,,AA180)</f>
        <v>obj_0070a#0001</v>
      </c>
      <c r="AC180" s="353" t="b">
        <f ca="1">_xll.qlInstrumentSetPricingEngine(AB180,_xll.qlDiscountingSwapEngine(,Curve!$S$16))</f>
        <v>1</v>
      </c>
      <c r="AD180" s="355" t="e">
        <f ca="1">_xll.qlVanillaSwapFairRate(AB180,AC180)</f>
        <v>#NUM!</v>
      </c>
      <c r="AE180" s="346" t="s">
        <v>1752</v>
      </c>
      <c r="AF180" s="347">
        <v>10000</v>
      </c>
      <c r="AG180" s="350" t="e">
        <f ca="1">_xll.qlVanillaSwap(,AE180,AF180,R180,AD180,Y180,X180,Z180,,AA180)</f>
        <v>#NUM!</v>
      </c>
      <c r="AH180" s="347" t="str">
        <f ca="1">_xll.qlEuropeanExercise(,J180)</f>
        <v>obj_002d9#0001</v>
      </c>
      <c r="AI180" s="346" t="s">
        <v>1749</v>
      </c>
      <c r="AJ180" s="356" t="e">
        <f ca="1">_xll.qlSwaption(,AG180,AH180,AI180)</f>
        <v>#VALUE!</v>
      </c>
      <c r="AK180" s="357" t="str">
        <f ca="1">_xll.qlConstantSwaptionVolatility(,,H180,I180,F180)</f>
        <v>obj_00083#0001</v>
      </c>
      <c r="AL180" s="357" t="e">
        <f ca="1">_xll.qlInstrumentSetPricingEngine(AJ180,_xll.qlBachelierBlackSwaptionEngine(,Curve!$S$16,AK180))</f>
        <v>#VALUE!</v>
      </c>
      <c r="AM180" s="358" t="e">
        <f ca="1">_xll.qlInstrumentNPV(AJ180,AL180)*2/_xll.qlYieldTSDiscount(Curve!$S$16,K180)</f>
        <v>#VALUE!</v>
      </c>
      <c r="AN180" s="358" t="e">
        <f ca="1">_xll.qlInstrumentResults(AJ180,"annuity",AL180)</f>
        <v>#VALUE!</v>
      </c>
      <c r="AO180" s="359" t="e">
        <f ca="1">G180/2*_xll.qlYieldTSDiscount(Curve!$S$16,K180)/AN180</f>
        <v>#VALUE!</v>
      </c>
      <c r="AP180" s="360" t="e">
        <f ca="1">_xll.qlBachelierBlackFormulaImpliedVol("Call",AD180,AD180,_xll.qlDayCounterYearFraction("Act/365 (Fixed)",C180,J180),AO180)</f>
        <v>#VALUE!</v>
      </c>
      <c r="AQ180" s="361" t="e">
        <f ca="1">_xll.qlBlackFormulaImpliedStdDev("Call",AD180,AD180,AO180)/SQRT(_xll.qlDayCounterYearFraction("Act/365 (Fixed)",C180,J180))</f>
        <v>#VALUE!</v>
      </c>
      <c r="AS180" s="363">
        <v>6.5809533852094265E-3</v>
      </c>
      <c r="AT180" s="363">
        <v>7.3689726835576199E-3</v>
      </c>
      <c r="AU180" s="365">
        <f t="shared" ca="1" si="10"/>
        <v>4.9046614790573123E-5</v>
      </c>
      <c r="AV180" s="365">
        <f t="shared" ca="1" si="11"/>
        <v>-7.389726835576203E-4</v>
      </c>
    </row>
    <row r="181" spans="2:48">
      <c r="B181" s="348" t="str">
        <f t="shared" ca="1" si="9"/>
        <v>10Yx20Y</v>
      </c>
      <c r="C181" s="345">
        <f t="shared" ca="1" si="8"/>
        <v>42254</v>
      </c>
      <c r="D181" s="346" t="s">
        <v>16</v>
      </c>
      <c r="E181" s="346" t="s">
        <v>104</v>
      </c>
      <c r="F181" s="351">
        <f ca="1">VLOOKUP(F$3&amp;$D181&amp;$E181,'Swaption Volatilities'!$V:$W,2,FALSE)%%</f>
        <v>6.3800000000000003E-3</v>
      </c>
      <c r="G181" s="352">
        <f ca="1">VLOOKUP(G$3&amp;$D181&amp;$E181,'Swaption Volatilities'!$V:$W,2,FALSE)</f>
        <v>2662</v>
      </c>
      <c r="H181" s="346" t="s">
        <v>20</v>
      </c>
      <c r="I181" s="346" t="s">
        <v>21</v>
      </c>
      <c r="J181" s="345">
        <f ca="1">_xll.qlCalendarAdvance(H181,C181,D181,I181)</f>
        <v>45908</v>
      </c>
      <c r="K181" s="345">
        <f ca="1">_xll.qlCalendarAdvance(H181,J181,"2d")</f>
        <v>45910</v>
      </c>
      <c r="L181" s="345">
        <f ca="1">_xll.qlCalendarAdvance(H181,K181,E181,"unadjusted")</f>
        <v>53215</v>
      </c>
      <c r="M181" s="346" t="s">
        <v>7</v>
      </c>
      <c r="N181" s="346" t="s">
        <v>20</v>
      </c>
      <c r="O181" s="346" t="s">
        <v>21</v>
      </c>
      <c r="P181" s="346" t="s">
        <v>21</v>
      </c>
      <c r="Q181" s="346" t="s">
        <v>70</v>
      </c>
      <c r="R181" s="353" t="str">
        <f ca="1">_xll.qlSchedule(,K181,L181,M181,N181,O181,P181,Q181)</f>
        <v>obj_0027f#0000</v>
      </c>
      <c r="S181" s="346" t="s">
        <v>19</v>
      </c>
      <c r="T181" s="346" t="s">
        <v>20</v>
      </c>
      <c r="U181" s="346" t="s">
        <v>21</v>
      </c>
      <c r="V181" s="346" t="s">
        <v>21</v>
      </c>
      <c r="W181" s="346" t="s">
        <v>70</v>
      </c>
      <c r="X181" s="353" t="str">
        <f ca="1">_xll.qlSchedule(,K181,L181,S181,T181,U181,V181,W181)</f>
        <v>obj_00385#0001</v>
      </c>
      <c r="Y181" s="349" t="s">
        <v>1742</v>
      </c>
      <c r="Z181" s="354" t="s">
        <v>36</v>
      </c>
      <c r="AA181" s="354" t="s">
        <v>1745</v>
      </c>
      <c r="AB181" s="353" t="str">
        <f ca="1">_xll.qlVanillaSwap(,,,R181,,Y181,X181,Z181,,AA181)</f>
        <v>obj_0038e#0001</v>
      </c>
      <c r="AC181" s="353" t="b">
        <f ca="1">_xll.qlInstrumentSetPricingEngine(AB181,_xll.qlDiscountingSwapEngine(,Curve!$S$16))</f>
        <v>1</v>
      </c>
      <c r="AD181" s="355" t="e">
        <f ca="1">_xll.qlVanillaSwapFairRate(AB181,AC181)</f>
        <v>#NUM!</v>
      </c>
      <c r="AE181" s="346" t="s">
        <v>1752</v>
      </c>
      <c r="AF181" s="347">
        <v>10000</v>
      </c>
      <c r="AG181" s="350" t="str">
        <f ca="1">_xll.qlVanillaSwap(,AE181,AF181,R181,AD181,Y181,X181,Z181,,AA181)</f>
        <v>obj_0066d#0000</v>
      </c>
      <c r="AH181" s="347" t="str">
        <f ca="1">_xll.qlEuropeanExercise(,J181)</f>
        <v>obj_0011b#0001</v>
      </c>
      <c r="AI181" s="346" t="s">
        <v>1749</v>
      </c>
      <c r="AJ181" s="356" t="str">
        <f ca="1">_xll.qlSwaption(,AG181,AH181,AI181)</f>
        <v>obj_00773#0001</v>
      </c>
      <c r="AK181" s="357" t="str">
        <f ca="1">_xll.qlConstantSwaptionVolatility(,,H181,I181,F181)</f>
        <v>obj_000bd#0001</v>
      </c>
      <c r="AL181" s="357" t="b">
        <f ca="1">_xll.qlInstrumentSetPricingEngine(AJ181,_xll.qlBachelierBlackSwaptionEngine(,Curve!$S$16,AK181))</f>
        <v>1</v>
      </c>
      <c r="AM181" s="358">
        <f ca="1">_xll.qlInstrumentNPV(AJ181,AL181)*2/_xll.qlYieldTSDiscount(Curve!$S$16,K181)</f>
        <v>2383.6976685356963</v>
      </c>
      <c r="AN181" s="358">
        <f ca="1">_xll.qlInstrumentResults(AJ181,"annuity",AL181)</f>
        <v>137126.21666974117</v>
      </c>
      <c r="AO181" s="359">
        <f ca="1">G181/2*_xll.qlYieldTSDiscount(Curve!$S$16,K181)/AN181</f>
        <v>8.9934321653881936E-3</v>
      </c>
      <c r="AP181" s="360" t="e">
        <f ca="1">_xll.qlBachelierBlackFormulaImpliedVol("Call",AD181,AD181,_xll.qlDayCounterYearFraction("Act/365 (Fixed)",C181,J181),AO181)</f>
        <v>#VALUE!</v>
      </c>
      <c r="AQ181" s="361" t="e">
        <f ca="1">_xll.qlBlackFormulaImpliedStdDev("Call",AD181,AD181,AO181)/SQRT(_xll.qlDayCounterYearFraction("Act/365 (Fixed)",C181,J181))</f>
        <v>#VALUE!</v>
      </c>
      <c r="AS181" s="363">
        <v>6.3820653650294278E-3</v>
      </c>
      <c r="AT181" s="363">
        <v>7.1248800651942251E-3</v>
      </c>
      <c r="AU181" s="365">
        <f t="shared" ca="1" si="10"/>
        <v>-2.0653650294275711E-6</v>
      </c>
      <c r="AV181" s="365">
        <f t="shared" ca="1" si="11"/>
        <v>-7.4488006519422487E-4</v>
      </c>
    </row>
    <row r="182" spans="2:48">
      <c r="B182" s="348" t="str">
        <f t="shared" ca="1" si="9"/>
        <v>15Yx20Y</v>
      </c>
      <c r="C182" s="345">
        <f t="shared" ca="1" si="8"/>
        <v>42254</v>
      </c>
      <c r="D182" s="346" t="s">
        <v>17</v>
      </c>
      <c r="E182" s="346" t="s">
        <v>104</v>
      </c>
      <c r="F182" s="351">
        <f ca="1">VLOOKUP(F$3&amp;$D182&amp;$E182,'Swaption Volatilities'!$V:$W,2,FALSE)%%</f>
        <v>5.9099999999999995E-3</v>
      </c>
      <c r="G182" s="352">
        <f ca="1">VLOOKUP(G$3&amp;$D182&amp;$E182,'Swaption Volatilities'!$V:$W,2,FALSE)</f>
        <v>3057</v>
      </c>
      <c r="H182" s="346" t="s">
        <v>20</v>
      </c>
      <c r="I182" s="346" t="s">
        <v>21</v>
      </c>
      <c r="J182" s="345">
        <f ca="1">_xll.qlCalendarAdvance(H182,C182,D182,I182)</f>
        <v>47735</v>
      </c>
      <c r="K182" s="345">
        <f ca="1">_xll.qlCalendarAdvance(H182,J182,"2d")</f>
        <v>47737</v>
      </c>
      <c r="L182" s="345">
        <f ca="1">_xll.qlCalendarAdvance(H182,K182,E182,"unadjusted")</f>
        <v>55042</v>
      </c>
      <c r="M182" s="346" t="s">
        <v>7</v>
      </c>
      <c r="N182" s="346" t="s">
        <v>20</v>
      </c>
      <c r="O182" s="346" t="s">
        <v>21</v>
      </c>
      <c r="P182" s="346" t="s">
        <v>21</v>
      </c>
      <c r="Q182" s="346" t="s">
        <v>70</v>
      </c>
      <c r="R182" s="353" t="str">
        <f ca="1">_xll.qlSchedule(,K182,L182,M182,N182,O182,P182,Q182)</f>
        <v>obj_00576#0001</v>
      </c>
      <c r="S182" s="346" t="s">
        <v>19</v>
      </c>
      <c r="T182" s="346" t="s">
        <v>20</v>
      </c>
      <c r="U182" s="346" t="s">
        <v>21</v>
      </c>
      <c r="V182" s="346" t="s">
        <v>21</v>
      </c>
      <c r="W182" s="346" t="s">
        <v>70</v>
      </c>
      <c r="X182" s="353" t="str">
        <f ca="1">_xll.qlSchedule(,K182,L182,S182,T182,U182,V182,W182)</f>
        <v>obj_00575#0001</v>
      </c>
      <c r="Y182" s="349" t="s">
        <v>1742</v>
      </c>
      <c r="Z182" s="354" t="s">
        <v>36</v>
      </c>
      <c r="AA182" s="354" t="s">
        <v>1745</v>
      </c>
      <c r="AB182" s="353" t="str">
        <f ca="1">_xll.qlVanillaSwap(,,,R182,,Y182,X182,Z182,,AA182)</f>
        <v>obj_005f6#0001</v>
      </c>
      <c r="AC182" s="353" t="b">
        <f ca="1">_xll.qlInstrumentSetPricingEngine(AB182,_xll.qlDiscountingSwapEngine(,Curve!$S$16))</f>
        <v>1</v>
      </c>
      <c r="AD182" s="355">
        <f ca="1">_xll.qlVanillaSwapFairRate(AB182,AC182)</f>
        <v>1.7549370527475971E-2</v>
      </c>
      <c r="AE182" s="346" t="s">
        <v>1752</v>
      </c>
      <c r="AF182" s="347">
        <v>10000</v>
      </c>
      <c r="AG182" s="350" t="str">
        <f ca="1">_xll.qlVanillaSwap(,AE182,AF182,R182,AD182,Y182,X182,Z182,,AA182)</f>
        <v>obj_0062d#0000</v>
      </c>
      <c r="AH182" s="347" t="str">
        <f ca="1">_xll.qlEuropeanExercise(,J182)</f>
        <v>obj_003d2#0001</v>
      </c>
      <c r="AI182" s="346" t="s">
        <v>1749</v>
      </c>
      <c r="AJ182" s="356" t="str">
        <f ca="1">_xll.qlSwaption(,AG182,AH182,AI182)</f>
        <v>obj_0067b#0001</v>
      </c>
      <c r="AK182" s="357" t="str">
        <f ca="1">_xll.qlConstantSwaptionVolatility(,,H182,I182,F182)</f>
        <v>obj_00102#0001</v>
      </c>
      <c r="AL182" s="357" t="b">
        <f ca="1">_xll.qlInstrumentSetPricingEngine(AJ182,_xll.qlBachelierBlackSwaptionEngine(,Curve!$S$16,AK182))</f>
        <v>1</v>
      </c>
      <c r="AM182" s="358">
        <f ca="1">_xll.qlInstrumentNPV(AJ182,AL182)*2/_xll.qlYieldTSDiscount(Curve!$S$16,K182)</f>
        <v>2810.8961442514269</v>
      </c>
      <c r="AN182" s="358">
        <f ca="1">_xll.qlInstrumentResults(AJ182,"annuity",AL182)</f>
        <v>128977.50640818469</v>
      </c>
      <c r="AO182" s="359">
        <f ca="1">G182/2*_xll.qlYieldTSDiscount(Curve!$S$16,K182)/AN182</f>
        <v>9.9364592188870855E-3</v>
      </c>
      <c r="AP182" s="360">
        <f ca="1">_xll.qlBachelierBlackFormulaImpliedVol("Call",AD182,AD182,_xll.qlDayCounterYearFraction("Act/365 (Fixed)",C182,J182),AO182)</f>
        <v>6.427441311536373E-3</v>
      </c>
      <c r="AQ182" s="361">
        <f ca="1">_xll.qlBlackFormulaImpliedStdDev("Call",AD182,AD182,AO182)/SQRT(_xll.qlDayCounterYearFraction("Act/365 (Fixed)",C182,J182))</f>
        <v>0.40396643624598644</v>
      </c>
      <c r="AS182" s="363">
        <v>5.9043876994203902E-3</v>
      </c>
      <c r="AT182" s="363">
        <v>6.427441311536373E-3</v>
      </c>
      <c r="AU182" s="365">
        <f t="shared" ca="1" si="10"/>
        <v>5.6123005796092709E-6</v>
      </c>
      <c r="AV182" s="365">
        <f t="shared" ca="1" si="11"/>
        <v>-5.1744131153637352E-4</v>
      </c>
    </row>
    <row r="183" spans="2:48">
      <c r="B183" s="348" t="str">
        <f t="shared" ca="1" si="9"/>
        <v>20Yx20Y</v>
      </c>
      <c r="C183" s="345">
        <f t="shared" ca="1" si="8"/>
        <v>42254</v>
      </c>
      <c r="D183" s="346" t="s">
        <v>104</v>
      </c>
      <c r="E183" s="346" t="s">
        <v>104</v>
      </c>
      <c r="F183" s="351">
        <f ca="1">VLOOKUP(F$3&amp;$D183&amp;$E183,'Swaption Volatilities'!$V:$W,2,FALSE)%%</f>
        <v>5.4899999999999992E-3</v>
      </c>
      <c r="G183" s="352">
        <f ca="1">VLOOKUP(G$3&amp;$D183&amp;$E183,'Swaption Volatilities'!$V:$W,2,FALSE)</f>
        <v>3316</v>
      </c>
      <c r="H183" s="346" t="s">
        <v>20</v>
      </c>
      <c r="I183" s="346" t="s">
        <v>21</v>
      </c>
      <c r="J183" s="345">
        <f ca="1">_xll.qlCalendarAdvance(H183,C183,D183,I183)</f>
        <v>49559</v>
      </c>
      <c r="K183" s="345">
        <f ca="1">_xll.qlCalendarAdvance(H183,J183,"2d")</f>
        <v>49563</v>
      </c>
      <c r="L183" s="345">
        <f ca="1">_xll.qlCalendarAdvance(H183,K183,E183,"unadjusted")</f>
        <v>56868</v>
      </c>
      <c r="M183" s="346" t="s">
        <v>7</v>
      </c>
      <c r="N183" s="346" t="s">
        <v>20</v>
      </c>
      <c r="O183" s="346" t="s">
        <v>21</v>
      </c>
      <c r="P183" s="346" t="s">
        <v>21</v>
      </c>
      <c r="Q183" s="346" t="s">
        <v>70</v>
      </c>
      <c r="R183" s="353" t="str">
        <f ca="1">_xll.qlSchedule(,K183,L183,M183,N183,O183,P183,Q183)</f>
        <v>obj_004f9#0001</v>
      </c>
      <c r="S183" s="346" t="s">
        <v>19</v>
      </c>
      <c r="T183" s="346" t="s">
        <v>20</v>
      </c>
      <c r="U183" s="346" t="s">
        <v>21</v>
      </c>
      <c r="V183" s="346" t="s">
        <v>21</v>
      </c>
      <c r="W183" s="346" t="s">
        <v>70</v>
      </c>
      <c r="X183" s="353" t="str">
        <f ca="1">_xll.qlSchedule(,K183,L183,S183,T183,U183,V183,W183)</f>
        <v>obj_004fa#0001</v>
      </c>
      <c r="Y183" s="349" t="s">
        <v>1742</v>
      </c>
      <c r="Z183" s="354" t="s">
        <v>36</v>
      </c>
      <c r="AA183" s="354" t="s">
        <v>1745</v>
      </c>
      <c r="AB183" s="353" t="str">
        <f ca="1">_xll.qlVanillaSwap(,,,R183,,Y183,X183,Z183,,AA183)</f>
        <v>obj_005a1#0001</v>
      </c>
      <c r="AC183" s="353" t="b">
        <f ca="1">_xll.qlInstrumentSetPricingEngine(AB183,_xll.qlDiscountingSwapEngine(,Curve!$S$16))</f>
        <v>1</v>
      </c>
      <c r="AD183" s="355" t="e">
        <f ca="1">_xll.qlVanillaSwapFairRate(AB183,AC183)</f>
        <v>#NUM!</v>
      </c>
      <c r="AE183" s="346" t="s">
        <v>1752</v>
      </c>
      <c r="AF183" s="347">
        <v>10000</v>
      </c>
      <c r="AG183" s="350" t="str">
        <f ca="1">_xll.qlVanillaSwap(,AE183,AF183,R183,AD183,Y183,X183,Z183,,AA183)</f>
        <v>obj_006c7#0000</v>
      </c>
      <c r="AH183" s="347" t="str">
        <f ca="1">_xll.qlEuropeanExercise(,J183)</f>
        <v>obj_000e5#0001</v>
      </c>
      <c r="AI183" s="346" t="s">
        <v>1749</v>
      </c>
      <c r="AJ183" s="356" t="str">
        <f ca="1">_xll.qlSwaption(,AG183,AH183,AI183)</f>
        <v>obj_00767#0001</v>
      </c>
      <c r="AK183" s="357" t="str">
        <f ca="1">_xll.qlConstantSwaptionVolatility(,,H183,I183,F183)</f>
        <v>obj_00188#0001</v>
      </c>
      <c r="AL183" s="357" t="b">
        <f ca="1">_xll.qlInstrumentSetPricingEngine(AJ183,_xll.qlBachelierBlackSwaptionEngine(,Curve!$S$16,AK183))</f>
        <v>1</v>
      </c>
      <c r="AM183" s="358">
        <f ca="1">_xll.qlInstrumentNPV(AJ183,AL183)*2/_xll.qlYieldTSDiscount(Curve!$S$16,K183)</f>
        <v>3149.723213137022</v>
      </c>
      <c r="AN183" s="358">
        <f ca="1">_xll.qlInstrumentResults(AJ183,"annuity",AL183)</f>
        <v>122496.04733419575</v>
      </c>
      <c r="AO183" s="359">
        <f ca="1">G183/2*_xll.qlYieldTSDiscount(Curve!$S$16,K183)/AN183</f>
        <v>1.0315450963464996E-2</v>
      </c>
      <c r="AP183" s="360" t="e">
        <f ca="1">_xll.qlBachelierBlackFormulaImpliedVol("Call",AD183,AD183,_xll.qlDayCounterYearFraction("Act/365 (Fixed)",C183,J183),AO183)</f>
        <v>#VALUE!</v>
      </c>
      <c r="AQ183" s="361" t="e">
        <f ca="1">_xll.qlBlackFormulaImpliedStdDev("Call",AD183,AD183,AO183)/SQRT(_xll.qlDayCounterYearFraction("Act/365 (Fixed)",C183,J183))</f>
        <v>#VALUE!</v>
      </c>
      <c r="AS183" s="363">
        <v>5.4683441597781759E-3</v>
      </c>
      <c r="AT183" s="363">
        <v>5.7798221520133451E-3</v>
      </c>
      <c r="AU183" s="365">
        <f t="shared" ca="1" si="10"/>
        <v>2.1655840221823305E-5</v>
      </c>
      <c r="AV183" s="365">
        <f t="shared" ca="1" si="11"/>
        <v>-2.8982215201334583E-4</v>
      </c>
    </row>
    <row r="184" spans="2:48">
      <c r="B184" s="348" t="str">
        <f t="shared" ca="1" si="9"/>
        <v>1Mx25Y</v>
      </c>
      <c r="C184" s="345">
        <f t="shared" ca="1" si="8"/>
        <v>42254</v>
      </c>
      <c r="D184" s="346" t="s">
        <v>23</v>
      </c>
      <c r="E184" s="346" t="s">
        <v>105</v>
      </c>
      <c r="F184" s="351">
        <f ca="1">VLOOKUP(F$3&amp;$D184&amp;$E184,'Swaption Volatilities'!$V:$W,2,FALSE)%%</f>
        <v>8.9099999999999995E-3</v>
      </c>
      <c r="G184" s="352">
        <f ca="1">VLOOKUP(G$3&amp;$D184&amp;$E184,'Swaption Volatilities'!$V:$W,2,FALSE)</f>
        <v>420</v>
      </c>
      <c r="H184" s="346" t="s">
        <v>20</v>
      </c>
      <c r="I184" s="346" t="s">
        <v>21</v>
      </c>
      <c r="J184" s="345">
        <f ca="1">_xll.qlCalendarAdvance(H184,C184,D184,I184)</f>
        <v>42284</v>
      </c>
      <c r="K184" s="345">
        <f ca="1">_xll.qlCalendarAdvance(H184,J184,"2d")</f>
        <v>42286</v>
      </c>
      <c r="L184" s="345">
        <f ca="1">_xll.qlCalendarAdvance(H184,K184,E184,"unadjusted")</f>
        <v>51418</v>
      </c>
      <c r="M184" s="346" t="s">
        <v>7</v>
      </c>
      <c r="N184" s="346" t="s">
        <v>20</v>
      </c>
      <c r="O184" s="346" t="s">
        <v>21</v>
      </c>
      <c r="P184" s="346" t="s">
        <v>21</v>
      </c>
      <c r="Q184" s="346" t="s">
        <v>70</v>
      </c>
      <c r="R184" s="353" t="str">
        <f ca="1">_xll.qlSchedule(,K184,L184,M184,N184,O184,P184,Q184)</f>
        <v>obj_006fb#0001</v>
      </c>
      <c r="S184" s="346" t="s">
        <v>19</v>
      </c>
      <c r="T184" s="346" t="s">
        <v>20</v>
      </c>
      <c r="U184" s="346" t="s">
        <v>21</v>
      </c>
      <c r="V184" s="346" t="s">
        <v>21</v>
      </c>
      <c r="W184" s="346" t="s">
        <v>70</v>
      </c>
      <c r="X184" s="353" t="str">
        <f ca="1">_xll.qlSchedule(,K184,L184,S184,T184,U184,V184,W184)</f>
        <v>obj_0048f#0001</v>
      </c>
      <c r="Y184" s="349" t="s">
        <v>1742</v>
      </c>
      <c r="Z184" s="354" t="s">
        <v>36</v>
      </c>
      <c r="AA184" s="354" t="s">
        <v>1745</v>
      </c>
      <c r="AB184" s="353" t="str">
        <f ca="1">_xll.qlVanillaSwap(,,,R184,,Y184,X184,Z184,,AA184)</f>
        <v>obj_00716#0001</v>
      </c>
      <c r="AC184" s="353" t="b">
        <f ca="1">_xll.qlInstrumentSetPricingEngine(AB184,_xll.qlDiscountingSwapEngine(,Curve!$S$16))</f>
        <v>1</v>
      </c>
      <c r="AD184" s="355" t="e">
        <f ca="1">_xll.qlVanillaSwapFairRate(AB184,AC184)</f>
        <v>#NUM!</v>
      </c>
      <c r="AE184" s="346" t="s">
        <v>1752</v>
      </c>
      <c r="AF184" s="347">
        <v>10000</v>
      </c>
      <c r="AG184" s="350" t="e">
        <f ca="1">_xll.qlVanillaSwap(,AE184,AF184,R184,AD184,Y184,X184,Z184,,AA184)</f>
        <v>#NUM!</v>
      </c>
      <c r="AH184" s="347" t="str">
        <f ca="1">_xll.qlEuropeanExercise(,J184)</f>
        <v>obj_0011d#0001</v>
      </c>
      <c r="AI184" s="346" t="s">
        <v>1749</v>
      </c>
      <c r="AJ184" s="356" t="e">
        <f ca="1">_xll.qlSwaption(,AG184,AH184,AI184)</f>
        <v>#VALUE!</v>
      </c>
      <c r="AK184" s="357" t="str">
        <f ca="1">_xll.qlConstantSwaptionVolatility(,,H184,I184,F184)</f>
        <v>obj_00180#0001</v>
      </c>
      <c r="AL184" s="357" t="e">
        <f ca="1">_xll.qlInstrumentSetPricingEngine(AJ184,_xll.qlBachelierBlackSwaptionEngine(,Curve!$S$16,AK184))</f>
        <v>#VALUE!</v>
      </c>
      <c r="AM184" s="358" t="e">
        <f ca="1">_xll.qlInstrumentNPV(AJ184,AL184)*2/_xll.qlYieldTSDiscount(Curve!$S$16,K184)</f>
        <v>#VALUE!</v>
      </c>
      <c r="AN184" s="358" t="e">
        <f ca="1">_xll.qlInstrumentResults(AJ184,"annuity",AL184)</f>
        <v>#VALUE!</v>
      </c>
      <c r="AO184" s="359" t="e">
        <f ca="1">G184/2*_xll.qlYieldTSDiscount(Curve!$S$16,K184)/AN184</f>
        <v>#VALUE!</v>
      </c>
      <c r="AP184" s="360" t="e">
        <f ca="1">_xll.qlBachelierBlackFormulaImpliedVol("Call",AD184,AD184,_xll.qlDayCounterYearFraction("Act/365 (Fixed)",C184,J184),AO184)</f>
        <v>#VALUE!</v>
      </c>
      <c r="AQ184" s="361" t="e">
        <f ca="1">_xll.qlBlackFormulaImpliedStdDev("Call",AD184,AD184,AO184)/SQRT(_xll.qlDayCounterYearFraction("Act/365 (Fixed)",C184,J184))</f>
        <v>#VALUE!</v>
      </c>
      <c r="AS184" s="363">
        <v>8.4558925693246217E-3</v>
      </c>
      <c r="AT184" s="363">
        <v>8.9107886959446277E-3</v>
      </c>
      <c r="AU184" s="365">
        <f t="shared" ca="1" si="10"/>
        <v>4.5410743067537777E-4</v>
      </c>
      <c r="AV184" s="365">
        <f t="shared" ca="1" si="11"/>
        <v>-7.8869594462814552E-7</v>
      </c>
    </row>
    <row r="185" spans="2:48">
      <c r="B185" s="348" t="str">
        <f t="shared" ca="1" si="9"/>
        <v>2Mx25Y</v>
      </c>
      <c r="C185" s="345">
        <f t="shared" ca="1" si="8"/>
        <v>42254</v>
      </c>
      <c r="D185" s="346" t="s">
        <v>398</v>
      </c>
      <c r="E185" s="346" t="s">
        <v>105</v>
      </c>
      <c r="F185" s="351">
        <f ca="1">VLOOKUP(F$3&amp;$D185&amp;$E185,'Swaption Volatilities'!$V:$W,2,FALSE)%%</f>
        <v>8.6999999999999994E-3</v>
      </c>
      <c r="G185" s="352">
        <f ca="1">VLOOKUP(G$3&amp;$D185&amp;$E185,'Swaption Volatilities'!$V:$W,2,FALSE)</f>
        <v>594</v>
      </c>
      <c r="H185" s="346" t="s">
        <v>20</v>
      </c>
      <c r="I185" s="346" t="s">
        <v>21</v>
      </c>
      <c r="J185" s="345">
        <f ca="1">_xll.qlCalendarAdvance(H185,C185,D185,I185)</f>
        <v>42317</v>
      </c>
      <c r="K185" s="345">
        <f ca="1">_xll.qlCalendarAdvance(H185,J185,"2d")</f>
        <v>42319</v>
      </c>
      <c r="L185" s="345">
        <f ca="1">_xll.qlCalendarAdvance(H185,K185,E185,"unadjusted")</f>
        <v>51451</v>
      </c>
      <c r="M185" s="346" t="s">
        <v>7</v>
      </c>
      <c r="N185" s="346" t="s">
        <v>20</v>
      </c>
      <c r="O185" s="346" t="s">
        <v>21</v>
      </c>
      <c r="P185" s="346" t="s">
        <v>21</v>
      </c>
      <c r="Q185" s="346" t="s">
        <v>70</v>
      </c>
      <c r="R185" s="353" t="str">
        <f ca="1">_xll.qlSchedule(,K185,L185,M185,N185,O185,P185,Q185)</f>
        <v>obj_005ca#0001</v>
      </c>
      <c r="S185" s="346" t="s">
        <v>19</v>
      </c>
      <c r="T185" s="346" t="s">
        <v>20</v>
      </c>
      <c r="U185" s="346" t="s">
        <v>21</v>
      </c>
      <c r="V185" s="346" t="s">
        <v>21</v>
      </c>
      <c r="W185" s="346" t="s">
        <v>70</v>
      </c>
      <c r="X185" s="353" t="str">
        <f ca="1">_xll.qlSchedule(,K185,L185,S185,T185,U185,V185,W185)</f>
        <v>obj_005cb#0001</v>
      </c>
      <c r="Y185" s="349" t="s">
        <v>1742</v>
      </c>
      <c r="Z185" s="354" t="s">
        <v>36</v>
      </c>
      <c r="AA185" s="354" t="s">
        <v>1745</v>
      </c>
      <c r="AB185" s="353" t="str">
        <f ca="1">_xll.qlVanillaSwap(,,,R185,,Y185,X185,Z185,,AA185)</f>
        <v>obj_00620#0001</v>
      </c>
      <c r="AC185" s="353" t="b">
        <f ca="1">_xll.qlInstrumentSetPricingEngine(AB185,_xll.qlDiscountingSwapEngine(,Curve!$S$16))</f>
        <v>1</v>
      </c>
      <c r="AD185" s="355" t="e">
        <f ca="1">_xll.qlVanillaSwapFairRate(AB185,AC185)</f>
        <v>#NUM!</v>
      </c>
      <c r="AE185" s="346" t="s">
        <v>1752</v>
      </c>
      <c r="AF185" s="347">
        <v>10000</v>
      </c>
      <c r="AG185" s="350" t="str">
        <f ca="1">_xll.qlVanillaSwap(,AE185,AF185,R185,AD185,Y185,X185,Z185,,AA185)</f>
        <v>obj_00644#0000</v>
      </c>
      <c r="AH185" s="347" t="str">
        <f ca="1">_xll.qlEuropeanExercise(,J185)</f>
        <v>obj_00473#0001</v>
      </c>
      <c r="AI185" s="346" t="s">
        <v>1749</v>
      </c>
      <c r="AJ185" s="356" t="str">
        <f ca="1">_xll.qlSwaption(,AG185,AH185,AI185)</f>
        <v>obj_00759#0001</v>
      </c>
      <c r="AK185" s="357" t="str">
        <f ca="1">_xll.qlConstantSwaptionVolatility(,,H185,I185,F185)</f>
        <v>obj_000f3#0001</v>
      </c>
      <c r="AL185" s="357" t="b">
        <f ca="1">_xll.qlInstrumentSetPricingEngine(AJ185,_xll.qlBachelierBlackSwaptionEngine(,Curve!$S$16,AK185))</f>
        <v>1</v>
      </c>
      <c r="AM185" s="358">
        <f ca="1">_xll.qlInstrumentNPV(AJ185,AL185)*2/_xll.qlYieldTSDiscount(Curve!$S$16,K185)</f>
        <v>592.95680629279832</v>
      </c>
      <c r="AN185" s="358">
        <f ca="1">_xll.qlInstrumentResults(AJ185,"annuity",AL185)</f>
        <v>205657.05048433412</v>
      </c>
      <c r="AO185" s="359">
        <f ca="1">G185/2*_xll.qlYieldTSDiscount(Curve!$S$16,K185)/AN185</f>
        <v>1.4444966780264245E-3</v>
      </c>
      <c r="AP185" s="360" t="e">
        <f ca="1">_xll.qlBachelierBlackFormulaImpliedVol("Call",AD185,AD185,_xll.qlDayCounterYearFraction("Act/365 (Fixed)",C185,J185),AO185)</f>
        <v>#VALUE!</v>
      </c>
      <c r="AQ185" s="361" t="e">
        <f ca="1">_xll.qlBlackFormulaImpliedStdDev("Call",AD185,AD185,AO185)/SQRT(_xll.qlDayCounterYearFraction("Act/365 (Fixed)",C185,J185))</f>
        <v>#VALUE!</v>
      </c>
      <c r="AS185" s="363">
        <v>8.2632982782639888E-3</v>
      </c>
      <c r="AT185" s="363">
        <v>8.715305980395778E-3</v>
      </c>
      <c r="AU185" s="365">
        <f t="shared" ca="1" si="10"/>
        <v>4.3670172173601064E-4</v>
      </c>
      <c r="AV185" s="365">
        <f t="shared" ca="1" si="11"/>
        <v>-1.5305980395778629E-5</v>
      </c>
    </row>
    <row r="186" spans="2:48">
      <c r="B186" s="348" t="str">
        <f t="shared" ca="1" si="9"/>
        <v>3Mx25Y</v>
      </c>
      <c r="C186" s="345">
        <f t="shared" ca="1" si="8"/>
        <v>42254</v>
      </c>
      <c r="D186" s="346" t="s">
        <v>26</v>
      </c>
      <c r="E186" s="346" t="s">
        <v>105</v>
      </c>
      <c r="F186" s="351">
        <f ca="1">VLOOKUP(F$3&amp;$D186&amp;$E186,'Swaption Volatilities'!$V:$W,2,FALSE)%%</f>
        <v>8.3999999999999995E-3</v>
      </c>
      <c r="G186" s="352">
        <f ca="1">VLOOKUP(G$3&amp;$D186&amp;$E186,'Swaption Volatilities'!$V:$W,2,FALSE)</f>
        <v>689</v>
      </c>
      <c r="H186" s="346" t="s">
        <v>20</v>
      </c>
      <c r="I186" s="346" t="s">
        <v>21</v>
      </c>
      <c r="J186" s="345">
        <f ca="1">_xll.qlCalendarAdvance(H186,C186,D186,I186)</f>
        <v>42345</v>
      </c>
      <c r="K186" s="345">
        <f ca="1">_xll.qlCalendarAdvance(H186,J186,"2d")</f>
        <v>42347</v>
      </c>
      <c r="L186" s="345">
        <f ca="1">_xll.qlCalendarAdvance(H186,K186,E186,"unadjusted")</f>
        <v>51479</v>
      </c>
      <c r="M186" s="346" t="s">
        <v>7</v>
      </c>
      <c r="N186" s="346" t="s">
        <v>20</v>
      </c>
      <c r="O186" s="346" t="s">
        <v>21</v>
      </c>
      <c r="P186" s="346" t="s">
        <v>21</v>
      </c>
      <c r="Q186" s="346" t="s">
        <v>70</v>
      </c>
      <c r="R186" s="353" t="str">
        <f ca="1">_xll.qlSchedule(,K186,L186,M186,N186,O186,P186,Q186)</f>
        <v>obj_0054c#0001</v>
      </c>
      <c r="S186" s="346" t="s">
        <v>19</v>
      </c>
      <c r="T186" s="346" t="s">
        <v>20</v>
      </c>
      <c r="U186" s="346" t="s">
        <v>21</v>
      </c>
      <c r="V186" s="346" t="s">
        <v>21</v>
      </c>
      <c r="W186" s="346" t="s">
        <v>70</v>
      </c>
      <c r="X186" s="353" t="str">
        <f ca="1">_xll.qlSchedule(,K186,L186,S186,T186,U186,V186,W186)</f>
        <v>obj_0054b#0000</v>
      </c>
      <c r="Y186" s="349" t="s">
        <v>1742</v>
      </c>
      <c r="Z186" s="354" t="s">
        <v>36</v>
      </c>
      <c r="AA186" s="354" t="s">
        <v>1745</v>
      </c>
      <c r="AB186" s="353" t="str">
        <f ca="1">_xll.qlVanillaSwap(,,,R186,,Y186,X186,Z186,,AA186)</f>
        <v>obj_005d8#0001</v>
      </c>
      <c r="AC186" s="353" t="b">
        <f ca="1">_xll.qlInstrumentSetPricingEngine(AB186,_xll.qlDiscountingSwapEngine(,Curve!$S$16))</f>
        <v>1</v>
      </c>
      <c r="AD186" s="355">
        <f ca="1">_xll.qlVanillaSwapFairRate(AB186,AC186)</f>
        <v>1.5455470255914492E-2</v>
      </c>
      <c r="AE186" s="346" t="s">
        <v>1752</v>
      </c>
      <c r="AF186" s="347">
        <v>10000</v>
      </c>
      <c r="AG186" s="350" t="str">
        <f ca="1">_xll.qlVanillaSwap(,AE186,AF186,R186,AD186,Y186,X186,Z186,,AA186)</f>
        <v>obj_00623#0000</v>
      </c>
      <c r="AH186" s="347" t="str">
        <f ca="1">_xll.qlEuropeanExercise(,J186)</f>
        <v>obj_00487#0001</v>
      </c>
      <c r="AI186" s="346" t="s">
        <v>1749</v>
      </c>
      <c r="AJ186" s="356" t="str">
        <f ca="1">_xll.qlSwaption(,AG186,AH186,AI186)</f>
        <v>obj_0067d#0001</v>
      </c>
      <c r="AK186" s="357" t="str">
        <f ca="1">_xll.qlConstantSwaptionVolatility(,,H186,I186,F186)</f>
        <v>obj_00086#0001</v>
      </c>
      <c r="AL186" s="357" t="b">
        <f ca="1">_xll.qlInstrumentSetPricingEngine(AJ186,_xll.qlBachelierBlackSwaptionEngine(,Curve!$S$16,AK186))</f>
        <v>1</v>
      </c>
      <c r="AM186" s="358">
        <f ca="1">_xll.qlInstrumentNPV(AJ186,AL186)*2/_xll.qlYieldTSDiscount(Curve!$S$16,K186)</f>
        <v>686.72313287329496</v>
      </c>
      <c r="AN186" s="358">
        <f ca="1">_xll.qlInstrumentResults(AJ186,"annuity",AL186)</f>
        <v>205276.10007686948</v>
      </c>
      <c r="AO186" s="359">
        <f ca="1">G186/2*_xll.qlYieldTSDiscount(Curve!$S$16,K186)/AN186</f>
        <v>1.6788085041067938E-3</v>
      </c>
      <c r="AP186" s="360">
        <f ca="1">_xll.qlBachelierBlackFormulaImpliedVol("Call",AD186,AD186,_xll.qlDayCounterYearFraction("Act/365 (Fixed)",C186,J186),AO186)</f>
        <v>8.4278506474427025E-3</v>
      </c>
      <c r="AQ186" s="361">
        <f ca="1">_xll.qlBlackFormulaImpliedStdDev("Call",AD186,AD186,AO186)/SQRT(_xll.qlDayCounterYearFraction("Act/365 (Fixed)",C186,J186))</f>
        <v>0.54699428014805784</v>
      </c>
      <c r="AS186" s="363">
        <v>7.9845864606191107E-3</v>
      </c>
      <c r="AT186" s="363">
        <v>8.4278506474427025E-3</v>
      </c>
      <c r="AU186" s="365">
        <f t="shared" ca="1" si="10"/>
        <v>4.154135393808888E-4</v>
      </c>
      <c r="AV186" s="365">
        <f t="shared" ca="1" si="11"/>
        <v>-2.7850647442703019E-5</v>
      </c>
    </row>
    <row r="187" spans="2:48">
      <c r="B187" s="348" t="str">
        <f t="shared" ca="1" si="9"/>
        <v>6Mx25Y</v>
      </c>
      <c r="C187" s="345">
        <f t="shared" ca="1" si="8"/>
        <v>42254</v>
      </c>
      <c r="D187" s="346" t="s">
        <v>19</v>
      </c>
      <c r="E187" s="346" t="s">
        <v>105</v>
      </c>
      <c r="F187" s="351">
        <f ca="1">VLOOKUP(F$3&amp;$D187&amp;$E187,'Swaption Volatilities'!$V:$W,2,FALSE)%%</f>
        <v>8.0499999999999999E-3</v>
      </c>
      <c r="G187" s="352">
        <f ca="1">VLOOKUP(G$3&amp;$D187&amp;$E187,'Swaption Volatilities'!$V:$W,2,FALSE)</f>
        <v>932</v>
      </c>
      <c r="H187" s="346" t="s">
        <v>20</v>
      </c>
      <c r="I187" s="346" t="s">
        <v>21</v>
      </c>
      <c r="J187" s="345">
        <f ca="1">_xll.qlCalendarAdvance(H187,C187,D187,I187)</f>
        <v>42436</v>
      </c>
      <c r="K187" s="345">
        <f ca="1">_xll.qlCalendarAdvance(H187,J187,"2d")</f>
        <v>42438</v>
      </c>
      <c r="L187" s="345">
        <f ca="1">_xll.qlCalendarAdvance(H187,K187,E187,"unadjusted")</f>
        <v>51569</v>
      </c>
      <c r="M187" s="346" t="s">
        <v>7</v>
      </c>
      <c r="N187" s="346" t="s">
        <v>20</v>
      </c>
      <c r="O187" s="346" t="s">
        <v>21</v>
      </c>
      <c r="P187" s="346" t="s">
        <v>21</v>
      </c>
      <c r="Q187" s="346" t="s">
        <v>70</v>
      </c>
      <c r="R187" s="353" t="str">
        <f ca="1">_xll.qlSchedule(,K187,L187,M187,N187,O187,P187,Q187)</f>
        <v>obj_0051e#0001</v>
      </c>
      <c r="S187" s="346" t="s">
        <v>19</v>
      </c>
      <c r="T187" s="346" t="s">
        <v>20</v>
      </c>
      <c r="U187" s="346" t="s">
        <v>21</v>
      </c>
      <c r="V187" s="346" t="s">
        <v>21</v>
      </c>
      <c r="W187" s="346" t="s">
        <v>70</v>
      </c>
      <c r="X187" s="353" t="str">
        <f ca="1">_xll.qlSchedule(,K187,L187,S187,T187,U187,V187,W187)</f>
        <v>obj_0051d#0000</v>
      </c>
      <c r="Y187" s="349" t="s">
        <v>1742</v>
      </c>
      <c r="Z187" s="354" t="s">
        <v>36</v>
      </c>
      <c r="AA187" s="354" t="s">
        <v>1745</v>
      </c>
      <c r="AB187" s="353" t="str">
        <f ca="1">_xll.qlVanillaSwap(,,,R187,,Y187,X187,Z187,,AA187)</f>
        <v>obj_005b8#0001</v>
      </c>
      <c r="AC187" s="353" t="b">
        <f ca="1">_xll.qlInstrumentSetPricingEngine(AB187,_xll.qlDiscountingSwapEngine(,Curve!$S$16))</f>
        <v>1</v>
      </c>
      <c r="AD187" s="355">
        <f ca="1">_xll.qlVanillaSwapFairRate(AB187,AC187)</f>
        <v>1.5631922302967956E-2</v>
      </c>
      <c r="AE187" s="346" t="s">
        <v>1752</v>
      </c>
      <c r="AF187" s="347">
        <v>10000</v>
      </c>
      <c r="AG187" s="350" t="str">
        <f ca="1">_xll.qlVanillaSwap(,AE187,AF187,R187,AD187,Y187,X187,Z187,,AA187)</f>
        <v>obj_0061a#0000</v>
      </c>
      <c r="AH187" s="347" t="str">
        <f ca="1">_xll.qlEuropeanExercise(,J187)</f>
        <v>obj_001a3#0001</v>
      </c>
      <c r="AI187" s="346" t="s">
        <v>1749</v>
      </c>
      <c r="AJ187" s="356" t="str">
        <f ca="1">_xll.qlSwaption(,AG187,AH187,AI187)</f>
        <v>obj_00645#0001</v>
      </c>
      <c r="AK187" s="357" t="str">
        <f ca="1">_xll.qlConstantSwaptionVolatility(,,H187,I187,F187)</f>
        <v>obj_00082#0001</v>
      </c>
      <c r="AL187" s="357" t="b">
        <f ca="1">_xll.qlInstrumentSetPricingEngine(AJ187,_xll.qlBachelierBlackSwaptionEngine(,Curve!$S$16,AK187))</f>
        <v>1</v>
      </c>
      <c r="AM187" s="358">
        <f ca="1">_xll.qlInstrumentNPV(AJ187,AL187)*2/_xll.qlYieldTSDiscount(Curve!$S$16,K187)</f>
        <v>924.84305809410534</v>
      </c>
      <c r="AN187" s="358">
        <f ca="1">_xll.qlInstrumentResults(AJ187,"annuity",AL187)</f>
        <v>204057.95153330578</v>
      </c>
      <c r="AO187" s="359">
        <f ca="1">G187/2*_xll.qlYieldTSDiscount(Curve!$S$16,K187)/AN187</f>
        <v>2.2852992611849545E-3</v>
      </c>
      <c r="AP187" s="360">
        <f ca="1">_xll.qlBachelierBlackFormulaImpliedVol("Call",AD187,AD187,_xll.qlDayCounterYearFraction("Act/365 (Fixed)",C187,J187),AO187)</f>
        <v>8.1122953071207336E-3</v>
      </c>
      <c r="AQ187" s="361">
        <f ca="1">_xll.qlBlackFormulaImpliedStdDev("Call",AD187,AD187,AO187)/SQRT(_xll.qlDayCounterYearFraction("Act/365 (Fixed)",C187,J187))</f>
        <v>0.52189537490186932</v>
      </c>
      <c r="AS187" s="363">
        <v>7.6662785247931216E-3</v>
      </c>
      <c r="AT187" s="363">
        <v>8.1122953071207336E-3</v>
      </c>
      <c r="AU187" s="365">
        <f t="shared" ca="1" si="10"/>
        <v>3.8372147520687825E-4</v>
      </c>
      <c r="AV187" s="365">
        <f t="shared" ca="1" si="11"/>
        <v>-6.2295307120733764E-5</v>
      </c>
    </row>
    <row r="188" spans="2:48">
      <c r="B188" s="348" t="str">
        <f t="shared" ca="1" si="9"/>
        <v>9Mx25Y</v>
      </c>
      <c r="C188" s="345">
        <f t="shared" ca="1" si="8"/>
        <v>42254</v>
      </c>
      <c r="D188" s="346" t="s">
        <v>412</v>
      </c>
      <c r="E188" s="346" t="s">
        <v>105</v>
      </c>
      <c r="F188" s="351">
        <f ca="1">VLOOKUP(F$3&amp;$D188&amp;$E188,'Swaption Volatilities'!$V:$W,2,FALSE)%%</f>
        <v>7.8900000000000012E-3</v>
      </c>
      <c r="G188" s="352">
        <f ca="1">VLOOKUP(G$3&amp;$D188&amp;$E188,'Swaption Volatilities'!$V:$W,2,FALSE)</f>
        <v>1117</v>
      </c>
      <c r="H188" s="346" t="s">
        <v>20</v>
      </c>
      <c r="I188" s="346" t="s">
        <v>21</v>
      </c>
      <c r="J188" s="345">
        <f ca="1">_xll.qlCalendarAdvance(H188,C188,D188,I188)</f>
        <v>42528</v>
      </c>
      <c r="K188" s="345">
        <f ca="1">_xll.qlCalendarAdvance(H188,J188,"2d")</f>
        <v>42530</v>
      </c>
      <c r="L188" s="345">
        <f ca="1">_xll.qlCalendarAdvance(H188,K188,E188,"unadjusted")</f>
        <v>51661</v>
      </c>
      <c r="M188" s="346" t="s">
        <v>7</v>
      </c>
      <c r="N188" s="346" t="s">
        <v>20</v>
      </c>
      <c r="O188" s="346" t="s">
        <v>21</v>
      </c>
      <c r="P188" s="346" t="s">
        <v>21</v>
      </c>
      <c r="Q188" s="346" t="s">
        <v>70</v>
      </c>
      <c r="R188" s="353" t="str">
        <f ca="1">_xll.qlSchedule(,K188,L188,M188,N188,O188,P188,Q188)</f>
        <v>obj_00557#0001</v>
      </c>
      <c r="S188" s="346" t="s">
        <v>19</v>
      </c>
      <c r="T188" s="346" t="s">
        <v>20</v>
      </c>
      <c r="U188" s="346" t="s">
        <v>21</v>
      </c>
      <c r="V188" s="346" t="s">
        <v>21</v>
      </c>
      <c r="W188" s="346" t="s">
        <v>70</v>
      </c>
      <c r="X188" s="353" t="str">
        <f ca="1">_xll.qlSchedule(,K188,L188,S188,T188,U188,V188,W188)</f>
        <v>obj_00694#0001</v>
      </c>
      <c r="Y188" s="349" t="s">
        <v>1742</v>
      </c>
      <c r="Z188" s="354" t="s">
        <v>36</v>
      </c>
      <c r="AA188" s="354" t="s">
        <v>1745</v>
      </c>
      <c r="AB188" s="353" t="str">
        <f ca="1">_xll.qlVanillaSwap(,,,R188,,Y188,X188,Z188,,AA188)</f>
        <v>obj_00695#0000</v>
      </c>
      <c r="AC188" s="353" t="b">
        <f ca="1">_xll.qlInstrumentSetPricingEngine(AB188,_xll.qlDiscountingSwapEngine(,Curve!$S$16))</f>
        <v>1</v>
      </c>
      <c r="AD188" s="355">
        <f ca="1">_xll.qlVanillaSwapFairRate(AB188,AC188)</f>
        <v>1.5811891953739162E-2</v>
      </c>
      <c r="AE188" s="346" t="s">
        <v>1752</v>
      </c>
      <c r="AF188" s="347">
        <v>10000</v>
      </c>
      <c r="AG188" s="350" t="str">
        <f ca="1">_xll.qlVanillaSwap(,AE188,AF188,R188,AD188,Y188,X188,Z188,,AA188)</f>
        <v>obj_00732#0001</v>
      </c>
      <c r="AH188" s="347" t="str">
        <f ca="1">_xll.qlEuropeanExercise(,J188)</f>
        <v>obj_00496#0001</v>
      </c>
      <c r="AI188" s="346" t="s">
        <v>1749</v>
      </c>
      <c r="AJ188" s="356" t="str">
        <f ca="1">_xll.qlSwaption(,AG188,AH188,AI188)</f>
        <v>obj_0073d#0001</v>
      </c>
      <c r="AK188" s="357" t="str">
        <f ca="1">_xll.qlConstantSwaptionVolatility(,,H188,I188,F188)</f>
        <v>obj_001b5#0001</v>
      </c>
      <c r="AL188" s="357" t="b">
        <f ca="1">_xll.qlInstrumentSetPricingEngine(AJ188,_xll.qlBachelierBlackSwaptionEngine(,Curve!$S$16,AK188))</f>
        <v>1</v>
      </c>
      <c r="AM188" s="358">
        <f ca="1">_xll.qlInstrumentNPV(AJ188,AL188)*2/_xll.qlYieldTSDiscount(Curve!$S$16,K188)</f>
        <v>1104.8341290668659</v>
      </c>
      <c r="AN188" s="358">
        <f ca="1">_xll.qlInstrumentResults(AJ188,"annuity",AL188)</f>
        <v>202784.1080108672</v>
      </c>
      <c r="AO188" s="359">
        <f ca="1">G188/2*_xll.qlYieldTSDiscount(Curve!$S$16,K188)/AN188</f>
        <v>2.7572237447038468E-3</v>
      </c>
      <c r="AP188" s="360">
        <f ca="1">_xll.qlBachelierBlackFormulaImpliedVol("Call",AD188,AD188,_xll.qlDayCounterYearFraction("Act/365 (Fixed)",C188,J188),AO188)</f>
        <v>7.9768806630217647E-3</v>
      </c>
      <c r="AQ188" s="361">
        <f ca="1">_xll.qlBlackFormulaImpliedStdDev("Call",AD188,AD188,AO188)/SQRT(_xll.qlDayCounterYearFraction("Act/365 (Fixed)",C188,J188))</f>
        <v>0.50857071946399257</v>
      </c>
      <c r="AS188" s="363">
        <v>7.5191974441912732E-3</v>
      </c>
      <c r="AT188" s="363">
        <v>7.9768806630217647E-3</v>
      </c>
      <c r="AU188" s="365">
        <f t="shared" ca="1" si="10"/>
        <v>3.7080255580872797E-4</v>
      </c>
      <c r="AV188" s="365">
        <f t="shared" ca="1" si="11"/>
        <v>-8.6880663021763477E-5</v>
      </c>
    </row>
    <row r="189" spans="2:48">
      <c r="B189" s="348" t="str">
        <f t="shared" ca="1" si="9"/>
        <v>1Yx25Y</v>
      </c>
      <c r="C189" s="345">
        <f t="shared" ca="1" si="8"/>
        <v>42254</v>
      </c>
      <c r="D189" s="346" t="s">
        <v>7</v>
      </c>
      <c r="E189" s="346" t="s">
        <v>105</v>
      </c>
      <c r="F189" s="351">
        <f ca="1">VLOOKUP(F$3&amp;$D189&amp;$E189,'Swaption Volatilities'!$V:$W,2,FALSE)%%</f>
        <v>7.7800000000000005E-3</v>
      </c>
      <c r="G189" s="352">
        <f ca="1">VLOOKUP(G$3&amp;$D189&amp;$E189,'Swaption Volatilities'!$V:$W,2,FALSE)</f>
        <v>1272</v>
      </c>
      <c r="H189" s="346" t="s">
        <v>20</v>
      </c>
      <c r="I189" s="346" t="s">
        <v>21</v>
      </c>
      <c r="J189" s="345">
        <f ca="1">_xll.qlCalendarAdvance(H189,C189,D189,I189)</f>
        <v>42620</v>
      </c>
      <c r="K189" s="345">
        <f ca="1">_xll.qlCalendarAdvance(H189,J189,"2d")</f>
        <v>42622</v>
      </c>
      <c r="L189" s="345">
        <f ca="1">_xll.qlCalendarAdvance(H189,K189,E189,"unadjusted")</f>
        <v>51753</v>
      </c>
      <c r="M189" s="346" t="s">
        <v>7</v>
      </c>
      <c r="N189" s="346" t="s">
        <v>20</v>
      </c>
      <c r="O189" s="346" t="s">
        <v>21</v>
      </c>
      <c r="P189" s="346" t="s">
        <v>21</v>
      </c>
      <c r="Q189" s="346" t="s">
        <v>70</v>
      </c>
      <c r="R189" s="353" t="str">
        <f ca="1">_xll.qlSchedule(,K189,L189,M189,N189,O189,P189,Q189)</f>
        <v>obj_006db#0001</v>
      </c>
      <c r="S189" s="346" t="s">
        <v>19</v>
      </c>
      <c r="T189" s="346" t="s">
        <v>20</v>
      </c>
      <c r="U189" s="346" t="s">
        <v>21</v>
      </c>
      <c r="V189" s="346" t="s">
        <v>21</v>
      </c>
      <c r="W189" s="346" t="s">
        <v>70</v>
      </c>
      <c r="X189" s="353" t="str">
        <f ca="1">_xll.qlSchedule(,K189,L189,S189,T189,U189,V189,W189)</f>
        <v>obj_004e4#0001</v>
      </c>
      <c r="Y189" s="349" t="s">
        <v>1742</v>
      </c>
      <c r="Z189" s="354" t="s">
        <v>36</v>
      </c>
      <c r="AA189" s="354" t="s">
        <v>1745</v>
      </c>
      <c r="AB189" s="353" t="str">
        <f ca="1">_xll.qlVanillaSwap(,,,R189,,Y189,X189,Z189,,AA189)</f>
        <v>obj_0070d#0001</v>
      </c>
      <c r="AC189" s="353" t="b">
        <f ca="1">_xll.qlInstrumentSetPricingEngine(AB189,_xll.qlDiscountingSwapEngine(,Curve!$S$16))</f>
        <v>1</v>
      </c>
      <c r="AD189" s="355">
        <f ca="1">_xll.qlVanillaSwapFairRate(AB189,AC189)</f>
        <v>1.5992983526670994E-2</v>
      </c>
      <c r="AE189" s="346" t="s">
        <v>1752</v>
      </c>
      <c r="AF189" s="347">
        <v>10000</v>
      </c>
      <c r="AG189" s="350" t="str">
        <f ca="1">_xll.qlVanillaSwap(,AE189,AF189,R189,AD189,Y189,X189,Z189,,AA189)</f>
        <v>obj_00735#0001</v>
      </c>
      <c r="AH189" s="347" t="str">
        <f ca="1">_xll.qlEuropeanExercise(,J189)</f>
        <v>obj_001d7#0001</v>
      </c>
      <c r="AI189" s="346" t="s">
        <v>1749</v>
      </c>
      <c r="AJ189" s="356" t="str">
        <f ca="1">_xll.qlSwaption(,AG189,AH189,AI189)</f>
        <v>obj_0075b#0001</v>
      </c>
      <c r="AK189" s="357" t="str">
        <f ca="1">_xll.qlConstantSwaptionVolatility(,,H189,I189,F189)</f>
        <v>obj_001b8#0001</v>
      </c>
      <c r="AL189" s="357" t="b">
        <f ca="1">_xll.qlInstrumentSetPricingEngine(AJ189,_xll.qlBachelierBlackSwaptionEngine(,Curve!$S$16,AK189))</f>
        <v>1</v>
      </c>
      <c r="AM189" s="358">
        <f ca="1">_xll.qlInstrumentNPV(AJ189,AL189)*2/_xll.qlYieldTSDiscount(Curve!$S$16,K189)</f>
        <v>1250.6252673642912</v>
      </c>
      <c r="AN189" s="358">
        <f ca="1">_xll.qlInstrumentResults(AJ189,"annuity",AL189)</f>
        <v>201497.92712194918</v>
      </c>
      <c r="AO189" s="359">
        <f ca="1">G189/2*_xll.qlYieldTSDiscount(Curve!$S$16,K189)/AN189</f>
        <v>3.1611396764200011E-3</v>
      </c>
      <c r="AP189" s="360">
        <f ca="1">_xll.qlBachelierBlackFormulaImpliedVol("Call",AD189,AD189,_xll.qlDayCounterYearFraction("Act/365 (Fixed)",C189,J189),AO189)</f>
        <v>7.9129698225722835E-3</v>
      </c>
      <c r="AQ189" s="361">
        <f ca="1">_xll.qlBlackFormulaImpliedStdDev("Call",AD189,AD189,AO189)/SQRT(_xll.qlDayCounterYearFraction("Act/365 (Fixed)",C189,J189))</f>
        <v>0.49994991431735425</v>
      </c>
      <c r="AS189" s="363">
        <v>7.4396584863409155E-3</v>
      </c>
      <c r="AT189" s="363">
        <v>7.9129698225722835E-3</v>
      </c>
      <c r="AU189" s="365">
        <f t="shared" ca="1" si="10"/>
        <v>3.4034151365908497E-4</v>
      </c>
      <c r="AV189" s="365">
        <f t="shared" ca="1" si="11"/>
        <v>-1.32969822572283E-4</v>
      </c>
    </row>
    <row r="190" spans="2:48">
      <c r="B190" s="348" t="str">
        <f t="shared" ca="1" si="9"/>
        <v>18Mx25Y</v>
      </c>
      <c r="C190" s="345">
        <f t="shared" ca="1" si="8"/>
        <v>42254</v>
      </c>
      <c r="D190" s="346" t="s">
        <v>154</v>
      </c>
      <c r="E190" s="346" t="s">
        <v>105</v>
      </c>
      <c r="F190" s="351">
        <f ca="1">VLOOKUP(F$3&amp;$D190&amp;$E190,'Swaption Volatilities'!$V:$W,2,FALSE)%%</f>
        <v>7.6800000000000002E-3</v>
      </c>
      <c r="G190" s="352">
        <f ca="1">VLOOKUP(G$3&amp;$D190&amp;$E190,'Swaption Volatilities'!$V:$W,2,FALSE)</f>
        <v>1528</v>
      </c>
      <c r="H190" s="346" t="s">
        <v>20</v>
      </c>
      <c r="I190" s="346" t="s">
        <v>21</v>
      </c>
      <c r="J190" s="345">
        <f ca="1">_xll.qlCalendarAdvance(H190,C190,D190,I190)</f>
        <v>42801</v>
      </c>
      <c r="K190" s="345">
        <f ca="1">_xll.qlCalendarAdvance(H190,J190,"2d")</f>
        <v>42803</v>
      </c>
      <c r="L190" s="345">
        <f ca="1">_xll.qlCalendarAdvance(H190,K190,E190,"unadjusted")</f>
        <v>51934</v>
      </c>
      <c r="M190" s="346" t="s">
        <v>7</v>
      </c>
      <c r="N190" s="346" t="s">
        <v>20</v>
      </c>
      <c r="O190" s="346" t="s">
        <v>21</v>
      </c>
      <c r="P190" s="346" t="s">
        <v>21</v>
      </c>
      <c r="Q190" s="346" t="s">
        <v>70</v>
      </c>
      <c r="R190" s="353" t="str">
        <f ca="1">_xll.qlSchedule(,K190,L190,M190,N190,O190,P190,Q190)</f>
        <v>obj_004f7#0001</v>
      </c>
      <c r="S190" s="346" t="s">
        <v>19</v>
      </c>
      <c r="T190" s="346" t="s">
        <v>20</v>
      </c>
      <c r="U190" s="346" t="s">
        <v>21</v>
      </c>
      <c r="V190" s="346" t="s">
        <v>21</v>
      </c>
      <c r="W190" s="346" t="s">
        <v>70</v>
      </c>
      <c r="X190" s="353" t="str">
        <f ca="1">_xll.qlSchedule(,K190,L190,S190,T190,U190,V190,W190)</f>
        <v>obj_0066a#0001</v>
      </c>
      <c r="Y190" s="349" t="s">
        <v>1742</v>
      </c>
      <c r="Z190" s="354" t="s">
        <v>36</v>
      </c>
      <c r="AA190" s="354" t="s">
        <v>1745</v>
      </c>
      <c r="AB190" s="353" t="str">
        <f ca="1">_xll.qlVanillaSwap(,,,R190,,Y190,X190,Z190,,AA190)</f>
        <v>obj_0066b#0000</v>
      </c>
      <c r="AC190" s="353" t="b">
        <f ca="1">_xll.qlInstrumentSetPricingEngine(AB190,_xll.qlDiscountingSwapEngine(,Curve!$S$16))</f>
        <v>1</v>
      </c>
      <c r="AD190" s="355" t="e">
        <f ca="1">_xll.qlVanillaSwapFairRate(AB190,AC190)</f>
        <v>#NUM!</v>
      </c>
      <c r="AE190" s="346" t="s">
        <v>1752</v>
      </c>
      <c r="AF190" s="347">
        <v>10000</v>
      </c>
      <c r="AG190" s="350" t="e">
        <f ca="1">_xll.qlVanillaSwap(,AE190,AF190,R190,AD190,Y190,X190,Z190,,AA190)</f>
        <v>#NUM!</v>
      </c>
      <c r="AH190" s="347" t="str">
        <f ca="1">_xll.qlEuropeanExercise(,J190)</f>
        <v>obj_002c5#0000</v>
      </c>
      <c r="AI190" s="346" t="s">
        <v>1749</v>
      </c>
      <c r="AJ190" s="356" t="e">
        <f ca="1">_xll.qlSwaption(,AG190,AH190,AI190)</f>
        <v>#VALUE!</v>
      </c>
      <c r="AK190" s="357" t="str">
        <f ca="1">_xll.qlConstantSwaptionVolatility(,,H190,I190,F190)</f>
        <v>obj_000bb#0001</v>
      </c>
      <c r="AL190" s="357" t="e">
        <f ca="1">_xll.qlInstrumentSetPricingEngine(AJ190,_xll.qlBachelierBlackSwaptionEngine(,Curve!$S$16,AK190))</f>
        <v>#VALUE!</v>
      </c>
      <c r="AM190" s="358" t="e">
        <f ca="1">_xll.qlInstrumentNPV(AJ190,AL190)*2/_xll.qlYieldTSDiscount(Curve!$S$16,K190)</f>
        <v>#VALUE!</v>
      </c>
      <c r="AN190" s="358" t="e">
        <f ca="1">_xll.qlInstrumentResults(AJ190,"annuity",AL190)</f>
        <v>#VALUE!</v>
      </c>
      <c r="AO190" s="359" t="e">
        <f ca="1">G190/2*_xll.qlYieldTSDiscount(Curve!$S$16,K190)/AN190</f>
        <v>#VALUE!</v>
      </c>
      <c r="AP190" s="360" t="e">
        <f ca="1">_xll.qlBachelierBlackFormulaImpliedVol("Call",AD190,AD190,_xll.qlDayCounterYearFraction("Act/365 (Fixed)",C190,J190),AO190)</f>
        <v>#VALUE!</v>
      </c>
      <c r="AQ190" s="361" t="e">
        <f ca="1">_xll.qlBlackFormulaImpliedStdDev("Call",AD190,AD190,AO190)/SQRT(_xll.qlDayCounterYearFraction("Act/365 (Fixed)",C190,J190))</f>
        <v>#VALUE!</v>
      </c>
      <c r="AS190" s="363">
        <v>7.3693416464250998E-3</v>
      </c>
      <c r="AT190" s="363">
        <v>7.8796086198763583E-3</v>
      </c>
      <c r="AU190" s="365">
        <f t="shared" ca="1" si="10"/>
        <v>3.1065835357490038E-4</v>
      </c>
      <c r="AV190" s="365">
        <f t="shared" ca="1" si="11"/>
        <v>-1.9960861987635813E-4</v>
      </c>
    </row>
    <row r="191" spans="2:48">
      <c r="B191" s="348" t="str">
        <f t="shared" ca="1" si="9"/>
        <v>2Yx25Y</v>
      </c>
      <c r="C191" s="345">
        <f t="shared" ca="1" si="8"/>
        <v>42254</v>
      </c>
      <c r="D191" s="346" t="s">
        <v>8</v>
      </c>
      <c r="E191" s="346" t="s">
        <v>105</v>
      </c>
      <c r="F191" s="351">
        <f ca="1">VLOOKUP(F$3&amp;$D191&amp;$E191,'Swaption Volatilities'!$V:$W,2,FALSE)%%</f>
        <v>7.559999999999999E-3</v>
      </c>
      <c r="G191" s="352">
        <f ca="1">VLOOKUP(G$3&amp;$D191&amp;$E191,'Swaption Volatilities'!$V:$W,2,FALSE)</f>
        <v>1732</v>
      </c>
      <c r="H191" s="346" t="s">
        <v>20</v>
      </c>
      <c r="I191" s="346" t="s">
        <v>21</v>
      </c>
      <c r="J191" s="345">
        <f ca="1">_xll.qlCalendarAdvance(H191,C191,D191,I191)</f>
        <v>42985</v>
      </c>
      <c r="K191" s="345">
        <f ca="1">_xll.qlCalendarAdvance(H191,J191,"2d")</f>
        <v>42989</v>
      </c>
      <c r="L191" s="345">
        <f ca="1">_xll.qlCalendarAdvance(H191,K191,E191,"unadjusted")</f>
        <v>52120</v>
      </c>
      <c r="M191" s="346" t="s">
        <v>7</v>
      </c>
      <c r="N191" s="346" t="s">
        <v>20</v>
      </c>
      <c r="O191" s="346" t="s">
        <v>21</v>
      </c>
      <c r="P191" s="346" t="s">
        <v>21</v>
      </c>
      <c r="Q191" s="346" t="s">
        <v>70</v>
      </c>
      <c r="R191" s="353" t="str">
        <f ca="1">_xll.qlSchedule(,K191,L191,M191,N191,O191,P191,Q191)</f>
        <v>obj_0028d#0001</v>
      </c>
      <c r="S191" s="346" t="s">
        <v>19</v>
      </c>
      <c r="T191" s="346" t="s">
        <v>20</v>
      </c>
      <c r="U191" s="346" t="s">
        <v>21</v>
      </c>
      <c r="V191" s="346" t="s">
        <v>21</v>
      </c>
      <c r="W191" s="346" t="s">
        <v>70</v>
      </c>
      <c r="X191" s="353" t="str">
        <f ca="1">_xll.qlSchedule(,K191,L191,S191,T191,U191,V191,W191)</f>
        <v>obj_003e2#0001</v>
      </c>
      <c r="Y191" s="349" t="s">
        <v>1742</v>
      </c>
      <c r="Z191" s="354" t="s">
        <v>36</v>
      </c>
      <c r="AA191" s="354" t="s">
        <v>1745</v>
      </c>
      <c r="AB191" s="353" t="str">
        <f ca="1">_xll.qlVanillaSwap(,,,R191,,Y191,X191,Z191,,AA191)</f>
        <v>obj_00494#0001</v>
      </c>
      <c r="AC191" s="353" t="b">
        <f ca="1">_xll.qlInstrumentSetPricingEngine(AB191,_xll.qlDiscountingSwapEngine(,Curve!$S$16))</f>
        <v>1</v>
      </c>
      <c r="AD191" s="355">
        <f ca="1">_xll.qlVanillaSwapFairRate(AB191,AC191)</f>
        <v>1.6696822802539816E-2</v>
      </c>
      <c r="AE191" s="346" t="s">
        <v>1752</v>
      </c>
      <c r="AF191" s="347">
        <v>10000</v>
      </c>
      <c r="AG191" s="350" t="str">
        <f ca="1">_xll.qlVanillaSwap(,AE191,AF191,R191,AD191,Y191,X191,Z191,,AA191)</f>
        <v>obj_00556#0000</v>
      </c>
      <c r="AH191" s="347" t="str">
        <f ca="1">_xll.qlEuropeanExercise(,J191)</f>
        <v>obj_003d0#0001</v>
      </c>
      <c r="AI191" s="346" t="s">
        <v>1749</v>
      </c>
      <c r="AJ191" s="356" t="str">
        <f ca="1">_xll.qlSwaption(,AG191,AH191,AI191)</f>
        <v>obj_006cc#0001</v>
      </c>
      <c r="AK191" s="357" t="str">
        <f ca="1">_xll.qlConstantSwaptionVolatility(,,H191,I191,F191)</f>
        <v>obj_0017d#0001</v>
      </c>
      <c r="AL191" s="357" t="b">
        <f ca="1">_xll.qlInstrumentSetPricingEngine(AJ191,_xll.qlBachelierBlackSwaptionEngine(,Curve!$S$16,AK191))</f>
        <v>1</v>
      </c>
      <c r="AM191" s="358">
        <f ca="1">_xll.qlInstrumentNPV(AJ191,AL191)*2/_xll.qlYieldTSDiscount(Curve!$S$16,K191)</f>
        <v>1671.6569502322916</v>
      </c>
      <c r="AN191" s="358">
        <f ca="1">_xll.qlInstrumentResults(AJ191,"annuity",AL191)</f>
        <v>196372.08611449302</v>
      </c>
      <c r="AO191" s="359">
        <f ca="1">G191/2*_xll.qlYieldTSDiscount(Curve!$S$16,K191)/AN191</f>
        <v>4.4222658474426541E-3</v>
      </c>
      <c r="AP191" s="360">
        <f ca="1">_xll.qlBachelierBlackFormulaImpliedVol("Call",AD191,AD191,_xll.qlDayCounterYearFraction("Act/365 (Fixed)",C191,J191),AO191)</f>
        <v>7.8328989678058073E-3</v>
      </c>
      <c r="AQ191" s="361">
        <f ca="1">_xll.qlBlackFormulaImpliedStdDev("Call",AD191,AD191,AO191)/SQRT(_xll.qlDayCounterYearFraction("Act/365 (Fixed)",C191,J191))</f>
        <v>0.47808956139793785</v>
      </c>
      <c r="AS191" s="363">
        <v>7.2868777775068764E-3</v>
      </c>
      <c r="AT191" s="363">
        <v>7.8328989678058073E-3</v>
      </c>
      <c r="AU191" s="365">
        <f t="shared" ca="1" si="10"/>
        <v>2.7312222249312266E-4</v>
      </c>
      <c r="AV191" s="365">
        <f t="shared" ca="1" si="11"/>
        <v>-2.728989678058083E-4</v>
      </c>
    </row>
    <row r="192" spans="2:48">
      <c r="B192" s="348" t="str">
        <f t="shared" ca="1" si="9"/>
        <v>3Yx25Y</v>
      </c>
      <c r="C192" s="345">
        <f t="shared" ca="1" si="8"/>
        <v>42254</v>
      </c>
      <c r="D192" s="346" t="s">
        <v>9</v>
      </c>
      <c r="E192" s="346" t="s">
        <v>105</v>
      </c>
      <c r="F192" s="351">
        <f ca="1">VLOOKUP(F$3&amp;$D192&amp;$E192,'Swaption Volatilities'!$V:$W,2,FALSE)%%</f>
        <v>7.3099999999999997E-3</v>
      </c>
      <c r="G192" s="352">
        <f ca="1">VLOOKUP(G$3&amp;$D192&amp;$E192,'Swaption Volatilities'!$V:$W,2,FALSE)</f>
        <v>2036</v>
      </c>
      <c r="H192" s="346" t="s">
        <v>20</v>
      </c>
      <c r="I192" s="346" t="s">
        <v>21</v>
      </c>
      <c r="J192" s="345">
        <f ca="1">_xll.qlCalendarAdvance(H192,C192,D192,I192)</f>
        <v>43350</v>
      </c>
      <c r="K192" s="345">
        <f ca="1">_xll.qlCalendarAdvance(H192,J192,"2d")</f>
        <v>43354</v>
      </c>
      <c r="L192" s="345">
        <f ca="1">_xll.qlCalendarAdvance(H192,K192,E192,"unadjusted")</f>
        <v>52485</v>
      </c>
      <c r="M192" s="346" t="s">
        <v>7</v>
      </c>
      <c r="N192" s="346" t="s">
        <v>20</v>
      </c>
      <c r="O192" s="346" t="s">
        <v>21</v>
      </c>
      <c r="P192" s="346" t="s">
        <v>21</v>
      </c>
      <c r="Q192" s="346" t="s">
        <v>70</v>
      </c>
      <c r="R192" s="353" t="str">
        <f ca="1">_xll.qlSchedule(,K192,L192,M192,N192,O192,P192,Q192)</f>
        <v>obj_003a3#0001</v>
      </c>
      <c r="S192" s="346" t="s">
        <v>19</v>
      </c>
      <c r="T192" s="346" t="s">
        <v>20</v>
      </c>
      <c r="U192" s="346" t="s">
        <v>21</v>
      </c>
      <c r="V192" s="346" t="s">
        <v>21</v>
      </c>
      <c r="W192" s="346" t="s">
        <v>70</v>
      </c>
      <c r="X192" s="353" t="str">
        <f ca="1">_xll.qlSchedule(,K192,L192,S192,T192,U192,V192,W192)</f>
        <v>obj_0066e#0001</v>
      </c>
      <c r="Y192" s="349" t="s">
        <v>1742</v>
      </c>
      <c r="Z192" s="354" t="s">
        <v>36</v>
      </c>
      <c r="AA192" s="354" t="s">
        <v>1745</v>
      </c>
      <c r="AB192" s="353" t="str">
        <f ca="1">_xll.qlVanillaSwap(,,,R192,,Y192,X192,Z192,,AA192)</f>
        <v>obj_0066f#0000</v>
      </c>
      <c r="AC192" s="353" t="b">
        <f ca="1">_xll.qlInstrumentSetPricingEngine(AB192,_xll.qlDiscountingSwapEngine(,Curve!$S$16))</f>
        <v>1</v>
      </c>
      <c r="AD192" s="355" t="e">
        <f ca="1">_xll.qlVanillaSwapFairRate(AB192,AC192)</f>
        <v>#NUM!</v>
      </c>
      <c r="AE192" s="346" t="s">
        <v>1752</v>
      </c>
      <c r="AF192" s="347">
        <v>10000</v>
      </c>
      <c r="AG192" s="350" t="e">
        <f ca="1">_xll.qlVanillaSwap(,AE192,AF192,R192,AD192,Y192,X192,Z192,,AA192)</f>
        <v>#NUM!</v>
      </c>
      <c r="AH192" s="347" t="str">
        <f ca="1">_xll.qlEuropeanExercise(,J192)</f>
        <v>obj_002d8#0001</v>
      </c>
      <c r="AI192" s="346" t="s">
        <v>1749</v>
      </c>
      <c r="AJ192" s="356" t="e">
        <f ca="1">_xll.qlSwaption(,AG192,AH192,AI192)</f>
        <v>#VALUE!</v>
      </c>
      <c r="AK192" s="357" t="str">
        <f ca="1">_xll.qlConstantSwaptionVolatility(,,H192,I192,F192)</f>
        <v>obj_003c3#0001</v>
      </c>
      <c r="AL192" s="357" t="e">
        <f ca="1">_xll.qlInstrumentSetPricingEngine(AJ192,_xll.qlBachelierBlackSwaptionEngine(,Curve!$S$16,AK192))</f>
        <v>#VALUE!</v>
      </c>
      <c r="AM192" s="358" t="e">
        <f ca="1">_xll.qlInstrumentNPV(AJ192,AL192)*2/_xll.qlYieldTSDiscount(Curve!$S$16,K192)</f>
        <v>#VALUE!</v>
      </c>
      <c r="AN192" s="358" t="e">
        <f ca="1">_xll.qlInstrumentResults(AJ192,"annuity",AL192)</f>
        <v>#VALUE!</v>
      </c>
      <c r="AO192" s="359" t="e">
        <f ca="1">G192/2*_xll.qlYieldTSDiscount(Curve!$S$16,K192)/AN192</f>
        <v>#VALUE!</v>
      </c>
      <c r="AP192" s="360" t="e">
        <f ca="1">_xll.qlBachelierBlackFormulaImpliedVol("Call",AD192,AD192,_xll.qlDayCounterYearFraction("Act/365 (Fixed)",C192,J192),AO192)</f>
        <v>#VALUE!</v>
      </c>
      <c r="AQ192" s="361" t="e">
        <f ca="1">_xll.qlBlackFormulaImpliedStdDev("Call",AD192,AD192,AO192)/SQRT(_xll.qlDayCounterYearFraction("Act/365 (Fixed)",C192,J192))</f>
        <v>#VALUE!</v>
      </c>
      <c r="AS192" s="363">
        <v>7.1056804143373427E-3</v>
      </c>
      <c r="AT192" s="363">
        <v>7.7168139738027774E-3</v>
      </c>
      <c r="AU192" s="365">
        <f t="shared" ca="1" si="10"/>
        <v>2.0431958566265694E-4</v>
      </c>
      <c r="AV192" s="365">
        <f t="shared" ca="1" si="11"/>
        <v>-4.0681397380277779E-4</v>
      </c>
    </row>
    <row r="193" spans="2:48">
      <c r="B193" s="348" t="str">
        <f t="shared" ca="1" si="9"/>
        <v>4Yx25Y</v>
      </c>
      <c r="C193" s="345">
        <f t="shared" ca="1" si="8"/>
        <v>42254</v>
      </c>
      <c r="D193" s="346" t="s">
        <v>10</v>
      </c>
      <c r="E193" s="346" t="s">
        <v>105</v>
      </c>
      <c r="F193" s="351">
        <f ca="1">VLOOKUP(F$3&amp;$D193&amp;$E193,'Swaption Volatilities'!$V:$W,2,FALSE)%%</f>
        <v>7.0099999999999997E-3</v>
      </c>
      <c r="G193" s="352">
        <f ca="1">VLOOKUP(G$3&amp;$D193&amp;$E193,'Swaption Volatilities'!$V:$W,2,FALSE)</f>
        <v>2240</v>
      </c>
      <c r="H193" s="346" t="s">
        <v>20</v>
      </c>
      <c r="I193" s="346" t="s">
        <v>21</v>
      </c>
      <c r="J193" s="345">
        <f ca="1">_xll.qlCalendarAdvance(H193,C193,D193,I193)</f>
        <v>43717</v>
      </c>
      <c r="K193" s="345">
        <f ca="1">_xll.qlCalendarAdvance(H193,J193,"2d")</f>
        <v>43719</v>
      </c>
      <c r="L193" s="345">
        <f ca="1">_xll.qlCalendarAdvance(H193,K193,E193,"unadjusted")</f>
        <v>52851</v>
      </c>
      <c r="M193" s="346" t="s">
        <v>7</v>
      </c>
      <c r="N193" s="346" t="s">
        <v>20</v>
      </c>
      <c r="O193" s="346" t="s">
        <v>21</v>
      </c>
      <c r="P193" s="346" t="s">
        <v>21</v>
      </c>
      <c r="Q193" s="346" t="s">
        <v>70</v>
      </c>
      <c r="R193" s="353" t="str">
        <f ca="1">_xll.qlSchedule(,K193,L193,M193,N193,O193,P193,Q193)</f>
        <v>obj_00704#0001</v>
      </c>
      <c r="S193" s="346" t="s">
        <v>19</v>
      </c>
      <c r="T193" s="346" t="s">
        <v>20</v>
      </c>
      <c r="U193" s="346" t="s">
        <v>21</v>
      </c>
      <c r="V193" s="346" t="s">
        <v>21</v>
      </c>
      <c r="W193" s="346" t="s">
        <v>70</v>
      </c>
      <c r="X193" s="353" t="str">
        <f ca="1">_xll.qlSchedule(,K193,L193,S193,T193,U193,V193,W193)</f>
        <v>obj_003da#0001</v>
      </c>
      <c r="Y193" s="349" t="s">
        <v>1742</v>
      </c>
      <c r="Z193" s="354" t="s">
        <v>36</v>
      </c>
      <c r="AA193" s="354" t="s">
        <v>1745</v>
      </c>
      <c r="AB193" s="353" t="str">
        <f ca="1">_xll.qlVanillaSwap(,,,R193,,Y193,X193,Z193,,AA193)</f>
        <v>obj_00731#0001</v>
      </c>
      <c r="AC193" s="353" t="b">
        <f ca="1">_xll.qlInstrumentSetPricingEngine(AB193,_xll.qlDiscountingSwapEngine(,Curve!$S$16))</f>
        <v>1</v>
      </c>
      <c r="AD193" s="355">
        <f ca="1">_xll.qlVanillaSwapFairRate(AB193,AC193)</f>
        <v>1.7870785702048815E-2</v>
      </c>
      <c r="AE193" s="346" t="s">
        <v>1752</v>
      </c>
      <c r="AF193" s="347">
        <v>10000</v>
      </c>
      <c r="AG193" s="350" t="str">
        <f ca="1">_xll.qlVanillaSwap(,AE193,AF193,R193,AD193,Y193,X193,Z193,,AA193)</f>
        <v>obj_0073a#0001</v>
      </c>
      <c r="AH193" s="347" t="str">
        <f ca="1">_xll.qlEuropeanExercise(,J193)</f>
        <v>obj_001a1#0001</v>
      </c>
      <c r="AI193" s="346" t="s">
        <v>1749</v>
      </c>
      <c r="AJ193" s="356" t="str">
        <f ca="1">_xll.qlSwaption(,AG193,AH193,AI193)</f>
        <v>obj_0073b#0001</v>
      </c>
      <c r="AK193" s="357" t="str">
        <f ca="1">_xll.qlConstantSwaptionVolatility(,,H193,I193,F193)</f>
        <v>obj_000f5#0001</v>
      </c>
      <c r="AL193" s="357" t="b">
        <f ca="1">_xll.qlInstrumentSetPricingEngine(AJ193,_xll.qlBachelierBlackSwaptionEngine(,Curve!$S$16,AK193))</f>
        <v>1</v>
      </c>
      <c r="AM193" s="358">
        <f ca="1">_xll.qlInstrumentNPV(AJ193,AL193)*2/_xll.qlYieldTSDiscount(Curve!$S$16,K193)</f>
        <v>2088.4769678600137</v>
      </c>
      <c r="AN193" s="358">
        <f ca="1">_xll.qlInstrumentResults(AJ193,"annuity",AL193)</f>
        <v>186489.4872361162</v>
      </c>
      <c r="AO193" s="359">
        <f ca="1">G193/2*_xll.qlYieldTSDiscount(Curve!$S$16,K193)/AN193</f>
        <v>6.0051262569262038E-3</v>
      </c>
      <c r="AP193" s="360">
        <f ca="1">_xll.qlBachelierBlackFormulaImpliedVol("Call",AD193,AD193,_xll.qlDayCounterYearFraction("Act/365 (Fixed)",C193,J193),AO193)</f>
        <v>7.5185890204428089E-3</v>
      </c>
      <c r="AQ193" s="361">
        <f ca="1">_xll.qlBlackFormulaImpliedStdDev("Call",AD193,AD193,AO193)/SQRT(_xll.qlDayCounterYearFraction("Act/365 (Fixed)",C193,J193))</f>
        <v>0.43399338055885384</v>
      </c>
      <c r="AS193" s="363">
        <v>6.859784727763771E-3</v>
      </c>
      <c r="AT193" s="363">
        <v>7.5185890204428089E-3</v>
      </c>
      <c r="AU193" s="365">
        <f t="shared" ca="1" si="10"/>
        <v>1.5021527223622877E-4</v>
      </c>
      <c r="AV193" s="365">
        <f t="shared" ca="1" si="11"/>
        <v>-5.0858902044280917E-4</v>
      </c>
    </row>
    <row r="194" spans="2:48">
      <c r="B194" s="348" t="str">
        <f t="shared" ca="1" si="9"/>
        <v>5Yx25Y</v>
      </c>
      <c r="C194" s="345">
        <f t="shared" ca="1" si="8"/>
        <v>42254</v>
      </c>
      <c r="D194" s="346" t="s">
        <v>11</v>
      </c>
      <c r="E194" s="346" t="s">
        <v>105</v>
      </c>
      <c r="F194" s="351">
        <f ca="1">VLOOKUP(F$3&amp;$D194&amp;$E194,'Swaption Volatilities'!$V:$W,2,FALSE)%%</f>
        <v>6.8099999999999992E-3</v>
      </c>
      <c r="G194" s="352">
        <f ca="1">VLOOKUP(G$3&amp;$D194&amp;$E194,'Swaption Volatilities'!$V:$W,2,FALSE)</f>
        <v>2419</v>
      </c>
      <c r="H194" s="346" t="s">
        <v>20</v>
      </c>
      <c r="I194" s="346" t="s">
        <v>21</v>
      </c>
      <c r="J194" s="345">
        <f ca="1">_xll.qlCalendarAdvance(H194,C194,D194,I194)</f>
        <v>44081</v>
      </c>
      <c r="K194" s="345">
        <f ca="1">_xll.qlCalendarAdvance(H194,J194,"2d")</f>
        <v>44083</v>
      </c>
      <c r="L194" s="345">
        <f ca="1">_xll.qlCalendarAdvance(H194,K194,E194,"unadjusted")</f>
        <v>53214</v>
      </c>
      <c r="M194" s="346" t="s">
        <v>7</v>
      </c>
      <c r="N194" s="346" t="s">
        <v>20</v>
      </c>
      <c r="O194" s="346" t="s">
        <v>21</v>
      </c>
      <c r="P194" s="346" t="s">
        <v>21</v>
      </c>
      <c r="Q194" s="346" t="s">
        <v>70</v>
      </c>
      <c r="R194" s="353" t="str">
        <f ca="1">_xll.qlSchedule(,K194,L194,M194,N194,O194,P194,Q194)</f>
        <v>obj_001ea#0000</v>
      </c>
      <c r="S194" s="346" t="s">
        <v>19</v>
      </c>
      <c r="T194" s="346" t="s">
        <v>20</v>
      </c>
      <c r="U194" s="346" t="s">
        <v>21</v>
      </c>
      <c r="V194" s="346" t="s">
        <v>21</v>
      </c>
      <c r="W194" s="346" t="s">
        <v>70</v>
      </c>
      <c r="X194" s="353" t="str">
        <f ca="1">_xll.qlSchedule(,K194,L194,S194,T194,U194,V194,W194)</f>
        <v>obj_0033a#0001</v>
      </c>
      <c r="Y194" s="349" t="s">
        <v>1742</v>
      </c>
      <c r="Z194" s="354" t="s">
        <v>36</v>
      </c>
      <c r="AA194" s="354" t="s">
        <v>1745</v>
      </c>
      <c r="AB194" s="353" t="str">
        <f ca="1">_xll.qlVanillaSwap(,,,R194,,Y194,X194,Z194,,AA194)</f>
        <v>obj_003e1#0001</v>
      </c>
      <c r="AC194" s="353" t="b">
        <f ca="1">_xll.qlInstrumentSetPricingEngine(AB194,_xll.qlDiscountingSwapEngine(,Curve!$S$16))</f>
        <v>1</v>
      </c>
      <c r="AD194" s="355" t="e">
        <f ca="1">_xll.qlVanillaSwapFairRate(AB194,AC194)</f>
        <v>#NUM!</v>
      </c>
      <c r="AE194" s="346" t="s">
        <v>1752</v>
      </c>
      <c r="AF194" s="347">
        <v>10000</v>
      </c>
      <c r="AG194" s="350" t="str">
        <f ca="1">_xll.qlVanillaSwap(,AE194,AF194,R194,AD194,Y194,X194,Z194,,AA194)</f>
        <v>obj_006d9#0000</v>
      </c>
      <c r="AH194" s="347" t="str">
        <f ca="1">_xll.qlEuropeanExercise(,J194)</f>
        <v>obj_00118#0001</v>
      </c>
      <c r="AI194" s="346" t="s">
        <v>1749</v>
      </c>
      <c r="AJ194" s="356" t="str">
        <f ca="1">_xll.qlSwaption(,AG194,AH194,AI194)</f>
        <v>obj_007a5#0001</v>
      </c>
      <c r="AK194" s="357" t="str">
        <f ca="1">_xll.qlConstantSwaptionVolatility(,,H194,I194,F194)</f>
        <v>obj_0025d#0001</v>
      </c>
      <c r="AL194" s="357" t="b">
        <f ca="1">_xll.qlInstrumentSetPricingEngine(AJ194,_xll.qlBachelierBlackSwaptionEngine(,Curve!$S$16,AK194))</f>
        <v>1</v>
      </c>
      <c r="AM194" s="358">
        <f ca="1">_xll.qlInstrumentNPV(AJ194,AL194)*2/_xll.qlYieldTSDiscount(Curve!$S$16,K194)</f>
        <v>2224.4994513651154</v>
      </c>
      <c r="AN194" s="358">
        <f ca="1">_xll.qlInstrumentResults(AJ194,"annuity",AL194)</f>
        <v>181976.70987252716</v>
      </c>
      <c r="AO194" s="359">
        <f ca="1">G194/2*_xll.qlYieldTSDiscount(Curve!$S$16,K194)/AN194</f>
        <v>6.6097279478328583E-3</v>
      </c>
      <c r="AP194" s="360" t="e">
        <f ca="1">_xll.qlBachelierBlackFormulaImpliedVol("Call",AD194,AD194,_xll.qlDayCounterYearFraction("Act/365 (Fixed)",C194,J194),AO194)</f>
        <v>#VALUE!</v>
      </c>
      <c r="AQ194" s="361" t="e">
        <f ca="1">_xll.qlBlackFormulaImpliedStdDev("Call",AD194,AD194,AO194)/SQRT(_xll.qlDayCounterYearFraction("Act/365 (Fixed)",C194,J194))</f>
        <v>#VALUE!</v>
      </c>
      <c r="AS194" s="363">
        <v>6.7046460242612561E-3</v>
      </c>
      <c r="AT194" s="363">
        <v>7.4054367556219232E-3</v>
      </c>
      <c r="AU194" s="365">
        <f t="shared" ca="1" si="10"/>
        <v>1.0535397573874315E-4</v>
      </c>
      <c r="AV194" s="365">
        <f t="shared" ca="1" si="11"/>
        <v>-5.9543675562192394E-4</v>
      </c>
    </row>
    <row r="195" spans="2:48">
      <c r="B195" s="348" t="str">
        <f t="shared" ca="1" si="9"/>
        <v>7Yx25Y</v>
      </c>
      <c r="C195" s="345">
        <f t="shared" ca="1" si="8"/>
        <v>42254</v>
      </c>
      <c r="D195" s="346" t="s">
        <v>13</v>
      </c>
      <c r="E195" s="346" t="s">
        <v>105</v>
      </c>
      <c r="F195" s="351">
        <f ca="1">VLOOKUP(F$3&amp;$D195&amp;$E195,'Swaption Volatilities'!$V:$W,2,FALSE)%%</f>
        <v>6.4900000000000001E-3</v>
      </c>
      <c r="G195" s="352">
        <f ca="1">VLOOKUP(G$3&amp;$D195&amp;$E195,'Swaption Volatilities'!$V:$W,2,FALSE)</f>
        <v>2714</v>
      </c>
      <c r="H195" s="346" t="s">
        <v>20</v>
      </c>
      <c r="I195" s="346" t="s">
        <v>21</v>
      </c>
      <c r="J195" s="345">
        <f ca="1">_xll.qlCalendarAdvance(H195,C195,D195,I195)</f>
        <v>44811</v>
      </c>
      <c r="K195" s="345">
        <f ca="1">_xll.qlCalendarAdvance(H195,J195,"2d")</f>
        <v>44813</v>
      </c>
      <c r="L195" s="345">
        <f ca="1">_xll.qlCalendarAdvance(H195,K195,E195,"unadjusted")</f>
        <v>53944</v>
      </c>
      <c r="M195" s="346" t="s">
        <v>7</v>
      </c>
      <c r="N195" s="346" t="s">
        <v>20</v>
      </c>
      <c r="O195" s="346" t="s">
        <v>21</v>
      </c>
      <c r="P195" s="346" t="s">
        <v>21</v>
      </c>
      <c r="Q195" s="346" t="s">
        <v>70</v>
      </c>
      <c r="R195" s="353" t="str">
        <f ca="1">_xll.qlSchedule(,K195,L195,M195,N195,O195,P195,Q195)</f>
        <v>obj_00386#0001</v>
      </c>
      <c r="S195" s="346" t="s">
        <v>19</v>
      </c>
      <c r="T195" s="346" t="s">
        <v>20</v>
      </c>
      <c r="U195" s="346" t="s">
        <v>21</v>
      </c>
      <c r="V195" s="346" t="s">
        <v>21</v>
      </c>
      <c r="W195" s="346" t="s">
        <v>70</v>
      </c>
      <c r="X195" s="353" t="str">
        <f ca="1">_xll.qlSchedule(,K195,L195,S195,T195,U195,V195,W195)</f>
        <v>obj_002f5#0001</v>
      </c>
      <c r="Y195" s="349" t="s">
        <v>1742</v>
      </c>
      <c r="Z195" s="354" t="s">
        <v>36</v>
      </c>
      <c r="AA195" s="354" t="s">
        <v>1745</v>
      </c>
      <c r="AB195" s="353" t="str">
        <f ca="1">_xll.qlVanillaSwap(,,,R195,,Y195,X195,Z195,,AA195)</f>
        <v>obj_00387#0000</v>
      </c>
      <c r="AC195" s="353" t="b">
        <f ca="1">_xll.qlInstrumentSetPricingEngine(AB195,_xll.qlDiscountingSwapEngine(,Curve!$S$16))</f>
        <v>1</v>
      </c>
      <c r="AD195" s="355" t="e">
        <f ca="1">_xll.qlVanillaSwapFairRate(AB195,AC195)</f>
        <v>#NUM!</v>
      </c>
      <c r="AE195" s="346" t="s">
        <v>1752</v>
      </c>
      <c r="AF195" s="347">
        <v>10000</v>
      </c>
      <c r="AG195" s="350" t="e">
        <f ca="1">_xll.qlVanillaSwap(,AE195,AF195,R195,AD195,Y195,X195,Z195,,AA195)</f>
        <v>#NUM!</v>
      </c>
      <c r="AH195" s="347" t="str">
        <f ca="1">_xll.qlEuropeanExercise(,J195)</f>
        <v>obj_00120#0001</v>
      </c>
      <c r="AI195" s="346" t="s">
        <v>1749</v>
      </c>
      <c r="AJ195" s="356" t="e">
        <f ca="1">_xll.qlSwaption(,AG195,AH195,AI195)</f>
        <v>#VALUE!</v>
      </c>
      <c r="AK195" s="357" t="str">
        <f ca="1">_xll.qlConstantSwaptionVolatility(,,H195,I195,F195)</f>
        <v>obj_000d0#0001</v>
      </c>
      <c r="AL195" s="357" t="e">
        <f ca="1">_xll.qlInstrumentSetPricingEngine(AJ195,_xll.qlBachelierBlackSwaptionEngine(,Curve!$S$16,AK195))</f>
        <v>#VALUE!</v>
      </c>
      <c r="AM195" s="358" t="e">
        <f ca="1">_xll.qlInstrumentNPV(AJ195,AL195)*2/_xll.qlYieldTSDiscount(Curve!$S$16,K195)</f>
        <v>#VALUE!</v>
      </c>
      <c r="AN195" s="358" t="e">
        <f ca="1">_xll.qlInstrumentResults(AJ195,"annuity",AL195)</f>
        <v>#VALUE!</v>
      </c>
      <c r="AO195" s="359" t="e">
        <f ca="1">G195/2*_xll.qlYieldTSDiscount(Curve!$S$16,K195)/AN195</f>
        <v>#VALUE!</v>
      </c>
      <c r="AP195" s="360" t="e">
        <f ca="1">_xll.qlBachelierBlackFormulaImpliedVol("Call",AD195,AD195,_xll.qlDayCounterYearFraction("Act/365 (Fixed)",C195,J195),AO195)</f>
        <v>#VALUE!</v>
      </c>
      <c r="AQ195" s="361" t="e">
        <f ca="1">_xll.qlBlackFormulaImpliedStdDev("Call",AD195,AD195,AO195)/SQRT(_xll.qlDayCounterYearFraction("Act/365 (Fixed)",C195,J195))</f>
        <v>#VALUE!</v>
      </c>
      <c r="AS195" s="363">
        <v>6.4470265952761008E-3</v>
      </c>
      <c r="AT195" s="363">
        <v>7.1845878665579661E-3</v>
      </c>
      <c r="AU195" s="365">
        <f t="shared" ca="1" si="10"/>
        <v>4.2973404723899329E-5</v>
      </c>
      <c r="AV195" s="365">
        <f t="shared" ca="1" si="11"/>
        <v>-6.9458786655796599E-4</v>
      </c>
    </row>
    <row r="196" spans="2:48">
      <c r="B196" s="348" t="str">
        <f t="shared" ca="1" si="9"/>
        <v>10Yx25Y</v>
      </c>
      <c r="C196" s="345">
        <f t="shared" ref="C196:C213" ca="1" si="12">RefDate</f>
        <v>42254</v>
      </c>
      <c r="D196" s="346" t="s">
        <v>16</v>
      </c>
      <c r="E196" s="346" t="s">
        <v>105</v>
      </c>
      <c r="F196" s="351">
        <f ca="1">VLOOKUP(F$3&amp;$D196&amp;$E196,'Swaption Volatilities'!$V:$W,2,FALSE)%%</f>
        <v>6.2300000000000003E-3</v>
      </c>
      <c r="G196" s="352">
        <f ca="1">VLOOKUP(G$3&amp;$D196&amp;$E196,'Swaption Volatilities'!$V:$W,2,FALSE)</f>
        <v>3125</v>
      </c>
      <c r="H196" s="346" t="s">
        <v>20</v>
      </c>
      <c r="I196" s="346" t="s">
        <v>21</v>
      </c>
      <c r="J196" s="345">
        <f ca="1">_xll.qlCalendarAdvance(H196,C196,D196,I196)</f>
        <v>45908</v>
      </c>
      <c r="K196" s="345">
        <f ca="1">_xll.qlCalendarAdvance(H196,J196,"2d")</f>
        <v>45910</v>
      </c>
      <c r="L196" s="345">
        <f ca="1">_xll.qlCalendarAdvance(H196,K196,E196,"unadjusted")</f>
        <v>55041</v>
      </c>
      <c r="M196" s="346" t="s">
        <v>7</v>
      </c>
      <c r="N196" s="346" t="s">
        <v>20</v>
      </c>
      <c r="O196" s="346" t="s">
        <v>21</v>
      </c>
      <c r="P196" s="346" t="s">
        <v>21</v>
      </c>
      <c r="Q196" s="346" t="s">
        <v>70</v>
      </c>
      <c r="R196" s="353" t="str">
        <f ca="1">_xll.qlSchedule(,K196,L196,M196,N196,O196,P196,Q196)</f>
        <v>obj_00483#0001</v>
      </c>
      <c r="S196" s="346" t="s">
        <v>19</v>
      </c>
      <c r="T196" s="346" t="s">
        <v>20</v>
      </c>
      <c r="U196" s="346" t="s">
        <v>21</v>
      </c>
      <c r="V196" s="346" t="s">
        <v>21</v>
      </c>
      <c r="W196" s="346" t="s">
        <v>70</v>
      </c>
      <c r="X196" s="353" t="str">
        <f ca="1">_xll.qlSchedule(,K196,L196,S196,T196,U196,V196,W196)</f>
        <v>obj_00484#0001</v>
      </c>
      <c r="Y196" s="349" t="s">
        <v>1742</v>
      </c>
      <c r="Z196" s="354" t="s">
        <v>36</v>
      </c>
      <c r="AA196" s="354" t="s">
        <v>1745</v>
      </c>
      <c r="AB196" s="353" t="str">
        <f ca="1">_xll.qlVanillaSwap(,,,R196,,Y196,X196,Z196,,AA196)</f>
        <v>obj_00549#0001</v>
      </c>
      <c r="AC196" s="353" t="b">
        <f ca="1">_xll.qlInstrumentSetPricingEngine(AB196,_xll.qlDiscountingSwapEngine(,Curve!$S$16))</f>
        <v>1</v>
      </c>
      <c r="AD196" s="355" t="e">
        <f ca="1">_xll.qlVanillaSwapFairRate(AB196,AC196)</f>
        <v>#NUM!</v>
      </c>
      <c r="AE196" s="346" t="s">
        <v>1752</v>
      </c>
      <c r="AF196" s="347">
        <v>10000</v>
      </c>
      <c r="AG196" s="350" t="str">
        <f ca="1">_xll.qlVanillaSwap(,AE196,AF196,R196,AD196,Y196,X196,Z196,,AA196)</f>
        <v>obj_00696#0000</v>
      </c>
      <c r="AH196" s="347" t="str">
        <f ca="1">_xll.qlEuropeanExercise(,J196)</f>
        <v>obj_001d4#0001</v>
      </c>
      <c r="AI196" s="346" t="s">
        <v>1749</v>
      </c>
      <c r="AJ196" s="356" t="str">
        <f ca="1">_xll.qlSwaption(,AG196,AH196,AI196)</f>
        <v>obj_0076e#0001</v>
      </c>
      <c r="AK196" s="357" t="str">
        <f ca="1">_xll.qlConstantSwaptionVolatility(,,H196,I196,F196)</f>
        <v>obj_000bc#0001</v>
      </c>
      <c r="AL196" s="357" t="b">
        <f ca="1">_xll.qlInstrumentSetPricingEngine(AJ196,_xll.qlBachelierBlackSwaptionEngine(,Curve!$S$16,AK196))</f>
        <v>1</v>
      </c>
      <c r="AM196" s="358">
        <f ca="1">_xll.qlInstrumentNPV(AJ196,AL196)*2/_xll.qlYieldTSDiscount(Curve!$S$16,K196)</f>
        <v>2808.4686592657667</v>
      </c>
      <c r="AN196" s="358">
        <f ca="1">_xll.qlInstrumentResults(AJ196,"annuity",AL196)</f>
        <v>165451.81513948174</v>
      </c>
      <c r="AO196" s="359">
        <f ca="1">G196/2*_xll.qlYieldTSDiscount(Curve!$S$16,K196)/AN196</f>
        <v>8.7501680051677369E-3</v>
      </c>
      <c r="AP196" s="360" t="e">
        <f ca="1">_xll.qlBachelierBlackFormulaImpliedVol("Call",AD196,AD196,_xll.qlDayCounterYearFraction("Act/365 (Fixed)",C196,J196),AO196)</f>
        <v>#VALUE!</v>
      </c>
      <c r="AQ196" s="361" t="e">
        <f ca="1">_xll.qlBlackFormulaImpliedStdDev("Call",AD196,AD196,AO196)/SQRT(_xll.qlDayCounterYearFraction("Act/365 (Fixed)",C196,J196))</f>
        <v>#VALUE!</v>
      </c>
      <c r="AS196" s="363">
        <v>6.2299805706288588E-3</v>
      </c>
      <c r="AT196" s="363">
        <v>6.9321585397679941E-3</v>
      </c>
      <c r="AU196" s="365">
        <f t="shared" ca="1" si="10"/>
        <v>1.9429371141480023E-8</v>
      </c>
      <c r="AV196" s="365">
        <f t="shared" ca="1" si="11"/>
        <v>-7.0215853976799379E-4</v>
      </c>
    </row>
    <row r="197" spans="2:48">
      <c r="B197" s="348" t="str">
        <f t="shared" ref="B197:B213" ca="1" si="13">D197&amp;"x"&amp;E197</f>
        <v>15Yx25Y</v>
      </c>
      <c r="C197" s="345">
        <f t="shared" ca="1" si="12"/>
        <v>42254</v>
      </c>
      <c r="D197" s="346" t="s">
        <v>17</v>
      </c>
      <c r="E197" s="346" t="s">
        <v>105</v>
      </c>
      <c r="F197" s="351">
        <f ca="1">VLOOKUP(F$3&amp;$D197&amp;$E197,'Swaption Volatilities'!$V:$W,2,FALSE)%%</f>
        <v>5.7700000000000008E-3</v>
      </c>
      <c r="G197" s="352">
        <f ca="1">VLOOKUP(G$3&amp;$D197&amp;$E197,'Swaption Volatilities'!$V:$W,2,FALSE)</f>
        <v>3593</v>
      </c>
      <c r="H197" s="346" t="s">
        <v>20</v>
      </c>
      <c r="I197" s="346" t="s">
        <v>21</v>
      </c>
      <c r="J197" s="345">
        <f ca="1">_xll.qlCalendarAdvance(H197,C197,D197,I197)</f>
        <v>47735</v>
      </c>
      <c r="K197" s="345">
        <f ca="1">_xll.qlCalendarAdvance(H197,J197,"2d")</f>
        <v>47737</v>
      </c>
      <c r="L197" s="345">
        <f ca="1">_xll.qlCalendarAdvance(H197,K197,E197,"unadjusted")</f>
        <v>56868</v>
      </c>
      <c r="M197" s="346" t="s">
        <v>7</v>
      </c>
      <c r="N197" s="346" t="s">
        <v>20</v>
      </c>
      <c r="O197" s="346" t="s">
        <v>21</v>
      </c>
      <c r="P197" s="346" t="s">
        <v>21</v>
      </c>
      <c r="Q197" s="346" t="s">
        <v>70</v>
      </c>
      <c r="R197" s="353" t="str">
        <f ca="1">_xll.qlSchedule(,K197,L197,M197,N197,O197,P197,Q197)</f>
        <v>obj_006e3#0001</v>
      </c>
      <c r="S197" s="346" t="s">
        <v>19</v>
      </c>
      <c r="T197" s="346" t="s">
        <v>20</v>
      </c>
      <c r="U197" s="346" t="s">
        <v>21</v>
      </c>
      <c r="V197" s="346" t="s">
        <v>21</v>
      </c>
      <c r="W197" s="346" t="s">
        <v>70</v>
      </c>
      <c r="X197" s="353" t="str">
        <f ca="1">_xll.qlSchedule(,K197,L197,S197,T197,U197,V197,W197)</f>
        <v>obj_001b3#0001</v>
      </c>
      <c r="Y197" s="349" t="s">
        <v>1742</v>
      </c>
      <c r="Z197" s="354" t="s">
        <v>36</v>
      </c>
      <c r="AA197" s="354" t="s">
        <v>1745</v>
      </c>
      <c r="AB197" s="353" t="str">
        <f ca="1">_xll.qlVanillaSwap(,,,R197,,Y197,X197,Z197,,AA197)</f>
        <v>obj_00711#0001</v>
      </c>
      <c r="AC197" s="353" t="b">
        <f ca="1">_xll.qlInstrumentSetPricingEngine(AB197,_xll.qlDiscountingSwapEngine(,Curve!$S$16))</f>
        <v>1</v>
      </c>
      <c r="AD197" s="355">
        <f ca="1">_xll.qlVanillaSwapFairRate(AB197,AC197)</f>
        <v>1.7255045461767753E-2</v>
      </c>
      <c r="AE197" s="346" t="s">
        <v>1752</v>
      </c>
      <c r="AF197" s="347">
        <v>10000</v>
      </c>
      <c r="AG197" s="350" t="str">
        <f ca="1">_xll.qlVanillaSwap(,AE197,AF197,R197,AD197,Y197,X197,Z197,,AA197)</f>
        <v>obj_00737#0001</v>
      </c>
      <c r="AH197" s="347" t="str">
        <f ca="1">_xll.qlEuropeanExercise(,J197)</f>
        <v>obj_001a2#0001</v>
      </c>
      <c r="AI197" s="346" t="s">
        <v>1749</v>
      </c>
      <c r="AJ197" s="356" t="str">
        <f ca="1">_xll.qlSwaption(,AG197,AH197,AI197)</f>
        <v>obj_0079a#0001</v>
      </c>
      <c r="AK197" s="357" t="str">
        <f ca="1">_xll.qlConstantSwaptionVolatility(,,H197,I197,F197)</f>
        <v>obj_000ff#0001</v>
      </c>
      <c r="AL197" s="357" t="b">
        <f ca="1">_xll.qlInstrumentSetPricingEngine(AJ197,_xll.qlBachelierBlackSwaptionEngine(,Curve!$S$16,AK197))</f>
        <v>1</v>
      </c>
      <c r="AM197" s="358">
        <f ca="1">_xll.qlInstrumentNPV(AJ197,AL197)*2/_xll.qlYieldTSDiscount(Curve!$S$16,K197)</f>
        <v>3319.839570144698</v>
      </c>
      <c r="AN197" s="358">
        <f ca="1">_xll.qlInstrumentResults(AJ197,"annuity",AL197)</f>
        <v>156026.34724629691</v>
      </c>
      <c r="AO197" s="359">
        <f ca="1">G197/2*_xll.qlYieldTSDiscount(Curve!$S$16,K197)/AN197</f>
        <v>9.6540483128394784E-3</v>
      </c>
      <c r="AP197" s="360">
        <f ca="1">_xll.qlBachelierBlackFormulaImpliedVol("Call",AD197,AD197,_xll.qlDayCounterYearFraction("Act/365 (Fixed)",C197,J197),AO197)</f>
        <v>6.2447626043256052E-3</v>
      </c>
      <c r="AQ197" s="361">
        <f ca="1">_xll.qlBlackFormulaImpliedStdDev("Call",AD197,AD197,AO197)/SQRT(_xll.qlDayCounterYearFraction("Act/365 (Fixed)",C197,J197))</f>
        <v>0.39809736190671263</v>
      </c>
      <c r="AS197" s="363">
        <v>5.7641134604975788E-3</v>
      </c>
      <c r="AT197" s="363">
        <v>6.2447626043256052E-3</v>
      </c>
      <c r="AU197" s="365">
        <f t="shared" ref="AU197:AU213" ca="1" si="14">F197-AS197</f>
        <v>5.8865395024219891E-6</v>
      </c>
      <c r="AV197" s="365">
        <f t="shared" ref="AV197:AV213" ca="1" si="15">F197-AT197</f>
        <v>-4.7476260432560442E-4</v>
      </c>
    </row>
    <row r="198" spans="2:48">
      <c r="B198" s="348" t="str">
        <f t="shared" ca="1" si="13"/>
        <v>20Yx25Y</v>
      </c>
      <c r="C198" s="345">
        <f t="shared" ca="1" si="12"/>
        <v>42254</v>
      </c>
      <c r="D198" s="346" t="s">
        <v>104</v>
      </c>
      <c r="E198" s="346" t="s">
        <v>105</v>
      </c>
      <c r="F198" s="351">
        <f ca="1">VLOOKUP(F$3&amp;$D198&amp;$E198,'Swaption Volatilities'!$V:$W,2,FALSE)%%</f>
        <v>5.3400000000000001E-3</v>
      </c>
      <c r="G198" s="352">
        <f ca="1">VLOOKUP(G$3&amp;$D198&amp;$E198,'Swaption Volatilities'!$V:$W,2,FALSE)</f>
        <v>3892</v>
      </c>
      <c r="H198" s="346" t="s">
        <v>20</v>
      </c>
      <c r="I198" s="346" t="s">
        <v>21</v>
      </c>
      <c r="J198" s="345">
        <f ca="1">_xll.qlCalendarAdvance(H198,C198,D198,I198)</f>
        <v>49559</v>
      </c>
      <c r="K198" s="345">
        <f ca="1">_xll.qlCalendarAdvance(H198,J198,"2d")</f>
        <v>49563</v>
      </c>
      <c r="L198" s="345">
        <f ca="1">_xll.qlCalendarAdvance(H198,K198,E198,"unadjusted")</f>
        <v>58695</v>
      </c>
      <c r="M198" s="346" t="s">
        <v>7</v>
      </c>
      <c r="N198" s="346" t="s">
        <v>20</v>
      </c>
      <c r="O198" s="346" t="s">
        <v>21</v>
      </c>
      <c r="P198" s="346" t="s">
        <v>21</v>
      </c>
      <c r="Q198" s="346" t="s">
        <v>70</v>
      </c>
      <c r="R198" s="353" t="str">
        <f ca="1">_xll.qlSchedule(,K198,L198,M198,N198,O198,P198,Q198)</f>
        <v>obj_00544#0001</v>
      </c>
      <c r="S198" s="346" t="s">
        <v>19</v>
      </c>
      <c r="T198" s="346" t="s">
        <v>20</v>
      </c>
      <c r="U198" s="346" t="s">
        <v>21</v>
      </c>
      <c r="V198" s="346" t="s">
        <v>21</v>
      </c>
      <c r="W198" s="346" t="s">
        <v>70</v>
      </c>
      <c r="X198" s="353" t="str">
        <f ca="1">_xll.qlSchedule(,K198,L198,S198,T198,U198,V198,W198)</f>
        <v>obj_00665#0001</v>
      </c>
      <c r="Y198" s="349" t="s">
        <v>1742</v>
      </c>
      <c r="Z198" s="354" t="s">
        <v>36</v>
      </c>
      <c r="AA198" s="354" t="s">
        <v>1745</v>
      </c>
      <c r="AB198" s="353" t="str">
        <f ca="1">_xll.qlVanillaSwap(,,,R198,,Y198,X198,Z198,,AA198)</f>
        <v>obj_00666#0000</v>
      </c>
      <c r="AC198" s="353" t="b">
        <f ca="1">_xll.qlInstrumentSetPricingEngine(AB198,_xll.qlDiscountingSwapEngine(,Curve!$S$16))</f>
        <v>1</v>
      </c>
      <c r="AD198" s="355" t="e">
        <f ca="1">_xll.qlVanillaSwapFairRate(AB198,AC198)</f>
        <v>#NUM!</v>
      </c>
      <c r="AE198" s="346" t="s">
        <v>1752</v>
      </c>
      <c r="AF198" s="347">
        <v>10000</v>
      </c>
      <c r="AG198" s="350" t="e">
        <f ca="1">_xll.qlVanillaSwap(,AE198,AF198,R198,AD198,Y198,X198,Z198,,AA198)</f>
        <v>#NUM!</v>
      </c>
      <c r="AH198" s="347" t="str">
        <f ca="1">_xll.qlEuropeanExercise(,J198)</f>
        <v>obj_00275#0001</v>
      </c>
      <c r="AI198" s="346" t="s">
        <v>1749</v>
      </c>
      <c r="AJ198" s="356" t="e">
        <f ca="1">_xll.qlSwaption(,AG198,AH198,AI198)</f>
        <v>#VALUE!</v>
      </c>
      <c r="AK198" s="357" t="str">
        <f ca="1">_xll.qlConstantSwaptionVolatility(,,H198,I198,F198)</f>
        <v>obj_000f0#0001</v>
      </c>
      <c r="AL198" s="357" t="e">
        <f ca="1">_xll.qlInstrumentSetPricingEngine(AJ198,_xll.qlBachelierBlackSwaptionEngine(,Curve!$S$16,AK198))</f>
        <v>#VALUE!</v>
      </c>
      <c r="AM198" s="358" t="e">
        <f ca="1">_xll.qlInstrumentNPV(AJ198,AL198)*2/_xll.qlYieldTSDiscount(Curve!$S$16,K198)</f>
        <v>#VALUE!</v>
      </c>
      <c r="AN198" s="358" t="e">
        <f ca="1">_xll.qlInstrumentResults(AJ198,"annuity",AL198)</f>
        <v>#VALUE!</v>
      </c>
      <c r="AO198" s="359" t="e">
        <f ca="1">G198/2*_xll.qlYieldTSDiscount(Curve!$S$16,K198)/AN198</f>
        <v>#VALUE!</v>
      </c>
      <c r="AP198" s="360" t="e">
        <f ca="1">_xll.qlBachelierBlackFormulaImpliedVol("Call",AD198,AD198,_xll.qlDayCounterYearFraction("Act/365 (Fixed)",C198,J198),AO198)</f>
        <v>#VALUE!</v>
      </c>
      <c r="AQ198" s="361" t="e">
        <f ca="1">_xll.qlBlackFormulaImpliedStdDev("Call",AD198,AD198,AO198)/SQRT(_xll.qlDayCounterYearFraction("Act/365 (Fixed)",C198,J198))</f>
        <v>#VALUE!</v>
      </c>
      <c r="AS198" s="363">
        <v>5.3214917549756074E-3</v>
      </c>
      <c r="AT198" s="363">
        <v>5.5498841265355014E-3</v>
      </c>
      <c r="AU198" s="365">
        <f t="shared" ca="1" si="14"/>
        <v>1.8508245024392682E-5</v>
      </c>
      <c r="AV198" s="365">
        <f t="shared" ca="1" si="15"/>
        <v>-2.0988412653550129E-4</v>
      </c>
    </row>
    <row r="199" spans="2:48">
      <c r="B199" s="348" t="str">
        <f t="shared" ca="1" si="13"/>
        <v>1Mx30Y</v>
      </c>
      <c r="C199" s="345">
        <f t="shared" ca="1" si="12"/>
        <v>42254</v>
      </c>
      <c r="D199" s="346" t="s">
        <v>23</v>
      </c>
      <c r="E199" s="346" t="s">
        <v>106</v>
      </c>
      <c r="F199" s="351">
        <f ca="1">VLOOKUP(F$3&amp;$D199&amp;$E199,'Swaption Volatilities'!$V:$W,2,FALSE)%%</f>
        <v>9.0799999999999995E-3</v>
      </c>
      <c r="G199" s="352">
        <f ca="1">VLOOKUP(G$3&amp;$D199&amp;$E199,'Swaption Volatilities'!$V:$W,2,FALSE)</f>
        <v>496</v>
      </c>
      <c r="H199" s="346" t="s">
        <v>20</v>
      </c>
      <c r="I199" s="346" t="s">
        <v>21</v>
      </c>
      <c r="J199" s="345">
        <f ca="1">_xll.qlCalendarAdvance(H199,C199,D199,I199)</f>
        <v>42284</v>
      </c>
      <c r="K199" s="345">
        <f ca="1">_xll.qlCalendarAdvance(H199,J199,"2d")</f>
        <v>42286</v>
      </c>
      <c r="L199" s="345">
        <f ca="1">_xll.qlCalendarAdvance(H199,K199,E199,"unadjusted")</f>
        <v>53244</v>
      </c>
      <c r="M199" s="346" t="s">
        <v>7</v>
      </c>
      <c r="N199" s="346" t="s">
        <v>20</v>
      </c>
      <c r="O199" s="346" t="s">
        <v>21</v>
      </c>
      <c r="P199" s="346" t="s">
        <v>21</v>
      </c>
      <c r="Q199" s="346" t="s">
        <v>70</v>
      </c>
      <c r="R199" s="353" t="str">
        <f ca="1">_xll.qlSchedule(,K199,L199,M199,N199,O199,P199,Q199)</f>
        <v>obj_001fe#0001</v>
      </c>
      <c r="S199" s="346" t="s">
        <v>19</v>
      </c>
      <c r="T199" s="346" t="s">
        <v>20</v>
      </c>
      <c r="U199" s="346" t="s">
        <v>21</v>
      </c>
      <c r="V199" s="346" t="s">
        <v>21</v>
      </c>
      <c r="W199" s="346" t="s">
        <v>70</v>
      </c>
      <c r="X199" s="353" t="str">
        <f ca="1">_xll.qlSchedule(,K199,L199,S199,T199,U199,V199,W199)</f>
        <v>obj_00136#0001</v>
      </c>
      <c r="Y199" s="349" t="s">
        <v>1742</v>
      </c>
      <c r="Z199" s="354" t="s">
        <v>36</v>
      </c>
      <c r="AA199" s="354" t="s">
        <v>1745</v>
      </c>
      <c r="AB199" s="353" t="str">
        <f ca="1">_xll.qlVanillaSwap(,,,R199,,Y199,X199,Z199,,AA199)</f>
        <v>obj_00305#0001</v>
      </c>
      <c r="AC199" s="353" t="b">
        <f ca="1">_xll.qlInstrumentSetPricingEngine(AB199,_xll.qlDiscountingSwapEngine(,Curve!$S$16))</f>
        <v>1</v>
      </c>
      <c r="AD199" s="355">
        <f ca="1">_xll.qlVanillaSwapFairRate(AB199,AC199)</f>
        <v>1.5420768733704956E-2</v>
      </c>
      <c r="AE199" s="346" t="s">
        <v>1752</v>
      </c>
      <c r="AF199" s="347">
        <v>10000</v>
      </c>
      <c r="AG199" s="350" t="str">
        <f ca="1">_xll.qlVanillaSwap(,AE199,AF199,R199,AD199,Y199,X199,Z199,,AA199)</f>
        <v>obj_004ba#0000</v>
      </c>
      <c r="AH199" s="347" t="str">
        <f ca="1">_xll.qlEuropeanExercise(,J199)</f>
        <v>obj_00335#0001</v>
      </c>
      <c r="AI199" s="346" t="s">
        <v>1749</v>
      </c>
      <c r="AJ199" s="356" t="str">
        <f ca="1">_xll.qlSwaption(,AG199,AH199,AI199)</f>
        <v>obj_0069d#0001</v>
      </c>
      <c r="AK199" s="357" t="str">
        <f ca="1">_xll.qlConstantSwaptionVolatility(,,H199,I199,F199)</f>
        <v>obj_002c6#0001</v>
      </c>
      <c r="AL199" s="357" t="b">
        <f ca="1">_xll.qlInstrumentSetPricingEngine(AJ199,_xll.qlBachelierBlackSwaptionEngine(,Curve!$S$16,AK199))</f>
        <v>1</v>
      </c>
      <c r="AM199" s="358">
        <f ca="1">_xll.qlInstrumentNPV(AJ199,AL199)*2/_xll.qlYieldTSDiscount(Curve!$S$16,K199)</f>
        <v>495.1190535188706</v>
      </c>
      <c r="AN199" s="358">
        <f ca="1">_xll.qlInstrumentResults(AJ199,"annuity",AL199)</f>
        <v>238407.42542410098</v>
      </c>
      <c r="AO199" s="359">
        <f ca="1">G199/2*_xll.qlYieldTSDiscount(Curve!$S$16,K199)/AN199</f>
        <v>1.0403564079153663E-3</v>
      </c>
      <c r="AP199" s="360">
        <f ca="1">_xll.qlBachelierBlackFormulaImpliedVol("Call",AD199,AD199,_xll.qlDayCounterYearFraction("Act/365 (Fixed)",C199,J199),AO199)</f>
        <v>9.0961556982949842E-3</v>
      </c>
      <c r="AQ199" s="361">
        <f ca="1">_xll.qlBlackFormulaImpliedStdDev("Call",AD199,AD199,AO199)/SQRT(_xll.qlDayCounterYearFraction("Act/365 (Fixed)",C199,J199))</f>
        <v>0.59056858969867299</v>
      </c>
      <c r="AS199" s="363">
        <v>8.6507462918466345E-3</v>
      </c>
      <c r="AT199" s="363">
        <v>9.0961556982949842E-3</v>
      </c>
      <c r="AU199" s="365">
        <f t="shared" ca="1" si="14"/>
        <v>4.2925370815336504E-4</v>
      </c>
      <c r="AV199" s="365">
        <f t="shared" ca="1" si="15"/>
        <v>-1.6155698294984672E-5</v>
      </c>
    </row>
    <row r="200" spans="2:48">
      <c r="B200" s="348" t="str">
        <f t="shared" ca="1" si="13"/>
        <v>2Mx30Y</v>
      </c>
      <c r="C200" s="345">
        <f t="shared" ca="1" si="12"/>
        <v>42254</v>
      </c>
      <c r="D200" s="346" t="s">
        <v>398</v>
      </c>
      <c r="E200" s="346" t="s">
        <v>106</v>
      </c>
      <c r="F200" s="351">
        <f ca="1">VLOOKUP(F$3&amp;$D200&amp;$E200,'Swaption Volatilities'!$V:$W,2,FALSE)%%</f>
        <v>8.8199999999999997E-3</v>
      </c>
      <c r="G200" s="352">
        <f ca="1">VLOOKUP(G$3&amp;$D200&amp;$E200,'Swaption Volatilities'!$V:$W,2,FALSE)</f>
        <v>697</v>
      </c>
      <c r="H200" s="346" t="s">
        <v>20</v>
      </c>
      <c r="I200" s="346" t="s">
        <v>21</v>
      </c>
      <c r="J200" s="345">
        <f ca="1">_xll.qlCalendarAdvance(H200,C200,D200,I200)</f>
        <v>42317</v>
      </c>
      <c r="K200" s="345">
        <f ca="1">_xll.qlCalendarAdvance(H200,J200,"2d")</f>
        <v>42319</v>
      </c>
      <c r="L200" s="345">
        <f ca="1">_xll.qlCalendarAdvance(H200,K200,E200,"unadjusted")</f>
        <v>53277</v>
      </c>
      <c r="M200" s="346" t="s">
        <v>7</v>
      </c>
      <c r="N200" s="346" t="s">
        <v>20</v>
      </c>
      <c r="O200" s="346" t="s">
        <v>21</v>
      </c>
      <c r="P200" s="346" t="s">
        <v>21</v>
      </c>
      <c r="Q200" s="346" t="s">
        <v>70</v>
      </c>
      <c r="R200" s="353" t="str">
        <f ca="1">_xll.qlSchedule(,K200,L200,M200,N200,O200,P200,Q200)</f>
        <v>obj_004af#0001</v>
      </c>
      <c r="S200" s="346" t="s">
        <v>19</v>
      </c>
      <c r="T200" s="346" t="s">
        <v>20</v>
      </c>
      <c r="U200" s="346" t="s">
        <v>21</v>
      </c>
      <c r="V200" s="346" t="s">
        <v>21</v>
      </c>
      <c r="W200" s="346" t="s">
        <v>70</v>
      </c>
      <c r="X200" s="353" t="str">
        <f ca="1">_xll.qlSchedule(,K200,L200,S200,T200,U200,V200,W200)</f>
        <v>obj_006f1#0001</v>
      </c>
      <c r="Y200" s="349" t="s">
        <v>1742</v>
      </c>
      <c r="Z200" s="354" t="s">
        <v>36</v>
      </c>
      <c r="AA200" s="354" t="s">
        <v>1745</v>
      </c>
      <c r="AB200" s="353" t="str">
        <f ca="1">_xll.qlVanillaSwap(,,,R200,,Y200,X200,Z200,,AA200)</f>
        <v>obj_006f2#0000</v>
      </c>
      <c r="AC200" s="353" t="b">
        <f ca="1">_xll.qlInstrumentSetPricingEngine(AB200,_xll.qlDiscountingSwapEngine(,Curve!$S$16))</f>
        <v>1</v>
      </c>
      <c r="AD200" s="355" t="e">
        <f ca="1">_xll.qlVanillaSwapFairRate(AB200,AC200)</f>
        <v>#NUM!</v>
      </c>
      <c r="AE200" s="346" t="s">
        <v>1752</v>
      </c>
      <c r="AF200" s="347">
        <v>10000</v>
      </c>
      <c r="AG200" s="350" t="e">
        <f ca="1">_xll.qlVanillaSwap(,AE200,AF200,R200,AD200,Y200,X200,Z200,,AA200)</f>
        <v>#NUM!</v>
      </c>
      <c r="AH200" s="347" t="str">
        <f ca="1">_xll.qlEuropeanExercise(,J200)</f>
        <v>obj_00119#0001</v>
      </c>
      <c r="AI200" s="346" t="s">
        <v>1749</v>
      </c>
      <c r="AJ200" s="356" t="e">
        <f ca="1">_xll.qlSwaption(,AG200,AH200,AI200)</f>
        <v>#VALUE!</v>
      </c>
      <c r="AK200" s="357" t="str">
        <f ca="1">_xll.qlConstantSwaptionVolatility(,,H200,I200,F200)</f>
        <v>obj_0032c#0001</v>
      </c>
      <c r="AL200" s="357" t="e">
        <f ca="1">_xll.qlInstrumentSetPricingEngine(AJ200,_xll.qlBachelierBlackSwaptionEngine(,Curve!$S$16,AK200))</f>
        <v>#VALUE!</v>
      </c>
      <c r="AM200" s="358" t="e">
        <f ca="1">_xll.qlInstrumentNPV(AJ200,AL200)*2/_xll.qlYieldTSDiscount(Curve!$S$16,K200)</f>
        <v>#VALUE!</v>
      </c>
      <c r="AN200" s="358" t="e">
        <f ca="1">_xll.qlInstrumentResults(AJ200,"annuity",AL200)</f>
        <v>#VALUE!</v>
      </c>
      <c r="AO200" s="359" t="e">
        <f ca="1">G200/2*_xll.qlYieldTSDiscount(Curve!$S$16,K200)/AN200</f>
        <v>#VALUE!</v>
      </c>
      <c r="AP200" s="360" t="e">
        <f ca="1">_xll.qlBachelierBlackFormulaImpliedVol("Call",AD200,AD200,_xll.qlDayCounterYearFraction("Act/365 (Fixed)",C200,J200),AO200)</f>
        <v>#VALUE!</v>
      </c>
      <c r="AQ200" s="361" t="e">
        <f ca="1">_xll.qlBlackFormulaImpliedStdDev("Call",AD200,AD200,AO200)/SQRT(_xll.qlDayCounterYearFraction("Act/365 (Fixed)",C200,J200))</f>
        <v>#VALUE!</v>
      </c>
      <c r="AS200" s="363">
        <v>8.3993494222665624E-3</v>
      </c>
      <c r="AT200" s="363">
        <v>8.8395675574724879E-3</v>
      </c>
      <c r="AU200" s="365">
        <f t="shared" ca="1" si="14"/>
        <v>4.2065057773343732E-4</v>
      </c>
      <c r="AV200" s="365">
        <f t="shared" ca="1" si="15"/>
        <v>-1.9567557472488159E-5</v>
      </c>
    </row>
    <row r="201" spans="2:48">
      <c r="B201" s="348" t="str">
        <f t="shared" ca="1" si="13"/>
        <v>3Mx30Y</v>
      </c>
      <c r="C201" s="345">
        <f t="shared" ca="1" si="12"/>
        <v>42254</v>
      </c>
      <c r="D201" s="346" t="s">
        <v>26</v>
      </c>
      <c r="E201" s="346" t="s">
        <v>106</v>
      </c>
      <c r="F201" s="351">
        <f ca="1">VLOOKUP(F$3&amp;$D201&amp;$E201,'Swaption Volatilities'!$V:$W,2,FALSE)%%</f>
        <v>8.4700000000000001E-3</v>
      </c>
      <c r="G201" s="352">
        <f ca="1">VLOOKUP(G$3&amp;$D201&amp;$E201,'Swaption Volatilities'!$V:$W,2,FALSE)</f>
        <v>803</v>
      </c>
      <c r="H201" s="346" t="s">
        <v>20</v>
      </c>
      <c r="I201" s="346" t="s">
        <v>21</v>
      </c>
      <c r="J201" s="345">
        <f ca="1">_xll.qlCalendarAdvance(H201,C201,D201,I201)</f>
        <v>42345</v>
      </c>
      <c r="K201" s="345">
        <f ca="1">_xll.qlCalendarAdvance(H201,J201,"2d")</f>
        <v>42347</v>
      </c>
      <c r="L201" s="345">
        <f ca="1">_xll.qlCalendarAdvance(H201,K201,E201,"unadjusted")</f>
        <v>53305</v>
      </c>
      <c r="M201" s="346" t="s">
        <v>7</v>
      </c>
      <c r="N201" s="346" t="s">
        <v>20</v>
      </c>
      <c r="O201" s="346" t="s">
        <v>21</v>
      </c>
      <c r="P201" s="346" t="s">
        <v>21</v>
      </c>
      <c r="Q201" s="346" t="s">
        <v>70</v>
      </c>
      <c r="R201" s="353" t="str">
        <f ca="1">_xll.qlSchedule(,K201,L201,M201,N201,O201,P201,Q201)</f>
        <v>obj_006de#0001</v>
      </c>
      <c r="S201" s="346" t="s">
        <v>19</v>
      </c>
      <c r="T201" s="346" t="s">
        <v>20</v>
      </c>
      <c r="U201" s="346" t="s">
        <v>21</v>
      </c>
      <c r="V201" s="346" t="s">
        <v>21</v>
      </c>
      <c r="W201" s="346" t="s">
        <v>70</v>
      </c>
      <c r="X201" s="353" t="str">
        <f ca="1">_xll.qlSchedule(,K201,L201,S201,T201,U201,V201,W201)</f>
        <v>obj_004c4#0001</v>
      </c>
      <c r="Y201" s="349" t="s">
        <v>1742</v>
      </c>
      <c r="Z201" s="354" t="s">
        <v>36</v>
      </c>
      <c r="AA201" s="354" t="s">
        <v>1745</v>
      </c>
      <c r="AB201" s="353" t="str">
        <f ca="1">_xll.qlVanillaSwap(,,,R201,,Y201,X201,Z201,,AA201)</f>
        <v>obj_0070e#0001</v>
      </c>
      <c r="AC201" s="353" t="b">
        <f ca="1">_xll.qlInstrumentSetPricingEngine(AB201,_xll.qlDiscountingSwapEngine(,Curve!$S$16))</f>
        <v>1</v>
      </c>
      <c r="AD201" s="355">
        <f ca="1">_xll.qlVanillaSwapFairRate(AB201,AC201)</f>
        <v>1.5525103137571656E-2</v>
      </c>
      <c r="AE201" s="346" t="s">
        <v>1752</v>
      </c>
      <c r="AF201" s="347">
        <v>10000</v>
      </c>
      <c r="AG201" s="350" t="str">
        <f ca="1">_xll.qlVanillaSwap(,AE201,AF201,R201,AD201,Y201,X201,Z201,,AA201)</f>
        <v>obj_00736#0001</v>
      </c>
      <c r="AH201" s="347" t="str">
        <f ca="1">_xll.qlEuropeanExercise(,J201)</f>
        <v>obj_003a1#0001</v>
      </c>
      <c r="AI201" s="346" t="s">
        <v>1749</v>
      </c>
      <c r="AJ201" s="356" t="str">
        <f ca="1">_xll.qlSwaption(,AG201,AH201,AI201)</f>
        <v>obj_0073c#0001</v>
      </c>
      <c r="AK201" s="357" t="str">
        <f ca="1">_xll.qlConstantSwaptionVolatility(,,H201,I201,F201)</f>
        <v>obj_00260#0001</v>
      </c>
      <c r="AL201" s="357" t="b">
        <f ca="1">_xll.qlInstrumentSetPricingEngine(AJ201,_xll.qlBachelierBlackSwaptionEngine(,Curve!$S$16,AK201))</f>
        <v>1</v>
      </c>
      <c r="AM201" s="358">
        <f ca="1">_xll.qlInstrumentNPV(AJ201,AL201)*2/_xll.qlYieldTSDiscount(Curve!$S$16,K201)</f>
        <v>801.06986630020629</v>
      </c>
      <c r="AN201" s="358">
        <f ca="1">_xll.qlInstrumentResults(AJ201,"annuity",AL201)</f>
        <v>237477.78086394328</v>
      </c>
      <c r="AO201" s="359">
        <f ca="1">G201/2*_xll.qlYieldTSDiscount(Curve!$S$16,K201)/AN201</f>
        <v>1.6912697847985291E-3</v>
      </c>
      <c r="AP201" s="360">
        <f ca="1">_xll.qlBachelierBlackFormulaImpliedVol("Call",AD201,AD201,_xll.qlDayCounterYearFraction("Act/365 (Fixed)",C201,J201),AO201)</f>
        <v>8.4904079982596053E-3</v>
      </c>
      <c r="AQ201" s="361">
        <f ca="1">_xll.qlBlackFormulaImpliedStdDev("Call",AD201,AD201,AO201)/SQRT(_xll.qlDayCounterYearFraction("Act/365 (Fixed)",C201,J201))</f>
        <v>0.5485928282778596</v>
      </c>
      <c r="AS201" s="363">
        <v>8.0612168600037882E-3</v>
      </c>
      <c r="AT201" s="363">
        <v>8.4904079982596053E-3</v>
      </c>
      <c r="AU201" s="365">
        <f t="shared" ca="1" si="14"/>
        <v>4.0878313999621191E-4</v>
      </c>
      <c r="AV201" s="365">
        <f t="shared" ca="1" si="15"/>
        <v>-2.0407998259605251E-5</v>
      </c>
    </row>
    <row r="202" spans="2:48">
      <c r="B202" s="348" t="str">
        <f t="shared" ca="1" si="13"/>
        <v>6Mx30Y</v>
      </c>
      <c r="C202" s="345">
        <f t="shared" ca="1" si="12"/>
        <v>42254</v>
      </c>
      <c r="D202" s="346" t="s">
        <v>19</v>
      </c>
      <c r="E202" s="346" t="s">
        <v>106</v>
      </c>
      <c r="F202" s="351">
        <f ca="1">VLOOKUP(F$3&amp;$D202&amp;$E202,'Swaption Volatilities'!$V:$W,2,FALSE)%%</f>
        <v>8.09E-3</v>
      </c>
      <c r="G202" s="352">
        <f ca="1">VLOOKUP(G$3&amp;$D202&amp;$E202,'Swaption Volatilities'!$V:$W,2,FALSE)</f>
        <v>1083</v>
      </c>
      <c r="H202" s="346" t="s">
        <v>20</v>
      </c>
      <c r="I202" s="346" t="s">
        <v>21</v>
      </c>
      <c r="J202" s="345">
        <f ca="1">_xll.qlCalendarAdvance(H202,C202,D202,I202)</f>
        <v>42436</v>
      </c>
      <c r="K202" s="345">
        <f ca="1">_xll.qlCalendarAdvance(H202,J202,"2d")</f>
        <v>42438</v>
      </c>
      <c r="L202" s="345">
        <f ca="1">_xll.qlCalendarAdvance(H202,K202,E202,"unadjusted")</f>
        <v>53395</v>
      </c>
      <c r="M202" s="346" t="s">
        <v>7</v>
      </c>
      <c r="N202" s="346" t="s">
        <v>20</v>
      </c>
      <c r="O202" s="346" t="s">
        <v>21</v>
      </c>
      <c r="P202" s="346" t="s">
        <v>21</v>
      </c>
      <c r="Q202" s="346" t="s">
        <v>70</v>
      </c>
      <c r="R202" s="353" t="str">
        <f ca="1">_xll.qlSchedule(,K202,L202,M202,N202,O202,P202,Q202)</f>
        <v>obj_004ae#0001</v>
      </c>
      <c r="S202" s="346" t="s">
        <v>19</v>
      </c>
      <c r="T202" s="346" t="s">
        <v>20</v>
      </c>
      <c r="U202" s="346" t="s">
        <v>21</v>
      </c>
      <c r="V202" s="346" t="s">
        <v>21</v>
      </c>
      <c r="W202" s="346" t="s">
        <v>70</v>
      </c>
      <c r="X202" s="353" t="str">
        <f ca="1">_xll.qlSchedule(,K202,L202,S202,T202,U202,V202,W202)</f>
        <v>obj_00673#0001</v>
      </c>
      <c r="Y202" s="349" t="s">
        <v>1742</v>
      </c>
      <c r="Z202" s="354" t="s">
        <v>36</v>
      </c>
      <c r="AA202" s="354" t="s">
        <v>1745</v>
      </c>
      <c r="AB202" s="353" t="str">
        <f ca="1">_xll.qlVanillaSwap(,,,R202,,Y202,X202,Z202,,AA202)</f>
        <v>obj_00674#0000</v>
      </c>
      <c r="AC202" s="353" t="b">
        <f ca="1">_xll.qlInstrumentSetPricingEngine(AB202,_xll.qlDiscountingSwapEngine(,Curve!$S$16))</f>
        <v>1</v>
      </c>
      <c r="AD202" s="355" t="e">
        <f ca="1">_xll.qlVanillaSwapFairRate(AB202,AC202)</f>
        <v>#NUM!</v>
      </c>
      <c r="AE202" s="346" t="s">
        <v>1752</v>
      </c>
      <c r="AF202" s="347">
        <v>10000</v>
      </c>
      <c r="AG202" s="350" t="e">
        <f ca="1">_xll.qlVanillaSwap(,AE202,AF202,R202,AD202,Y202,X202,Z202,,AA202)</f>
        <v>#NUM!</v>
      </c>
      <c r="AH202" s="347" t="str">
        <f ca="1">_xll.qlEuropeanExercise(,J202)</f>
        <v>obj_0019f#0001</v>
      </c>
      <c r="AI202" s="346" t="s">
        <v>1749</v>
      </c>
      <c r="AJ202" s="356" t="e">
        <f ca="1">_xll.qlSwaption(,AG202,AH202,AI202)</f>
        <v>#VALUE!</v>
      </c>
      <c r="AK202" s="357" t="str">
        <f ca="1">_xll.qlConstantSwaptionVolatility(,,H202,I202,F202)</f>
        <v>obj_000ba#0001</v>
      </c>
      <c r="AL202" s="357" t="e">
        <f ca="1">_xll.qlInstrumentSetPricingEngine(AJ202,_xll.qlBachelierBlackSwaptionEngine(,Curve!$S$16,AK202))</f>
        <v>#VALUE!</v>
      </c>
      <c r="AM202" s="358" t="e">
        <f ca="1">_xll.qlInstrumentNPV(AJ202,AL202)*2/_xll.qlYieldTSDiscount(Curve!$S$16,K202)</f>
        <v>#VALUE!</v>
      </c>
      <c r="AN202" s="358" t="e">
        <f ca="1">_xll.qlInstrumentResults(AJ202,"annuity",AL202)</f>
        <v>#VALUE!</v>
      </c>
      <c r="AO202" s="359" t="e">
        <f ca="1">G202/2*_xll.qlYieldTSDiscount(Curve!$S$16,K202)/AN202</f>
        <v>#VALUE!</v>
      </c>
      <c r="AP202" s="360" t="e">
        <f ca="1">_xll.qlBachelierBlackFormulaImpliedVol("Call",AD202,AD202,_xll.qlDayCounterYearFraction("Act/365 (Fixed)",C202,J202),AO202)</f>
        <v>#VALUE!</v>
      </c>
      <c r="AQ202" s="361" t="e">
        <f ca="1">_xll.qlBlackFormulaImpliedStdDev("Call",AD202,AD202,AO202)/SQRT(_xll.qlDayCounterYearFraction("Act/365 (Fixed)",C202,J202))</f>
        <v>#VALUE!</v>
      </c>
      <c r="AS202" s="363">
        <v>7.7190973199310481E-3</v>
      </c>
      <c r="AT202" s="363">
        <v>8.1510873579152716E-3</v>
      </c>
      <c r="AU202" s="365">
        <f t="shared" ca="1" si="14"/>
        <v>3.7090268006895188E-4</v>
      </c>
      <c r="AV202" s="365">
        <f t="shared" ca="1" si="15"/>
        <v>-6.1087357915271673E-5</v>
      </c>
    </row>
    <row r="203" spans="2:48">
      <c r="B203" s="348" t="str">
        <f t="shared" ca="1" si="13"/>
        <v>9Mx30Y</v>
      </c>
      <c r="C203" s="345">
        <f t="shared" ca="1" si="12"/>
        <v>42254</v>
      </c>
      <c r="D203" s="346" t="s">
        <v>412</v>
      </c>
      <c r="E203" s="346" t="s">
        <v>106</v>
      </c>
      <c r="F203" s="351">
        <f ca="1">VLOOKUP(F$3&amp;$D203&amp;$E203,'Swaption Volatilities'!$V:$W,2,FALSE)%%</f>
        <v>7.9299999999999995E-3</v>
      </c>
      <c r="G203" s="352">
        <f ca="1">VLOOKUP(G$3&amp;$D203&amp;$E203,'Swaption Volatilities'!$V:$W,2,FALSE)</f>
        <v>1300</v>
      </c>
      <c r="H203" s="346" t="s">
        <v>20</v>
      </c>
      <c r="I203" s="346" t="s">
        <v>21</v>
      </c>
      <c r="J203" s="345">
        <f ca="1">_xll.qlCalendarAdvance(H203,C203,D203,I203)</f>
        <v>42528</v>
      </c>
      <c r="K203" s="345">
        <f ca="1">_xll.qlCalendarAdvance(H203,J203,"2d")</f>
        <v>42530</v>
      </c>
      <c r="L203" s="345">
        <f ca="1">_xll.qlCalendarAdvance(H203,K203,E203,"unadjusted")</f>
        <v>53487</v>
      </c>
      <c r="M203" s="346" t="s">
        <v>7</v>
      </c>
      <c r="N203" s="346" t="s">
        <v>20</v>
      </c>
      <c r="O203" s="346" t="s">
        <v>21</v>
      </c>
      <c r="P203" s="346" t="s">
        <v>21</v>
      </c>
      <c r="Q203" s="346" t="s">
        <v>70</v>
      </c>
      <c r="R203" s="353" t="str">
        <f ca="1">_xll.qlSchedule(,K203,L203,M203,N203,O203,P203,Q203)</f>
        <v>obj_004f1#0001</v>
      </c>
      <c r="S203" s="346" t="s">
        <v>19</v>
      </c>
      <c r="T203" s="346" t="s">
        <v>20</v>
      </c>
      <c r="U203" s="346" t="s">
        <v>21</v>
      </c>
      <c r="V203" s="346" t="s">
        <v>21</v>
      </c>
      <c r="W203" s="346" t="s">
        <v>70</v>
      </c>
      <c r="X203" s="353" t="str">
        <f ca="1">_xll.qlSchedule(,K203,L203,S203,T203,U203,V203,W203)</f>
        <v>obj_004f0#0000</v>
      </c>
      <c r="Y203" s="349" t="s">
        <v>1742</v>
      </c>
      <c r="Z203" s="354" t="s">
        <v>36</v>
      </c>
      <c r="AA203" s="354" t="s">
        <v>1745</v>
      </c>
      <c r="AB203" s="353" t="str">
        <f ca="1">_xll.qlVanillaSwap(,,,R203,,Y203,X203,Z203,,AA203)</f>
        <v>obj_00599#0001</v>
      </c>
      <c r="AC203" s="353" t="b">
        <f ca="1">_xll.qlInstrumentSetPricingEngine(AB203,_xll.qlDiscountingSwapEngine(,Curve!$S$16))</f>
        <v>1</v>
      </c>
      <c r="AD203" s="355">
        <f ca="1">_xll.qlVanillaSwapFairRate(AB203,AC203)</f>
        <v>1.5841797233100238E-2</v>
      </c>
      <c r="AE203" s="346" t="s">
        <v>1752</v>
      </c>
      <c r="AF203" s="347">
        <v>10000</v>
      </c>
      <c r="AG203" s="350" t="str">
        <f ca="1">_xll.qlVanillaSwap(,AE203,AF203,R203,AD203,Y203,X203,Z203,,AA203)</f>
        <v>obj_0060d#0000</v>
      </c>
      <c r="AH203" s="347" t="str">
        <f ca="1">_xll.qlEuropeanExercise(,J203)</f>
        <v>obj_001a6#0001</v>
      </c>
      <c r="AI203" s="346" t="s">
        <v>1749</v>
      </c>
      <c r="AJ203" s="356" t="str">
        <f ca="1">_xll.qlSwaption(,AG203,AH203,AI203)</f>
        <v>obj_006b9#0001</v>
      </c>
      <c r="AK203" s="357" t="str">
        <f ca="1">_xll.qlConstantSwaptionVolatility(,,H203,I203,F203)</f>
        <v>obj_0043f#0001</v>
      </c>
      <c r="AL203" s="357" t="b">
        <f ca="1">_xll.qlInstrumentSetPricingEngine(AJ203,_xll.qlBachelierBlackSwaptionEngine(,Curve!$S$16,AK203))</f>
        <v>1</v>
      </c>
      <c r="AM203" s="358">
        <f ca="1">_xll.qlInstrumentNPV(AJ203,AL203)*2/_xll.qlYieldTSDiscount(Curve!$S$16,K203)</f>
        <v>1284.3776247578053</v>
      </c>
      <c r="AN203" s="358">
        <f ca="1">_xll.qlInstrumentResults(AJ203,"annuity",AL203)</f>
        <v>234548.89017406781</v>
      </c>
      <c r="AO203" s="359">
        <f ca="1">G203/2*_xll.qlYieldTSDiscount(Curve!$S$16,K203)/AN203</f>
        <v>2.7743594202601094E-3</v>
      </c>
      <c r="AP203" s="360">
        <f ca="1">_xll.qlBachelierBlackFormulaImpliedVol("Call",AD203,AD203,_xll.qlDayCounterYearFraction("Act/365 (Fixed)",C203,J203),AO203)</f>
        <v>8.0264556165434448E-3</v>
      </c>
      <c r="AQ203" s="361">
        <f ca="1">_xll.qlBlackFormulaImpliedStdDev("Call",AD203,AD203,AO203)/SQRT(_xll.qlDayCounterYearFraction("Act/365 (Fixed)",C203,J203))</f>
        <v>0.51080147583016611</v>
      </c>
      <c r="AS203" s="363">
        <v>7.5813600669464654E-3</v>
      </c>
      <c r="AT203" s="363">
        <v>8.0264556165434448E-3</v>
      </c>
      <c r="AU203" s="365">
        <f t="shared" ca="1" si="14"/>
        <v>3.4863993305353416E-4</v>
      </c>
      <c r="AV203" s="365">
        <f t="shared" ca="1" si="15"/>
        <v>-9.6455616543445269E-5</v>
      </c>
    </row>
    <row r="204" spans="2:48">
      <c r="B204" s="348" t="str">
        <f t="shared" ca="1" si="13"/>
        <v>1Yx30Y</v>
      </c>
      <c r="C204" s="345">
        <f t="shared" ca="1" si="12"/>
        <v>42254</v>
      </c>
      <c r="D204" s="346" t="s">
        <v>7</v>
      </c>
      <c r="E204" s="346" t="s">
        <v>106</v>
      </c>
      <c r="F204" s="351">
        <f ca="1">VLOOKUP(F$3&amp;$D204&amp;$E204,'Swaption Volatilities'!$V:$W,2,FALSE)%%</f>
        <v>7.8099999999999992E-3</v>
      </c>
      <c r="G204" s="352">
        <f ca="1">VLOOKUP(G$3&amp;$D204&amp;$E204,'Swaption Volatilities'!$V:$W,2,FALSE)</f>
        <v>1476</v>
      </c>
      <c r="H204" s="346" t="s">
        <v>20</v>
      </c>
      <c r="I204" s="346" t="s">
        <v>21</v>
      </c>
      <c r="J204" s="345">
        <f ca="1">_xll.qlCalendarAdvance(H204,C204,D204,I204)</f>
        <v>42620</v>
      </c>
      <c r="K204" s="345">
        <f ca="1">_xll.qlCalendarAdvance(H204,J204,"2d")</f>
        <v>42622</v>
      </c>
      <c r="L204" s="345">
        <f ca="1">_xll.qlCalendarAdvance(H204,K204,E204,"unadjusted")</f>
        <v>53579</v>
      </c>
      <c r="M204" s="346" t="s">
        <v>7</v>
      </c>
      <c r="N204" s="346" t="s">
        <v>20</v>
      </c>
      <c r="O204" s="346" t="s">
        <v>21</v>
      </c>
      <c r="P204" s="346" t="s">
        <v>21</v>
      </c>
      <c r="Q204" s="346" t="s">
        <v>70</v>
      </c>
      <c r="R204" s="353" t="str">
        <f ca="1">_xll.qlSchedule(,K204,L204,M204,N204,O204,P204,Q204)</f>
        <v>obj_00491#0001</v>
      </c>
      <c r="S204" s="346" t="s">
        <v>19</v>
      </c>
      <c r="T204" s="346" t="s">
        <v>20</v>
      </c>
      <c r="U204" s="346" t="s">
        <v>21</v>
      </c>
      <c r="V204" s="346" t="s">
        <v>21</v>
      </c>
      <c r="W204" s="346" t="s">
        <v>70</v>
      </c>
      <c r="X204" s="353" t="str">
        <f ca="1">_xll.qlSchedule(,K204,L204,S204,T204,U204,V204,W204)</f>
        <v>obj_00490#0001</v>
      </c>
      <c r="Y204" s="349" t="s">
        <v>1742</v>
      </c>
      <c r="Z204" s="354" t="s">
        <v>36</v>
      </c>
      <c r="AA204" s="354" t="s">
        <v>1745</v>
      </c>
      <c r="AB204" s="353" t="str">
        <f ca="1">_xll.qlVanillaSwap(,,,R204,,Y204,X204,Z204,,AA204)</f>
        <v>obj_00555#0001</v>
      </c>
      <c r="AC204" s="353" t="b">
        <f ca="1">_xll.qlInstrumentSetPricingEngine(AB204,_xll.qlDiscountingSwapEngine(,Curve!$S$16))</f>
        <v>1</v>
      </c>
      <c r="AD204" s="355" t="e">
        <f ca="1">_xll.qlVanillaSwapFairRate(AB204,AC204)</f>
        <v>#NUM!</v>
      </c>
      <c r="AE204" s="346" t="s">
        <v>1752</v>
      </c>
      <c r="AF204" s="347">
        <v>10000</v>
      </c>
      <c r="AG204" s="350" t="str">
        <f ca="1">_xll.qlVanillaSwap(,AE204,AF204,R204,AD204,Y204,X204,Z204,,AA204)</f>
        <v>obj_006ec#0000</v>
      </c>
      <c r="AH204" s="347" t="str">
        <f ca="1">_xll.qlEuropeanExercise(,J204)</f>
        <v>obj_00444#0001</v>
      </c>
      <c r="AI204" s="346" t="s">
        <v>1749</v>
      </c>
      <c r="AJ204" s="356" t="str">
        <f ca="1">_xll.qlSwaption(,AG204,AH204,AI204)</f>
        <v>obj_007a3#0001</v>
      </c>
      <c r="AK204" s="357" t="str">
        <f ca="1">_xll.qlConstantSwaptionVolatility(,,H204,I204,F204)</f>
        <v>obj_001b4#0001</v>
      </c>
      <c r="AL204" s="357" t="b">
        <f ca="1">_xll.qlInstrumentSetPricingEngine(AJ204,_xll.qlBachelierBlackSwaptionEngine(,Curve!$S$16,AK204))</f>
        <v>1</v>
      </c>
      <c r="AM204" s="358">
        <f ca="1">_xll.qlInstrumentNPV(AJ204,AL204)*2/_xll.qlYieldTSDiscount(Curve!$S$16,K204)</f>
        <v>1451.9949931976325</v>
      </c>
      <c r="AN204" s="358">
        <f ca="1">_xll.qlInstrumentResults(AJ204,"annuity",AL204)</f>
        <v>233043.53846676051</v>
      </c>
      <c r="AO204" s="359">
        <f ca="1">G204/2*_xll.qlYieldTSDiscount(Curve!$S$16,K204)/AN204</f>
        <v>3.1715856838513065E-3</v>
      </c>
      <c r="AP204" s="360" t="e">
        <f ca="1">_xll.qlBachelierBlackFormulaImpliedVol("Call",AD204,AD204,_xll.qlDayCounterYearFraction("Act/365 (Fixed)",C204,J204),AO204)</f>
        <v>#VALUE!</v>
      </c>
      <c r="AQ204" s="361" t="e">
        <f ca="1">_xll.qlBlackFormulaImpliedStdDev("Call",AD204,AD204,AO204)/SQRT(_xll.qlDayCounterYearFraction("Act/365 (Fixed)",C204,J204))</f>
        <v>#VALUE!</v>
      </c>
      <c r="AS204" s="363">
        <v>7.4790048777998849E-3</v>
      </c>
      <c r="AT204" s="363">
        <v>7.9391182848458329E-3</v>
      </c>
      <c r="AU204" s="365">
        <f t="shared" ca="1" si="14"/>
        <v>3.3099512220011434E-4</v>
      </c>
      <c r="AV204" s="365">
        <f t="shared" ca="1" si="15"/>
        <v>-1.2911828484583367E-4</v>
      </c>
    </row>
    <row r="205" spans="2:48">
      <c r="B205" s="348" t="str">
        <f t="shared" ca="1" si="13"/>
        <v>18Mx30Y</v>
      </c>
      <c r="C205" s="345">
        <f t="shared" ca="1" si="12"/>
        <v>42254</v>
      </c>
      <c r="D205" s="346" t="s">
        <v>154</v>
      </c>
      <c r="E205" s="346" t="s">
        <v>106</v>
      </c>
      <c r="F205" s="351">
        <f ca="1">VLOOKUP(F$3&amp;$D205&amp;$E205,'Swaption Volatilities'!$V:$W,2,FALSE)%%</f>
        <v>7.6599999999999993E-3</v>
      </c>
      <c r="G205" s="352">
        <f ca="1">VLOOKUP(G$3&amp;$D205&amp;$E205,'Swaption Volatilities'!$V:$W,2,FALSE)</f>
        <v>1762</v>
      </c>
      <c r="H205" s="346" t="s">
        <v>20</v>
      </c>
      <c r="I205" s="346" t="s">
        <v>21</v>
      </c>
      <c r="J205" s="345">
        <f ca="1">_xll.qlCalendarAdvance(H205,C205,D205,I205)</f>
        <v>42801</v>
      </c>
      <c r="K205" s="345">
        <f ca="1">_xll.qlCalendarAdvance(H205,J205,"2d")</f>
        <v>42803</v>
      </c>
      <c r="L205" s="345">
        <f ca="1">_xll.qlCalendarAdvance(H205,K205,E205,"unadjusted")</f>
        <v>53760</v>
      </c>
      <c r="M205" s="346" t="s">
        <v>7</v>
      </c>
      <c r="N205" s="346" t="s">
        <v>20</v>
      </c>
      <c r="O205" s="346" t="s">
        <v>21</v>
      </c>
      <c r="P205" s="346" t="s">
        <v>21</v>
      </c>
      <c r="Q205" s="346" t="s">
        <v>70</v>
      </c>
      <c r="R205" s="353" t="str">
        <f ca="1">_xll.qlSchedule(,K205,L205,M205,N205,O205,P205,Q205)</f>
        <v>obj_006c4#0001</v>
      </c>
      <c r="S205" s="346" t="s">
        <v>19</v>
      </c>
      <c r="T205" s="346" t="s">
        <v>20</v>
      </c>
      <c r="U205" s="346" t="s">
        <v>21</v>
      </c>
      <c r="V205" s="346" t="s">
        <v>21</v>
      </c>
      <c r="W205" s="346" t="s">
        <v>70</v>
      </c>
      <c r="X205" s="353" t="str">
        <f ca="1">_xll.qlSchedule(,K205,L205,S205,T205,U205,V205,W205)</f>
        <v>obj_005b5#0001</v>
      </c>
      <c r="Y205" s="349" t="s">
        <v>1742</v>
      </c>
      <c r="Z205" s="354" t="s">
        <v>36</v>
      </c>
      <c r="AA205" s="354" t="s">
        <v>1745</v>
      </c>
      <c r="AB205" s="353" t="str">
        <f ca="1">_xll.qlVanillaSwap(,,,R205,,Y205,X205,Z205,,AA205)</f>
        <v>obj_0070c#0001</v>
      </c>
      <c r="AC205" s="353" t="b">
        <f ca="1">_xll.qlInstrumentSetPricingEngine(AB205,_xll.qlDiscountingSwapEngine(,Curve!$S$16))</f>
        <v>1</v>
      </c>
      <c r="AD205" s="355">
        <f ca="1">_xll.qlVanillaSwapFairRate(AB205,AC205)</f>
        <v>1.6319003385084199E-2</v>
      </c>
      <c r="AE205" s="346" t="s">
        <v>1752</v>
      </c>
      <c r="AF205" s="347">
        <v>10000</v>
      </c>
      <c r="AG205" s="350" t="str">
        <f ca="1">_xll.qlVanillaSwap(,AE205,AF205,R205,AD205,Y205,X205,Z205,,AA205)</f>
        <v>obj_00734#0001</v>
      </c>
      <c r="AH205" s="347" t="str">
        <f ca="1">_xll.qlEuropeanExercise(,J205)</f>
        <v>obj_0051c#0001</v>
      </c>
      <c r="AI205" s="346" t="s">
        <v>1749</v>
      </c>
      <c r="AJ205" s="356" t="str">
        <f ca="1">_xll.qlSwaption(,AG205,AH205,AI205)</f>
        <v>obj_0077b#0001</v>
      </c>
      <c r="AK205" s="357" t="str">
        <f ca="1">_xll.qlConstantSwaptionVolatility(,,H205,I205,F205)</f>
        <v>obj_000f7#0001</v>
      </c>
      <c r="AL205" s="357" t="b">
        <f ca="1">_xll.qlInstrumentSetPricingEngine(AJ205,_xll.qlBachelierBlackSwaptionEngine(,Curve!$S$16,AK205))</f>
        <v>1</v>
      </c>
      <c r="AM205" s="358">
        <f ca="1">_xll.qlInstrumentNPV(AJ205,AL205)*2/_xll.qlYieldTSDiscount(Curve!$S$16,K205)</f>
        <v>1717.6308038049915</v>
      </c>
      <c r="AN205" s="358">
        <f ca="1">_xll.qlInstrumentResults(AJ205,"annuity",AL205)</f>
        <v>230084.61228706071</v>
      </c>
      <c r="AO205" s="359">
        <f ca="1">G205/2*_xll.qlYieldTSDiscount(Curve!$S$16,K205)/AN205</f>
        <v>3.8376216043703266E-3</v>
      </c>
      <c r="AP205" s="360">
        <f ca="1">_xll.qlBachelierBlackFormulaImpliedVol("Call",AD205,AD205,_xll.qlDayCounterYearFraction("Act/365 (Fixed)",C205,J205),AO205)</f>
        <v>7.857870253666209E-3</v>
      </c>
      <c r="AQ205" s="361">
        <f ca="1">_xll.qlBlackFormulaImpliedStdDev("Call",AD205,AD205,AO205)/SQRT(_xll.qlDayCounterYearFraction("Act/365 (Fixed)",C205,J205))</f>
        <v>0.48870815554863878</v>
      </c>
      <c r="AS205" s="363">
        <v>7.3626008401931359E-3</v>
      </c>
      <c r="AT205" s="363">
        <v>7.857870253666209E-3</v>
      </c>
      <c r="AU205" s="365">
        <f t="shared" ca="1" si="14"/>
        <v>2.9739915980686333E-4</v>
      </c>
      <c r="AV205" s="365">
        <f t="shared" ca="1" si="15"/>
        <v>-1.9787025366620973E-4</v>
      </c>
    </row>
    <row r="206" spans="2:48">
      <c r="B206" s="348" t="str">
        <f t="shared" ca="1" si="13"/>
        <v>2Yx30Y</v>
      </c>
      <c r="C206" s="345">
        <f t="shared" ca="1" si="12"/>
        <v>42254</v>
      </c>
      <c r="D206" s="346" t="s">
        <v>8</v>
      </c>
      <c r="E206" s="346" t="s">
        <v>106</v>
      </c>
      <c r="F206" s="351">
        <f ca="1">VLOOKUP(F$3&amp;$D206&amp;$E206,'Swaption Volatilities'!$V:$W,2,FALSE)%%</f>
        <v>7.5700000000000003E-3</v>
      </c>
      <c r="G206" s="352">
        <f ca="1">VLOOKUP(G$3&amp;$D206&amp;$E206,'Swaption Volatilities'!$V:$W,2,FALSE)</f>
        <v>2004</v>
      </c>
      <c r="H206" s="346" t="s">
        <v>20</v>
      </c>
      <c r="I206" s="346" t="s">
        <v>21</v>
      </c>
      <c r="J206" s="345">
        <f ca="1">_xll.qlCalendarAdvance(H206,C206,D206,I206)</f>
        <v>42985</v>
      </c>
      <c r="K206" s="345">
        <f ca="1">_xll.qlCalendarAdvance(H206,J206,"2d")</f>
        <v>42989</v>
      </c>
      <c r="L206" s="345">
        <f ca="1">_xll.qlCalendarAdvance(H206,K206,E206,"unadjusted")</f>
        <v>53946</v>
      </c>
      <c r="M206" s="346" t="s">
        <v>7</v>
      </c>
      <c r="N206" s="346" t="s">
        <v>20</v>
      </c>
      <c r="O206" s="346" t="s">
        <v>21</v>
      </c>
      <c r="P206" s="346" t="s">
        <v>21</v>
      </c>
      <c r="Q206" s="346" t="s">
        <v>70</v>
      </c>
      <c r="R206" s="353" t="str">
        <f ca="1">_xll.qlSchedule(,K206,L206,M206,N206,O206,P206,Q206)</f>
        <v>obj_00597#0001</v>
      </c>
      <c r="S206" s="346" t="s">
        <v>19</v>
      </c>
      <c r="T206" s="346" t="s">
        <v>20</v>
      </c>
      <c r="U206" s="346" t="s">
        <v>21</v>
      </c>
      <c r="V206" s="346" t="s">
        <v>21</v>
      </c>
      <c r="W206" s="346" t="s">
        <v>70</v>
      </c>
      <c r="X206" s="353" t="str">
        <f ca="1">_xll.qlSchedule(,K206,L206,S206,T206,U206,V206,W206)</f>
        <v>obj_0065f#0001</v>
      </c>
      <c r="Y206" s="349" t="s">
        <v>1742</v>
      </c>
      <c r="Z206" s="354" t="s">
        <v>36</v>
      </c>
      <c r="AA206" s="354" t="s">
        <v>1745</v>
      </c>
      <c r="AB206" s="353" t="str">
        <f ca="1">_xll.qlVanillaSwap(,,,R206,,Y206,X206,Z206,,AA206)</f>
        <v>obj_00660#0000</v>
      </c>
      <c r="AC206" s="353" t="b">
        <f ca="1">_xll.qlInstrumentSetPricingEngine(AB206,_xll.qlDiscountingSwapEngine(,Curve!$S$16))</f>
        <v>1</v>
      </c>
      <c r="AD206" s="355" t="e">
        <f ca="1">_xll.qlVanillaSwapFairRate(AB206,AC206)</f>
        <v>#NUM!</v>
      </c>
      <c r="AE206" s="346" t="s">
        <v>1752</v>
      </c>
      <c r="AF206" s="347">
        <v>10000</v>
      </c>
      <c r="AG206" s="350" t="e">
        <f ca="1">_xll.qlVanillaSwap(,AE206,AF206,R206,AD206,Y206,X206,Z206,,AA206)</f>
        <v>#NUM!</v>
      </c>
      <c r="AH206" s="347" t="str">
        <f ca="1">_xll.qlEuropeanExercise(,J206)</f>
        <v>obj_0017a#0000</v>
      </c>
      <c r="AI206" s="346" t="s">
        <v>1749</v>
      </c>
      <c r="AJ206" s="356" t="e">
        <f ca="1">_xll.qlSwaption(,AG206,AH206,AI206)</f>
        <v>#VALUE!</v>
      </c>
      <c r="AK206" s="357" t="str">
        <f ca="1">_xll.qlConstantSwaptionVolatility(,,H206,I206,F206)</f>
        <v>obj_0043d#0001</v>
      </c>
      <c r="AL206" s="357" t="e">
        <f ca="1">_xll.qlInstrumentSetPricingEngine(AJ206,_xll.qlBachelierBlackSwaptionEngine(,Curve!$S$16,AK206))</f>
        <v>#VALUE!</v>
      </c>
      <c r="AM206" s="358" t="e">
        <f ca="1">_xll.qlInstrumentNPV(AJ206,AL206)*2/_xll.qlYieldTSDiscount(Curve!$S$16,K206)</f>
        <v>#VALUE!</v>
      </c>
      <c r="AN206" s="358" t="e">
        <f ca="1">_xll.qlInstrumentResults(AJ206,"annuity",AL206)</f>
        <v>#VALUE!</v>
      </c>
      <c r="AO206" s="359" t="e">
        <f ca="1">G206/2*_xll.qlYieldTSDiscount(Curve!$S$16,K206)/AN206</f>
        <v>#VALUE!</v>
      </c>
      <c r="AP206" s="360" t="e">
        <f ca="1">_xll.qlBachelierBlackFormulaImpliedVol("Call",AD206,AD206,_xll.qlDayCounterYearFraction("Act/365 (Fixed)",C206,J206),AO206)</f>
        <v>#VALUE!</v>
      </c>
      <c r="AQ206" s="361" t="e">
        <f ca="1">_xll.qlBlackFormulaImpliedStdDev("Call",AD206,AD206,AO206)/SQRT(_xll.qlDayCounterYearFraction("Act/365 (Fixed)",C206,J206))</f>
        <v>#VALUE!</v>
      </c>
      <c r="AS206" s="363">
        <v>7.3054624124898977E-3</v>
      </c>
      <c r="AT206" s="363">
        <v>7.8393693662780328E-3</v>
      </c>
      <c r="AU206" s="365">
        <f t="shared" ca="1" si="14"/>
        <v>2.6453758751010265E-4</v>
      </c>
      <c r="AV206" s="365">
        <f t="shared" ca="1" si="15"/>
        <v>-2.6936936627803242E-4</v>
      </c>
    </row>
    <row r="207" spans="2:48">
      <c r="B207" s="348" t="str">
        <f t="shared" ca="1" si="13"/>
        <v>3Yx30Y</v>
      </c>
      <c r="C207" s="345">
        <f t="shared" ca="1" si="12"/>
        <v>42254</v>
      </c>
      <c r="D207" s="346" t="s">
        <v>9</v>
      </c>
      <c r="E207" s="346" t="s">
        <v>106</v>
      </c>
      <c r="F207" s="351">
        <f ca="1">VLOOKUP(F$3&amp;$D207&amp;$E207,'Swaption Volatilities'!$V:$W,2,FALSE)%%</f>
        <v>7.2699999999999996E-3</v>
      </c>
      <c r="G207" s="352">
        <f ca="1">VLOOKUP(G$3&amp;$D207&amp;$E207,'Swaption Volatilities'!$V:$W,2,FALSE)</f>
        <v>2338</v>
      </c>
      <c r="H207" s="346" t="s">
        <v>20</v>
      </c>
      <c r="I207" s="346" t="s">
        <v>21</v>
      </c>
      <c r="J207" s="345">
        <f ca="1">_xll.qlCalendarAdvance(H207,C207,D207,I207)</f>
        <v>43350</v>
      </c>
      <c r="K207" s="345">
        <f ca="1">_xll.qlCalendarAdvance(H207,J207,"2d")</f>
        <v>43354</v>
      </c>
      <c r="L207" s="345">
        <f ca="1">_xll.qlCalendarAdvance(H207,K207,E207,"unadjusted")</f>
        <v>54312</v>
      </c>
      <c r="M207" s="346" t="s">
        <v>7</v>
      </c>
      <c r="N207" s="346" t="s">
        <v>20</v>
      </c>
      <c r="O207" s="346" t="s">
        <v>21</v>
      </c>
      <c r="P207" s="346" t="s">
        <v>21</v>
      </c>
      <c r="Q207" s="346" t="s">
        <v>70</v>
      </c>
      <c r="R207" s="353" t="str">
        <f ca="1">_xll.qlSchedule(,K207,L207,M207,N207,O207,P207,Q207)</f>
        <v>obj_00343#0001</v>
      </c>
      <c r="S207" s="346" t="s">
        <v>19</v>
      </c>
      <c r="T207" s="346" t="s">
        <v>20</v>
      </c>
      <c r="U207" s="346" t="s">
        <v>21</v>
      </c>
      <c r="V207" s="346" t="s">
        <v>21</v>
      </c>
      <c r="W207" s="346" t="s">
        <v>70</v>
      </c>
      <c r="X207" s="353" t="str">
        <f ca="1">_xll.qlSchedule(,K207,L207,S207,T207,U207,V207,W207)</f>
        <v>obj_002f0#0001</v>
      </c>
      <c r="Y207" s="349" t="s">
        <v>1742</v>
      </c>
      <c r="Z207" s="354" t="s">
        <v>36</v>
      </c>
      <c r="AA207" s="354" t="s">
        <v>1745</v>
      </c>
      <c r="AB207" s="353" t="str">
        <f ca="1">_xll.qlVanillaSwap(,,,R207,,Y207,X207,Z207,,AA207)</f>
        <v>obj_004c6#0001</v>
      </c>
      <c r="AC207" s="353" t="b">
        <f ca="1">_xll.qlInstrumentSetPricingEngine(AB207,_xll.qlDiscountingSwapEngine(,Curve!$S$16))</f>
        <v>1</v>
      </c>
      <c r="AD207" s="355">
        <f ca="1">_xll.qlVanillaSwapFairRate(AB207,AC207)</f>
        <v>1.7213901752332339E-2</v>
      </c>
      <c r="AE207" s="346" t="s">
        <v>1752</v>
      </c>
      <c r="AF207" s="347">
        <v>10000</v>
      </c>
      <c r="AG207" s="350" t="str">
        <f ca="1">_xll.qlVanillaSwap(,AE207,AF207,R207,AD207,Y207,X207,Z207,,AA207)</f>
        <v>obj_0057b#0000</v>
      </c>
      <c r="AH207" s="347" t="str">
        <f ca="1">_xll.qlEuropeanExercise(,J207)</f>
        <v>obj_001d5#0001</v>
      </c>
      <c r="AI207" s="346" t="s">
        <v>1749</v>
      </c>
      <c r="AJ207" s="356" t="str">
        <f ca="1">_xll.qlSwaption(,AG207,AH207,AI207)</f>
        <v>obj_006f9#0001</v>
      </c>
      <c r="AK207" s="357" t="str">
        <f ca="1">_xll.qlConstantSwaptionVolatility(,,H207,I207,F207)</f>
        <v>obj_0025e#0001</v>
      </c>
      <c r="AL207" s="357" t="b">
        <f ca="1">_xll.qlInstrumentSetPricingEngine(AJ207,_xll.qlBachelierBlackSwaptionEngine(,Curve!$S$16,AK207))</f>
        <v>1</v>
      </c>
      <c r="AM207" s="358">
        <f ca="1">_xll.qlInstrumentNPV(AJ207,AL207)*2/_xll.qlYieldTSDiscount(Curve!$S$16,K207)</f>
        <v>2216.9654828346024</v>
      </c>
      <c r="AN207" s="358">
        <f ca="1">_xll.qlInstrumentResults(AJ207,"annuity",AL207)</f>
        <v>221126.08142281402</v>
      </c>
      <c r="AO207" s="359">
        <f ca="1">G207/2*_xll.qlYieldTSDiscount(Curve!$S$16,K207)/AN207</f>
        <v>5.3001589843360581E-3</v>
      </c>
      <c r="AP207" s="360">
        <f ca="1">_xll.qlBachelierBlackFormulaImpliedVol("Call",AD207,AD207,_xll.qlDayCounterYearFraction("Act/365 (Fixed)",C207,J207),AO207)</f>
        <v>7.6669033106764681E-3</v>
      </c>
      <c r="AQ207" s="361">
        <f ca="1">_xll.qlBlackFormulaImpliedStdDev("Call",AD207,AD207,AO207)/SQRT(_xll.qlDayCounterYearFraction("Act/365 (Fixed)",C207,J207))</f>
        <v>0.45706050365713657</v>
      </c>
      <c r="AS207" s="363">
        <v>7.0702312298751195E-3</v>
      </c>
      <c r="AT207" s="363">
        <v>7.6669033106764681E-3</v>
      </c>
      <c r="AU207" s="365">
        <f t="shared" ca="1" si="14"/>
        <v>1.9976877012488001E-4</v>
      </c>
      <c r="AV207" s="365">
        <f t="shared" ca="1" si="15"/>
        <v>-3.9690331067646859E-4</v>
      </c>
    </row>
    <row r="208" spans="2:48">
      <c r="B208" s="348" t="str">
        <f t="shared" ca="1" si="13"/>
        <v>4Yx30Y</v>
      </c>
      <c r="C208" s="345">
        <f t="shared" ca="1" si="12"/>
        <v>42254</v>
      </c>
      <c r="D208" s="346" t="s">
        <v>10</v>
      </c>
      <c r="E208" s="346" t="s">
        <v>106</v>
      </c>
      <c r="F208" s="351">
        <f ca="1">VLOOKUP(F$3&amp;$D208&amp;$E208,'Swaption Volatilities'!$V:$W,2,FALSE)%%</f>
        <v>6.9599999999999992E-3</v>
      </c>
      <c r="G208" s="352">
        <f ca="1">VLOOKUP(G$3&amp;$D208&amp;$E208,'Swaption Volatilities'!$V:$W,2,FALSE)</f>
        <v>2568</v>
      </c>
      <c r="H208" s="346" t="s">
        <v>20</v>
      </c>
      <c r="I208" s="346" t="s">
        <v>21</v>
      </c>
      <c r="J208" s="345">
        <f ca="1">_xll.qlCalendarAdvance(H208,C208,D208,I208)</f>
        <v>43717</v>
      </c>
      <c r="K208" s="345">
        <f ca="1">_xll.qlCalendarAdvance(H208,J208,"2d")</f>
        <v>43719</v>
      </c>
      <c r="L208" s="345">
        <f ca="1">_xll.qlCalendarAdvance(H208,K208,E208,"unadjusted")</f>
        <v>54677</v>
      </c>
      <c r="M208" s="346" t="s">
        <v>7</v>
      </c>
      <c r="N208" s="346" t="s">
        <v>20</v>
      </c>
      <c r="O208" s="346" t="s">
        <v>21</v>
      </c>
      <c r="P208" s="346" t="s">
        <v>21</v>
      </c>
      <c r="Q208" s="346" t="s">
        <v>70</v>
      </c>
      <c r="R208" s="353" t="str">
        <f ca="1">_xll.qlSchedule(,K208,L208,M208,N208,O208,P208,Q208)</f>
        <v>obj_001eb#0001</v>
      </c>
      <c r="S208" s="346" t="s">
        <v>19</v>
      </c>
      <c r="T208" s="346" t="s">
        <v>20</v>
      </c>
      <c r="U208" s="346" t="s">
        <v>21</v>
      </c>
      <c r="V208" s="346" t="s">
        <v>21</v>
      </c>
      <c r="W208" s="346" t="s">
        <v>70</v>
      </c>
      <c r="X208" s="353" t="str">
        <f ca="1">_xll.qlSchedule(,K208,L208,S208,T208,U208,V208,W208)</f>
        <v>obj_006ad#0001</v>
      </c>
      <c r="Y208" s="349" t="s">
        <v>1742</v>
      </c>
      <c r="Z208" s="354" t="s">
        <v>36</v>
      </c>
      <c r="AA208" s="354" t="s">
        <v>1745</v>
      </c>
      <c r="AB208" s="353" t="str">
        <f ca="1">_xll.qlVanillaSwap(,,,R208,,Y208,X208,Z208,,AA208)</f>
        <v>obj_006ae#0000</v>
      </c>
      <c r="AC208" s="353" t="b">
        <f ca="1">_xll.qlInstrumentSetPricingEngine(AB208,_xll.qlDiscountingSwapEngine(,Curve!$S$16))</f>
        <v>1</v>
      </c>
      <c r="AD208" s="355" t="e">
        <f ca="1">_xll.qlVanillaSwapFairRate(AB208,AC208)</f>
        <v>#NUM!</v>
      </c>
      <c r="AE208" s="346" t="s">
        <v>1752</v>
      </c>
      <c r="AF208" s="347">
        <v>10000</v>
      </c>
      <c r="AG208" s="350" t="e">
        <f ca="1">_xll.qlVanillaSwap(,AE208,AF208,R208,AD208,Y208,X208,Z208,,AA208)</f>
        <v>#NUM!</v>
      </c>
      <c r="AH208" s="347" t="str">
        <f ca="1">_xll.qlEuropeanExercise(,J208)</f>
        <v>obj_00419#0001</v>
      </c>
      <c r="AI208" s="346" t="s">
        <v>1749</v>
      </c>
      <c r="AJ208" s="356" t="e">
        <f ca="1">_xll.qlSwaption(,AG208,AH208,AI208)</f>
        <v>#VALUE!</v>
      </c>
      <c r="AK208" s="357" t="str">
        <f ca="1">_xll.qlConstantSwaptionVolatility(,,H208,I208,F208)</f>
        <v>obj_0017b#0001</v>
      </c>
      <c r="AL208" s="357" t="e">
        <f ca="1">_xll.qlInstrumentSetPricingEngine(AJ208,_xll.qlBachelierBlackSwaptionEngine(,Curve!$S$16,AK208))</f>
        <v>#VALUE!</v>
      </c>
      <c r="AM208" s="358" t="e">
        <f ca="1">_xll.qlInstrumentNPV(AJ208,AL208)*2/_xll.qlYieldTSDiscount(Curve!$S$16,K208)</f>
        <v>#VALUE!</v>
      </c>
      <c r="AN208" s="358" t="e">
        <f ca="1">_xll.qlInstrumentResults(AJ208,"annuity",AL208)</f>
        <v>#VALUE!</v>
      </c>
      <c r="AO208" s="359" t="e">
        <f ca="1">G208/2*_xll.qlYieldTSDiscount(Curve!$S$16,K208)/AN208</f>
        <v>#VALUE!</v>
      </c>
      <c r="AP208" s="360" t="e">
        <f ca="1">_xll.qlBachelierBlackFormulaImpliedVol("Call",AD208,AD208,_xll.qlDayCounterYearFraction("Act/365 (Fixed)",C208,J208),AO208)</f>
        <v>#VALUE!</v>
      </c>
      <c r="AQ208" s="361" t="e">
        <f ca="1">_xll.qlBlackFormulaImpliedStdDev("Call",AD208,AD208,AO208)/SQRT(_xll.qlDayCounterYearFraction("Act/365 (Fixed)",C208,J208))</f>
        <v>#VALUE!</v>
      </c>
      <c r="AS208" s="363">
        <v>6.8135716212720018E-3</v>
      </c>
      <c r="AT208" s="363">
        <v>7.4576468371809175E-3</v>
      </c>
      <c r="AU208" s="365">
        <f t="shared" ca="1" si="14"/>
        <v>1.4642837872799741E-4</v>
      </c>
      <c r="AV208" s="365">
        <f t="shared" ca="1" si="15"/>
        <v>-4.9764683718091837E-4</v>
      </c>
    </row>
    <row r="209" spans="2:48">
      <c r="B209" s="348" t="str">
        <f t="shared" ca="1" si="13"/>
        <v>5Yx30Y</v>
      </c>
      <c r="C209" s="345">
        <f t="shared" ca="1" si="12"/>
        <v>42254</v>
      </c>
      <c r="D209" s="346" t="s">
        <v>11</v>
      </c>
      <c r="E209" s="346" t="s">
        <v>106</v>
      </c>
      <c r="F209" s="351">
        <f ca="1">VLOOKUP(F$3&amp;$D209&amp;$E209,'Swaption Volatilities'!$V:$W,2,FALSE)%%</f>
        <v>6.6900000000000006E-3</v>
      </c>
      <c r="G209" s="352">
        <f ca="1">VLOOKUP(G$3&amp;$D209&amp;$E209,'Swaption Volatilities'!$V:$W,2,FALSE)</f>
        <v>2745</v>
      </c>
      <c r="H209" s="346" t="s">
        <v>20</v>
      </c>
      <c r="I209" s="346" t="s">
        <v>21</v>
      </c>
      <c r="J209" s="345">
        <f ca="1">_xll.qlCalendarAdvance(H209,C209,D209,I209)</f>
        <v>44081</v>
      </c>
      <c r="K209" s="345">
        <f ca="1">_xll.qlCalendarAdvance(H209,J209,"2d")</f>
        <v>44083</v>
      </c>
      <c r="L209" s="345">
        <f ca="1">_xll.qlCalendarAdvance(H209,K209,E209,"unadjusted")</f>
        <v>55040</v>
      </c>
      <c r="M209" s="346" t="s">
        <v>7</v>
      </c>
      <c r="N209" s="346" t="s">
        <v>20</v>
      </c>
      <c r="O209" s="346" t="s">
        <v>21</v>
      </c>
      <c r="P209" s="346" t="s">
        <v>21</v>
      </c>
      <c r="Q209" s="346" t="s">
        <v>70</v>
      </c>
      <c r="R209" s="353" t="str">
        <f ca="1">_xll.qlSchedule(,K209,L209,M209,N209,O209,P209,Q209)</f>
        <v>obj_006ff#0001</v>
      </c>
      <c r="S209" s="346" t="s">
        <v>19</v>
      </c>
      <c r="T209" s="346" t="s">
        <v>20</v>
      </c>
      <c r="U209" s="346" t="s">
        <v>21</v>
      </c>
      <c r="V209" s="346" t="s">
        <v>21</v>
      </c>
      <c r="W209" s="346" t="s">
        <v>70</v>
      </c>
      <c r="X209" s="353" t="str">
        <f ca="1">_xll.qlSchedule(,K209,L209,S209,T209,U209,V209,W209)</f>
        <v>obj_001ec#0001</v>
      </c>
      <c r="Y209" s="349" t="s">
        <v>1742</v>
      </c>
      <c r="Z209" s="354" t="s">
        <v>36</v>
      </c>
      <c r="AA209" s="354" t="s">
        <v>1745</v>
      </c>
      <c r="AB209" s="353" t="str">
        <f ca="1">_xll.qlVanillaSwap(,,,R209,,Y209,X209,Z209,,AA209)</f>
        <v>obj_00727#0001</v>
      </c>
      <c r="AC209" s="353" t="b">
        <f ca="1">_xll.qlInstrumentSetPricingEngine(AB209,_xll.qlDiscountingSwapEngine(,Curve!$S$16))</f>
        <v>1</v>
      </c>
      <c r="AD209" s="355">
        <f ca="1">_xll.qlVanillaSwapFairRate(AB209,AC209)</f>
        <v>1.8069547109371E-2</v>
      </c>
      <c r="AE209" s="346" t="s">
        <v>1752</v>
      </c>
      <c r="AF209" s="347">
        <v>10000</v>
      </c>
      <c r="AG209" s="350" t="str">
        <f ca="1">_xll.qlVanillaSwap(,AE209,AF209,R209,AD209,Y209,X209,Z209,,AA209)</f>
        <v>obj_00739#0001</v>
      </c>
      <c r="AH209" s="347" t="str">
        <f ca="1">_xll.qlEuropeanExercise(,J209)</f>
        <v>obj_00381#0001</v>
      </c>
      <c r="AI209" s="346" t="s">
        <v>1749</v>
      </c>
      <c r="AJ209" s="356" t="str">
        <f ca="1">_xll.qlSwaption(,AG209,AH209,AI209)</f>
        <v>obj_0075a#0001</v>
      </c>
      <c r="AK209" s="357" t="str">
        <f ca="1">_xll.qlConstantSwaptionVolatility(,,H209,I209,F209)</f>
        <v>obj_001b6#0001</v>
      </c>
      <c r="AL209" s="357" t="b">
        <f ca="1">_xll.qlInstrumentSetPricingEngine(AJ209,_xll.qlBachelierBlackSwaptionEngine(,Curve!$S$16,AK209))</f>
        <v>1</v>
      </c>
      <c r="AM209" s="358">
        <f ca="1">_xll.qlInstrumentNPV(AJ209,AL209)*2/_xll.qlYieldTSDiscount(Curve!$S$16,K209)</f>
        <v>2525.4599276263393</v>
      </c>
      <c r="AN209" s="358">
        <f ca="1">_xll.qlInstrumentResults(AJ209,"annuity",AL209)</f>
        <v>210302.76452345654</v>
      </c>
      <c r="AO209" s="359">
        <f ca="1">G209/2*_xll.qlYieldTSDiscount(Curve!$S$16,K209)/AN209</f>
        <v>6.4902420223473074E-3</v>
      </c>
      <c r="AP209" s="360">
        <f ca="1">_xll.qlBachelierBlackFormulaImpliedVol("Call",AD209,AD209,_xll.qlDayCounterYearFraction("Act/365 (Fixed)",C209,J209),AO209)</f>
        <v>7.2715665764929455E-3</v>
      </c>
      <c r="AQ209" s="361">
        <f ca="1">_xll.qlBlackFormulaImpliedStdDev("Call",AD209,AD209,AO209)/SQRT(_xll.qlDayCounterYearFraction("Act/365 (Fixed)",C209,J209))</f>
        <v>0.41707039829958753</v>
      </c>
      <c r="AS209" s="363">
        <v>6.592601288045211E-3</v>
      </c>
      <c r="AT209" s="363">
        <v>7.2715665764929455E-3</v>
      </c>
      <c r="AU209" s="365">
        <f t="shared" ca="1" si="14"/>
        <v>9.739871195478967E-5</v>
      </c>
      <c r="AV209" s="365">
        <f t="shared" ca="1" si="15"/>
        <v>-5.815665764929449E-4</v>
      </c>
    </row>
    <row r="210" spans="2:48">
      <c r="B210" s="348" t="str">
        <f t="shared" ca="1" si="13"/>
        <v>7Yx30Y</v>
      </c>
      <c r="C210" s="345">
        <f t="shared" ca="1" si="12"/>
        <v>42254</v>
      </c>
      <c r="D210" s="346" t="s">
        <v>13</v>
      </c>
      <c r="E210" s="346" t="s">
        <v>106</v>
      </c>
      <c r="F210" s="351">
        <f ca="1">VLOOKUP(F$3&amp;$D210&amp;$E210,'Swaption Volatilities'!$V:$W,2,FALSE)%%</f>
        <v>6.3899999999999998E-3</v>
      </c>
      <c r="G210" s="352">
        <f ca="1">VLOOKUP(G$3&amp;$D210&amp;$E210,'Swaption Volatilities'!$V:$W,2,FALSE)</f>
        <v>3088</v>
      </c>
      <c r="H210" s="346" t="s">
        <v>20</v>
      </c>
      <c r="I210" s="346" t="s">
        <v>21</v>
      </c>
      <c r="J210" s="345">
        <f ca="1">_xll.qlCalendarAdvance(H210,C210,D210,I210)</f>
        <v>44811</v>
      </c>
      <c r="K210" s="345">
        <f ca="1">_xll.qlCalendarAdvance(H210,J210,"2d")</f>
        <v>44813</v>
      </c>
      <c r="L210" s="345">
        <f ca="1">_xll.qlCalendarAdvance(H210,K210,E210,"unadjusted")</f>
        <v>55771</v>
      </c>
      <c r="M210" s="346" t="s">
        <v>7</v>
      </c>
      <c r="N210" s="346" t="s">
        <v>20</v>
      </c>
      <c r="O210" s="346" t="s">
        <v>21</v>
      </c>
      <c r="P210" s="346" t="s">
        <v>21</v>
      </c>
      <c r="Q210" s="346" t="s">
        <v>70</v>
      </c>
      <c r="R210" s="353" t="str">
        <f ca="1">_xll.qlSchedule(,K210,L210,M210,N210,O210,P210,Q210)</f>
        <v>obj_002ee#0001</v>
      </c>
      <c r="S210" s="346" t="s">
        <v>19</v>
      </c>
      <c r="T210" s="346" t="s">
        <v>20</v>
      </c>
      <c r="U210" s="346" t="s">
        <v>21</v>
      </c>
      <c r="V210" s="346" t="s">
        <v>21</v>
      </c>
      <c r="W210" s="346" t="s">
        <v>70</v>
      </c>
      <c r="X210" s="353" t="str">
        <f ca="1">_xll.qlSchedule(,K210,L210,S210,T210,U210,V210,W210)</f>
        <v>obj_00289#0001</v>
      </c>
      <c r="Y210" s="349" t="s">
        <v>1742</v>
      </c>
      <c r="Z210" s="354" t="s">
        <v>36</v>
      </c>
      <c r="AA210" s="354" t="s">
        <v>1745</v>
      </c>
      <c r="AB210" s="353" t="str">
        <f ca="1">_xll.qlVanillaSwap(,,,R210,,Y210,X210,Z210,,AA210)</f>
        <v>obj_002ef#0000</v>
      </c>
      <c r="AC210" s="353" t="b">
        <f ca="1">_xll.qlInstrumentSetPricingEngine(AB210,_xll.qlDiscountingSwapEngine(,Curve!$S$16))</f>
        <v>1</v>
      </c>
      <c r="AD210" s="355">
        <f ca="1">_xll.qlVanillaSwapFairRate(AB210,AC210)</f>
        <v>1.8410249627729677E-2</v>
      </c>
      <c r="AE210" s="346" t="s">
        <v>1752</v>
      </c>
      <c r="AF210" s="347">
        <v>10000</v>
      </c>
      <c r="AG210" s="350" t="str">
        <f ca="1">_xll.qlVanillaSwap(,AE210,AF210,R210,AD210,Y210,X210,Z210,,AA210)</f>
        <v>obj_006d8#0000</v>
      </c>
      <c r="AH210" s="347" t="str">
        <f ca="1">_xll.qlEuropeanExercise(,J210)</f>
        <v>obj_00334#0001</v>
      </c>
      <c r="AI210" s="346" t="s">
        <v>1749</v>
      </c>
      <c r="AJ210" s="356" t="str">
        <f ca="1">_xll.qlSwaption(,AG210,AH210,AI210)</f>
        <v>obj_00744#0001</v>
      </c>
      <c r="AK210" s="357" t="str">
        <f ca="1">_xll.qlConstantSwaptionVolatility(,,H210,I210,F210)</f>
        <v>obj_000f2#0001</v>
      </c>
      <c r="AL210" s="357" t="b">
        <f ca="1">_xll.qlInstrumentSetPricingEngine(AJ210,_xll.qlBachelierBlackSwaptionEngine(,Curve!$S$16,AK210))</f>
        <v>1</v>
      </c>
      <c r="AM210" s="358">
        <f ca="1">_xll.qlInstrumentNPV(AJ210,AL210)*2/_xll.qlYieldTSDiscount(Curve!$S$16,K210)</f>
        <v>2792.5301032862699</v>
      </c>
      <c r="AN210" s="358">
        <f ca="1">_xll.qlInstrumentResults(AJ210,"annuity",AL210)</f>
        <v>201472.37038784454</v>
      </c>
      <c r="AO210" s="359">
        <f ca="1">G210/2*_xll.qlYieldTSDiscount(Curve!$S$16,K210)/AN210</f>
        <v>7.4612103491501951E-3</v>
      </c>
      <c r="AP210" s="360">
        <f ca="1">_xll.qlBachelierBlackFormulaImpliedVol("Call",AD210,AD210,_xll.qlDayCounterYearFraction("Act/365 (Fixed)",C210,J210),AO210)</f>
        <v>7.0661082495686936E-3</v>
      </c>
      <c r="AQ210" s="361">
        <f ca="1">_xll.qlBlackFormulaImpliedStdDev("Call",AD210,AD210,AO210)/SQRT(_xll.qlDayCounterYearFraction("Act/365 (Fixed)",C210,J210))</f>
        <v>0.40199776734321269</v>
      </c>
      <c r="AS210" s="363">
        <v>6.3531072813216493E-3</v>
      </c>
      <c r="AT210" s="363">
        <v>7.0661082495686936E-3</v>
      </c>
      <c r="AU210" s="365">
        <f t="shared" ca="1" si="14"/>
        <v>3.6892718678350513E-5</v>
      </c>
      <c r="AV210" s="365">
        <f t="shared" ca="1" si="15"/>
        <v>-6.7610824956869375E-4</v>
      </c>
    </row>
    <row r="211" spans="2:48">
      <c r="B211" s="348" t="str">
        <f t="shared" ca="1" si="13"/>
        <v>10Yx30Y</v>
      </c>
      <c r="C211" s="345">
        <f t="shared" ca="1" si="12"/>
        <v>42254</v>
      </c>
      <c r="D211" s="346" t="s">
        <v>16</v>
      </c>
      <c r="E211" s="346" t="s">
        <v>106</v>
      </c>
      <c r="F211" s="351">
        <f ca="1">VLOOKUP(F$3&amp;$D211&amp;$E211,'Swaption Volatilities'!$V:$W,2,FALSE)%%</f>
        <v>6.0699999999999999E-3</v>
      </c>
      <c r="G211" s="352">
        <f ca="1">VLOOKUP(G$3&amp;$D211&amp;$E211,'Swaption Volatilities'!$V:$W,2,FALSE)</f>
        <v>3518</v>
      </c>
      <c r="H211" s="346" t="s">
        <v>20</v>
      </c>
      <c r="I211" s="346" t="s">
        <v>21</v>
      </c>
      <c r="J211" s="345">
        <f ca="1">_xll.qlCalendarAdvance(H211,C211,D211,I211)</f>
        <v>45908</v>
      </c>
      <c r="K211" s="345">
        <f ca="1">_xll.qlCalendarAdvance(H211,J211,"2d")</f>
        <v>45910</v>
      </c>
      <c r="L211" s="345">
        <f ca="1">_xll.qlCalendarAdvance(H211,K211,E211,"unadjusted")</f>
        <v>56867</v>
      </c>
      <c r="M211" s="346" t="s">
        <v>7</v>
      </c>
      <c r="N211" s="346" t="s">
        <v>20</v>
      </c>
      <c r="O211" s="346" t="s">
        <v>21</v>
      </c>
      <c r="P211" s="346" t="s">
        <v>21</v>
      </c>
      <c r="Q211" s="346" t="s">
        <v>70</v>
      </c>
      <c r="R211" s="353" t="str">
        <f ca="1">_xll.qlSchedule(,K211,L211,M211,N211,O211,P211,Q211)</f>
        <v>obj_00135#0001</v>
      </c>
      <c r="S211" s="346" t="s">
        <v>19</v>
      </c>
      <c r="T211" s="346" t="s">
        <v>20</v>
      </c>
      <c r="U211" s="346" t="s">
        <v>21</v>
      </c>
      <c r="V211" s="346" t="s">
        <v>21</v>
      </c>
      <c r="W211" s="346" t="s">
        <v>70</v>
      </c>
      <c r="X211" s="353" t="str">
        <f ca="1">_xll.qlSchedule(,K211,L211,S211,T211,U211,V211,W211)</f>
        <v>obj_0028b#0001</v>
      </c>
      <c r="Y211" s="349" t="s">
        <v>1742</v>
      </c>
      <c r="Z211" s="354" t="s">
        <v>36</v>
      </c>
      <c r="AA211" s="354" t="s">
        <v>1745</v>
      </c>
      <c r="AB211" s="353" t="str">
        <f ca="1">_xll.qlVanillaSwap(,,,R211,,Y211,X211,Z211,,AA211)</f>
        <v>obj_0028c#0000</v>
      </c>
      <c r="AC211" s="353" t="b">
        <f ca="1">_xll.qlInstrumentSetPricingEngine(AB211,_xll.qlDiscountingSwapEngine(,Curve!$S$16))</f>
        <v>1</v>
      </c>
      <c r="AD211" s="355">
        <f ca="1">_xll.qlVanillaSwapFairRate(AB211,AC211)</f>
        <v>1.8135392094265464E-2</v>
      </c>
      <c r="AE211" s="346" t="s">
        <v>1752</v>
      </c>
      <c r="AF211" s="347">
        <v>10000</v>
      </c>
      <c r="AG211" s="350" t="str">
        <f ca="1">_xll.qlVanillaSwap(,AE211,AF211,R211,AD211,Y211,X211,Z211,,AA211)</f>
        <v>obj_006a6#0000</v>
      </c>
      <c r="AH211" s="347" t="str">
        <f ca="1">_xll.qlEuropeanExercise(,J211)</f>
        <v>obj_0011a#0001</v>
      </c>
      <c r="AI211" s="346" t="s">
        <v>1749</v>
      </c>
      <c r="AJ211" s="356" t="str">
        <f ca="1">_xll.qlSwaption(,AG211,AH211,AI211)</f>
        <v>obj_0076b#0001</v>
      </c>
      <c r="AK211" s="357" t="str">
        <f ca="1">_xll.qlConstantSwaptionVolatility(,,H211,I211,F211)</f>
        <v>obj_00376#0001</v>
      </c>
      <c r="AL211" s="357" t="b">
        <f ca="1">_xll.qlInstrumentSetPricingEngine(AJ211,_xll.qlBachelierBlackSwaptionEngine(,Curve!$S$16,AK211))</f>
        <v>1</v>
      </c>
      <c r="AM211" s="358">
        <f ca="1">_xll.qlInstrumentNPV(AJ211,AL211)*2/_xll.qlYieldTSDiscount(Curve!$S$16,K211)</f>
        <v>3175.0892497612408</v>
      </c>
      <c r="AN211" s="358">
        <f ca="1">_xll.qlInstrumentResults(AJ211,"annuity",AL211)</f>
        <v>191980.55702122644</v>
      </c>
      <c r="AO211" s="359">
        <f ca="1">G211/2*_xll.qlYieldTSDiscount(Curve!$S$16,K211)/AN211</f>
        <v>8.4893901633499181E-3</v>
      </c>
      <c r="AP211" s="360">
        <f ca="1">_xll.qlBachelierBlackFormulaImpliedVol("Call",AD211,AD211,_xll.qlDayCounterYearFraction("Act/365 (Fixed)",C211,J211),AO211)</f>
        <v>6.7255621244680791E-3</v>
      </c>
      <c r="AQ211" s="361">
        <f ca="1">_xll.qlBlackFormulaImpliedStdDev("Call",AD211,AD211,AO211)/SQRT(_xll.qlDayCounterYearFraction("Act/365 (Fixed)",C211,J211))</f>
        <v>0.39514804911369672</v>
      </c>
      <c r="AS211" s="363">
        <v>6.0707641249457345E-3</v>
      </c>
      <c r="AT211" s="363">
        <v>6.7255621244680791E-3</v>
      </c>
      <c r="AU211" s="365">
        <f t="shared" ca="1" si="14"/>
        <v>-7.6412494573463441E-7</v>
      </c>
      <c r="AV211" s="365">
        <f t="shared" ca="1" si="15"/>
        <v>-6.5556212446807923E-4</v>
      </c>
    </row>
    <row r="212" spans="2:48">
      <c r="B212" s="348" t="str">
        <f t="shared" ca="1" si="13"/>
        <v>15Yx30Y</v>
      </c>
      <c r="C212" s="345">
        <f t="shared" ca="1" si="12"/>
        <v>42254</v>
      </c>
      <c r="D212" s="346" t="s">
        <v>17</v>
      </c>
      <c r="E212" s="346" t="s">
        <v>106</v>
      </c>
      <c r="F212" s="351">
        <f ca="1">VLOOKUP(F$3&amp;$D212&amp;$E212,'Swaption Volatilities'!$V:$W,2,FALSE)%%</f>
        <v>5.6499999999999996E-3</v>
      </c>
      <c r="G212" s="352">
        <f ca="1">VLOOKUP(G$3&amp;$D212&amp;$E212,'Swaption Volatilities'!$V:$W,2,FALSE)</f>
        <v>4079</v>
      </c>
      <c r="H212" s="346" t="s">
        <v>20</v>
      </c>
      <c r="I212" s="346" t="s">
        <v>21</v>
      </c>
      <c r="J212" s="345">
        <f ca="1">_xll.qlCalendarAdvance(H212,C212,D212,I212)</f>
        <v>47735</v>
      </c>
      <c r="K212" s="345">
        <f ca="1">_xll.qlCalendarAdvance(H212,J212,"2d")</f>
        <v>47737</v>
      </c>
      <c r="L212" s="345">
        <f ca="1">_xll.qlCalendarAdvance(H212,K212,E212,"unadjusted")</f>
        <v>58695</v>
      </c>
      <c r="M212" s="346" t="s">
        <v>7</v>
      </c>
      <c r="N212" s="346" t="s">
        <v>20</v>
      </c>
      <c r="O212" s="346" t="s">
        <v>21</v>
      </c>
      <c r="P212" s="346" t="s">
        <v>21</v>
      </c>
      <c r="Q212" s="346" t="s">
        <v>70</v>
      </c>
      <c r="R212" s="353" t="str">
        <f ca="1">_xll.qlSchedule(,K212,L212,M212,N212,O212,P212,Q212)</f>
        <v>obj_001fd#0001</v>
      </c>
      <c r="S212" s="346" t="s">
        <v>19</v>
      </c>
      <c r="T212" s="346" t="s">
        <v>20</v>
      </c>
      <c r="U212" s="346" t="s">
        <v>21</v>
      </c>
      <c r="V212" s="346" t="s">
        <v>21</v>
      </c>
      <c r="W212" s="346" t="s">
        <v>70</v>
      </c>
      <c r="X212" s="353" t="str">
        <f ca="1">_xll.qlSchedule(,K212,L212,S212,T212,U212,V212,W212)</f>
        <v>obj_0028a#0001</v>
      </c>
      <c r="Y212" s="349" t="s">
        <v>1742</v>
      </c>
      <c r="Z212" s="354" t="s">
        <v>36</v>
      </c>
      <c r="AA212" s="354" t="s">
        <v>1745</v>
      </c>
      <c r="AB212" s="353" t="str">
        <f ca="1">_xll.qlVanillaSwap(,,,R212,,Y212,X212,Z212,,AA212)</f>
        <v>obj_002a0#0001</v>
      </c>
      <c r="AC212" s="353" t="b">
        <f ca="1">_xll.qlInstrumentSetPricingEngine(AB212,_xll.qlDiscountingSwapEngine(,Curve!$S$16))</f>
        <v>1</v>
      </c>
      <c r="AD212" s="355">
        <f ca="1">_xll.qlVanillaSwapFairRate(AB212,AC212)</f>
        <v>1.673485913663153E-2</v>
      </c>
      <c r="AE212" s="346" t="s">
        <v>1752</v>
      </c>
      <c r="AF212" s="347">
        <v>10000</v>
      </c>
      <c r="AG212" s="350" t="str">
        <f ca="1">_xll.qlVanillaSwap(,AE212,AF212,R212,AD212,Y212,X212,Z212,,AA212)</f>
        <v>obj_0069f#0000</v>
      </c>
      <c r="AH212" s="347" t="str">
        <f ca="1">_xll.qlEuropeanExercise(,J212)</f>
        <v>obj_001d3#0001</v>
      </c>
      <c r="AI212" s="346" t="s">
        <v>1749</v>
      </c>
      <c r="AJ212" s="356" t="str">
        <f ca="1">_xll.qlSwaption(,AG212,AH212,AI212)</f>
        <v>obj_0078e#0001</v>
      </c>
      <c r="AK212" s="357" t="str">
        <f ca="1">_xll.qlConstantSwaptionVolatility(,,H212,I212,F212)</f>
        <v>obj_0017e#0001</v>
      </c>
      <c r="AL212" s="357" t="b">
        <f ca="1">_xll.qlInstrumentSetPricingEngine(AJ212,_xll.qlBachelierBlackSwaptionEngine(,Curve!$S$16,AK212))</f>
        <v>1</v>
      </c>
      <c r="AM212" s="358">
        <f ca="1">_xll.qlInstrumentNPV(AJ212,AL212)*2/_xll.qlYieldTSDiscount(Curve!$S$16,K212)</f>
        <v>3806.5429017661086</v>
      </c>
      <c r="AN212" s="358">
        <f ca="1">_xll.qlInstrumentResults(AJ212,"annuity",AL212)</f>
        <v>182700.16450607628</v>
      </c>
      <c r="AO212" s="359">
        <f ca="1">G212/2*_xll.qlYieldTSDiscount(Curve!$S$16,K212)/AN212</f>
        <v>9.3597653025440201E-3</v>
      </c>
      <c r="AP212" s="360">
        <f ca="1">_xll.qlBachelierBlackFormulaImpliedVol("Call",AD212,AD212,_xll.qlDayCounterYearFraction("Act/365 (Fixed)",C212,J212),AO212)</f>
        <v>6.0544043755049208E-3</v>
      </c>
      <c r="AQ212" s="361">
        <f ca="1">_xll.qlBlackFormulaImpliedStdDev("Call",AD212,AD212,AO212)/SQRT(_xll.qlDayCounterYearFraction("Act/365 (Fixed)",C212,J212))</f>
        <v>0.39792858762040251</v>
      </c>
      <c r="AS212" s="363">
        <v>5.6516373428729932E-3</v>
      </c>
      <c r="AT212" s="363">
        <v>6.0544043755049208E-3</v>
      </c>
      <c r="AU212" s="365">
        <f t="shared" ca="1" si="14"/>
        <v>-1.6373428729935316E-6</v>
      </c>
      <c r="AV212" s="365">
        <f t="shared" ca="1" si="15"/>
        <v>-4.0440437550492113E-4</v>
      </c>
    </row>
    <row r="213" spans="2:48">
      <c r="B213" s="348" t="str">
        <f t="shared" ca="1" si="13"/>
        <v>20Yx30Y</v>
      </c>
      <c r="C213" s="345">
        <f t="shared" ca="1" si="12"/>
        <v>42254</v>
      </c>
      <c r="D213" s="346" t="s">
        <v>104</v>
      </c>
      <c r="E213" s="346" t="s">
        <v>106</v>
      </c>
      <c r="F213" s="351">
        <f ca="1">VLOOKUP(F$3&amp;$D213&amp;$E213,'Swaption Volatilities'!$V:$W,2,FALSE)%%</f>
        <v>5.1999999999999998E-3</v>
      </c>
      <c r="G213" s="352">
        <f ca="1">VLOOKUP(G$3&amp;$D213&amp;$E213,'Swaption Volatilities'!$V:$W,2,FALSE)</f>
        <v>4426</v>
      </c>
      <c r="H213" s="346" t="s">
        <v>20</v>
      </c>
      <c r="I213" s="346" t="s">
        <v>21</v>
      </c>
      <c r="J213" s="345">
        <f ca="1">_xll.qlCalendarAdvance(H213,C213,D213,I213)</f>
        <v>49559</v>
      </c>
      <c r="K213" s="345">
        <f ca="1">_xll.qlCalendarAdvance(H213,J213,"2d")</f>
        <v>49563</v>
      </c>
      <c r="L213" s="345">
        <f ca="1">_xll.qlCalendarAdvance(H213,K213,E213,"unadjusted")</f>
        <v>60521</v>
      </c>
      <c r="M213" s="346" t="s">
        <v>7</v>
      </c>
      <c r="N213" s="346" t="s">
        <v>20</v>
      </c>
      <c r="O213" s="346" t="s">
        <v>21</v>
      </c>
      <c r="P213" s="346" t="s">
        <v>21</v>
      </c>
      <c r="Q213" s="346" t="s">
        <v>70</v>
      </c>
      <c r="R213" s="353" t="str">
        <f ca="1">_xll.qlSchedule(,K213,L213,M213,N213,O213,P213,Q213)</f>
        <v>obj_00137#0001</v>
      </c>
      <c r="S213" s="346" t="s">
        <v>19</v>
      </c>
      <c r="T213" s="346" t="s">
        <v>20</v>
      </c>
      <c r="U213" s="346" t="s">
        <v>21</v>
      </c>
      <c r="V213" s="346" t="s">
        <v>21</v>
      </c>
      <c r="W213" s="346" t="s">
        <v>70</v>
      </c>
      <c r="X213" s="353" t="str">
        <f ca="1">_xll.qlSchedule(,K213,L213,S213,T213,U213,V213,W213)</f>
        <v>obj_002f1#0001</v>
      </c>
      <c r="Y213" s="349" t="s">
        <v>1742</v>
      </c>
      <c r="Z213" s="354" t="s">
        <v>36</v>
      </c>
      <c r="AA213" s="354" t="s">
        <v>1745</v>
      </c>
      <c r="AB213" s="353" t="str">
        <f ca="1">_xll.qlVanillaSwap(,,,R213,,Y213,X213,Z213,,AA213)</f>
        <v>obj_002f2#0000</v>
      </c>
      <c r="AC213" s="353" t="b">
        <f ca="1">_xll.qlInstrumentSetPricingEngine(AB213,_xll.qlDiscountingSwapEngine(,Curve!$S$16))</f>
        <v>1</v>
      </c>
      <c r="AD213" s="355" t="e">
        <f ca="1">_xll.qlVanillaSwapFairRate(AB213,AC213)</f>
        <v>#NUM!</v>
      </c>
      <c r="AE213" s="346" t="s">
        <v>1752</v>
      </c>
      <c r="AF213" s="347">
        <v>10000</v>
      </c>
      <c r="AG213" s="350" t="str">
        <f ca="1">_xll.qlVanillaSwap(,AE213,AF213,R213,AD213,Y213,X213,Z213,,AA213)</f>
        <v>obj_00672#0000</v>
      </c>
      <c r="AH213" s="347" t="str">
        <f ca="1">_xll.qlEuropeanExercise(,J213)</f>
        <v>obj_0011c#0001</v>
      </c>
      <c r="AI213" s="346" t="s">
        <v>1749</v>
      </c>
      <c r="AJ213" s="356" t="str">
        <f ca="1">_xll.qlSwaption(,AG213,AH213,AI213)</f>
        <v>obj_007b4#0001</v>
      </c>
      <c r="AK213" s="357" t="str">
        <f ca="1">_xll.qlConstantSwaptionVolatility(,,H213,I213,F213)</f>
        <v>obj_000f1#0001</v>
      </c>
      <c r="AL213" s="357" t="b">
        <f ca="1">_xll.qlInstrumentSetPricingEngine(AJ213,_xll.qlBachelierBlackSwaptionEngine(,Curve!$S$16,AK213))</f>
        <v>1</v>
      </c>
      <c r="AM213" s="358">
        <f ca="1">_xll.qlInstrumentNPV(AJ213,AL213)*2/_xll.qlYieldTSDiscount(Curve!$S$16,K213)</f>
        <v>4283.6494703037779</v>
      </c>
      <c r="AN213" s="358">
        <f ca="1">_xll.qlInstrumentResults(AJ213,"annuity",AL213)</f>
        <v>175886.54189748529</v>
      </c>
      <c r="AO213" s="359">
        <f ca="1">G213/2*_xll.qlYieldTSDiscount(Curve!$S$16,K213)/AN213</f>
        <v>9.5890276632981299E-3</v>
      </c>
      <c r="AP213" s="360" t="e">
        <f ca="1">_xll.qlBachelierBlackFormulaImpliedVol("Call",AD213,AD213,_xll.qlDayCounterYearFraction("Act/365 (Fixed)",C213,J213),AO213)</f>
        <v>#VALUE!</v>
      </c>
      <c r="AQ213" s="361" t="e">
        <f ca="1">_xll.qlBlackFormulaImpliedStdDev("Call",AD213,AD213,AO213)/SQRT(_xll.qlDayCounterYearFraction("Act/365 (Fixed)",C213,J213))</f>
        <v>#VALUE!</v>
      </c>
      <c r="AS213" s="363">
        <v>5.214916167391539E-3</v>
      </c>
      <c r="AT213" s="363">
        <v>5.3728018969693755E-3</v>
      </c>
      <c r="AU213" s="365">
        <f t="shared" ca="1" si="14"/>
        <v>-1.4916167391539233E-5</v>
      </c>
      <c r="AV213" s="365">
        <f t="shared" ca="1" si="15"/>
        <v>-1.7280189696937572E-4</v>
      </c>
    </row>
  </sheetData>
  <dataValidations disablePrompts="1" count="4">
    <dataValidation type="list" allowBlank="1" showInputMessage="1" showErrorMessage="1" sqref="N4:N213 H4:H213 T4:T213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O4:P213 I4:I213 U4:V213">
      <formula1>"Following,Modified Following,Preceding,Modified Preceding,Unadjusted"</formula1>
    </dataValidation>
    <dataValidation type="list" allowBlank="1" showInputMessage="1" showErrorMessage="1" sqref="AI4:AI213">
      <formula1>"Physical,Cash"</formula1>
    </dataValidation>
    <dataValidation type="list" allowBlank="1" showInputMessage="1" showErrorMessage="1" sqref="AE4:AE213">
      <formula1>"Payer,Receiver"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D2:U80"/>
  <sheetViews>
    <sheetView showGridLines="0" zoomScale="70" zoomScaleNormal="70" workbookViewId="0"/>
  </sheetViews>
  <sheetFormatPr defaultRowHeight="15"/>
  <cols>
    <col min="2" max="2" width="12" bestFit="1" customWidth="1"/>
    <col min="4" max="4" width="17.140625" customWidth="1"/>
    <col min="5" max="5" width="15.140625" customWidth="1"/>
  </cols>
  <sheetData>
    <row r="2" spans="4:6">
      <c r="D2" s="52" t="s">
        <v>1755</v>
      </c>
      <c r="E2" s="31"/>
      <c r="F2" s="31"/>
    </row>
    <row r="3" spans="4:6">
      <c r="D3" s="31"/>
      <c r="E3" s="31"/>
      <c r="F3" s="31"/>
    </row>
    <row r="4" spans="4:6">
      <c r="D4" s="5" t="s">
        <v>107</v>
      </c>
      <c r="E4" s="37"/>
      <c r="F4" s="38" t="str">
        <f ca="1">_xll.qlSwaptionVTSMatrix(F6,F7,F8,D19:D33,E18:R18,E19:R33,F12,F13,F14,F15)</f>
        <v>EUR-ATM-Swaption-Surface-NVol#0001</v>
      </c>
    </row>
    <row r="5" spans="4:6">
      <c r="D5" s="7" t="s">
        <v>5</v>
      </c>
      <c r="E5" s="39"/>
      <c r="F5" s="40" t="str">
        <f ca="1">_xll.ohRangeRetrieveError(F4)</f>
        <v/>
      </c>
    </row>
    <row r="6" spans="4:6">
      <c r="D6" s="8" t="s">
        <v>2</v>
      </c>
      <c r="E6" s="41"/>
      <c r="F6" s="42" t="s">
        <v>1759</v>
      </c>
    </row>
    <row r="7" spans="4:6">
      <c r="D7" s="10" t="s">
        <v>3</v>
      </c>
      <c r="E7" s="23"/>
      <c r="F7" s="22" t="s">
        <v>24</v>
      </c>
    </row>
    <row r="8" spans="4:6">
      <c r="D8" s="10" t="s">
        <v>108</v>
      </c>
      <c r="E8" s="23"/>
      <c r="F8" s="22" t="s">
        <v>21</v>
      </c>
    </row>
    <row r="9" spans="4:6">
      <c r="D9" s="10" t="s">
        <v>109</v>
      </c>
      <c r="E9" s="43"/>
      <c r="F9" s="44"/>
    </row>
    <row r="10" spans="4:6">
      <c r="D10" s="10" t="s">
        <v>103</v>
      </c>
      <c r="E10" s="43"/>
      <c r="F10" s="44"/>
    </row>
    <row r="11" spans="4:6">
      <c r="D11" s="10" t="s">
        <v>110</v>
      </c>
      <c r="E11" s="43"/>
      <c r="F11" s="44"/>
    </row>
    <row r="12" spans="4:6">
      <c r="D12" s="10" t="s">
        <v>28</v>
      </c>
      <c r="E12" s="23"/>
      <c r="F12" s="22" t="s">
        <v>111</v>
      </c>
    </row>
    <row r="13" spans="4:6">
      <c r="D13" s="10" t="s">
        <v>30</v>
      </c>
      <c r="E13" s="23"/>
      <c r="F13" s="22"/>
    </row>
    <row r="14" spans="4:6">
      <c r="D14" s="10" t="s">
        <v>32</v>
      </c>
      <c r="E14" s="23"/>
      <c r="F14" s="22"/>
    </row>
    <row r="15" spans="4:6">
      <c r="D15" s="14" t="s">
        <v>34</v>
      </c>
      <c r="E15" s="45"/>
      <c r="F15" s="46"/>
    </row>
    <row r="17" spans="4:21">
      <c r="S17" s="31"/>
      <c r="U17" s="346"/>
    </row>
    <row r="18" spans="4:21">
      <c r="D18" s="378" t="s">
        <v>1756</v>
      </c>
      <c r="E18" s="32" t="s">
        <v>7</v>
      </c>
      <c r="F18" s="385" t="s">
        <v>8</v>
      </c>
      <c r="G18" s="33" t="s">
        <v>9</v>
      </c>
      <c r="H18" s="33" t="s">
        <v>10</v>
      </c>
      <c r="I18" s="385" t="s">
        <v>11</v>
      </c>
      <c r="J18" s="33" t="s">
        <v>12</v>
      </c>
      <c r="K18" s="33" t="s">
        <v>13</v>
      </c>
      <c r="L18" s="33" t="s">
        <v>14</v>
      </c>
      <c r="M18" s="33" t="s">
        <v>15</v>
      </c>
      <c r="N18" s="385" t="s">
        <v>16</v>
      </c>
      <c r="O18" s="33" t="s">
        <v>17</v>
      </c>
      <c r="P18" s="385" t="s">
        <v>104</v>
      </c>
      <c r="Q18" s="33" t="s">
        <v>105</v>
      </c>
      <c r="R18" s="389" t="s">
        <v>106</v>
      </c>
      <c r="S18" s="31"/>
      <c r="U18" s="346"/>
    </row>
    <row r="19" spans="4:21">
      <c r="D19" s="34" t="s">
        <v>23</v>
      </c>
      <c r="E19" s="372">
        <f ca="1">VLOOKUP($D19&amp;"x"&amp;E$18,VolCalculation!$B:$AQ,41,)</f>
        <v>1.5253817635685495E-3</v>
      </c>
      <c r="F19" s="386">
        <f ca="1">VLOOKUP($D19&amp;"x"&amp;F$18,VolCalculation!$B:$AQ,41,)</f>
        <v>1.6417471942939039E-3</v>
      </c>
      <c r="G19" s="373">
        <f ca="1">VLOOKUP($D19&amp;"x"&amp;G$18,VolCalculation!$B:$AQ,41,)</f>
        <v>2.0470802964572942E-3</v>
      </c>
      <c r="H19" s="373">
        <f ca="1">VLOOKUP($D19&amp;"x"&amp;H$18,VolCalculation!$B:$AQ,41,)</f>
        <v>3.0263000874012286E-3</v>
      </c>
      <c r="I19" s="386">
        <f ca="1">VLOOKUP($D19&amp;"x"&amp;I$18,VolCalculation!$B:$AQ,41,)</f>
        <v>3.7601577785253042E-3</v>
      </c>
      <c r="J19" s="373">
        <f ca="1">VLOOKUP($D19&amp;"x"&amp;J$18,VolCalculation!$B:$AQ,41,)</f>
        <v>4.4122558638968433E-3</v>
      </c>
      <c r="K19" s="373">
        <f ca="1">VLOOKUP($D19&amp;"x"&amp;K$18,VolCalculation!$B:$AQ,41,)</f>
        <v>5.1928970714235608E-3</v>
      </c>
      <c r="L19" s="373">
        <f ca="1">VLOOKUP($D19&amp;"x"&amp;L$18,VolCalculation!$B:$AQ,41,)</f>
        <v>5.8897809371728834E-3</v>
      </c>
      <c r="M19" s="373">
        <f ca="1">VLOOKUP($D19&amp;"x"&amp;M$18,VolCalculation!$B:$AQ,41,)</f>
        <v>6.5071751836557092E-3</v>
      </c>
      <c r="N19" s="386">
        <f ca="1">VLOOKUP($D19&amp;"x"&amp;N$18,VolCalculation!$B:$AQ,41,)</f>
        <v>6.9327784470549127E-3</v>
      </c>
      <c r="O19" s="373">
        <f ca="1">VLOOKUP($D19&amp;"x"&amp;O$18,VolCalculation!$B:$AQ,41,)</f>
        <v>7.8874573730138096E-3</v>
      </c>
      <c r="P19" s="386">
        <f ca="1">VLOOKUP($D19&amp;"x"&amp;P$18,VolCalculation!$B:$AQ,41,)</f>
        <v>8.4945511409964154E-3</v>
      </c>
      <c r="Q19" s="373">
        <f ca="1">VLOOKUP($D19&amp;"x"&amp;Q$18,VolCalculation!$B:$AQ,41,)</f>
        <v>8.9107886959446277E-3</v>
      </c>
      <c r="R19" s="390">
        <f ca="1">VLOOKUP($D19&amp;"x"&amp;R$18,VolCalculation!$B:$AQ,41,)</f>
        <v>9.0961556982949842E-3</v>
      </c>
      <c r="S19" s="31"/>
      <c r="U19" s="346"/>
    </row>
    <row r="20" spans="4:21">
      <c r="D20" s="35" t="s">
        <v>398</v>
      </c>
      <c r="E20" s="374">
        <f ca="1">VLOOKUP($D20&amp;"x"&amp;E$18,VolCalculation!$B:$AQ,41,)</f>
        <v>1.5080575451159525E-3</v>
      </c>
      <c r="F20" s="387">
        <f ca="1">VLOOKUP($D20&amp;"x"&amp;F$18,VolCalculation!$B:$AQ,41,)</f>
        <v>1.5822124411069803E-3</v>
      </c>
      <c r="G20" s="375">
        <f ca="1">VLOOKUP($D20&amp;"x"&amp;G$18,VolCalculation!$B:$AQ,41,)</f>
        <v>2.118103835721221E-3</v>
      </c>
      <c r="H20" s="375">
        <f ca="1">VLOOKUP($D20&amp;"x"&amp;H$18,VolCalculation!$B:$AQ,41,)</f>
        <v>3.1538994515481629E-3</v>
      </c>
      <c r="I20" s="387">
        <f ca="1">VLOOKUP($D20&amp;"x"&amp;I$18,VolCalculation!$B:$AQ,41,)</f>
        <v>3.8197298884091371E-3</v>
      </c>
      <c r="J20" s="375">
        <f ca="1">VLOOKUP($D20&amp;"x"&amp;J$18,VolCalculation!$B:$AQ,41,)</f>
        <v>4.5386149329302537E-3</v>
      </c>
      <c r="K20" s="375">
        <f ca="1">VLOOKUP($D20&amp;"x"&amp;K$18,VolCalculation!$B:$AQ,41,)</f>
        <v>5.2745976849349081E-3</v>
      </c>
      <c r="L20" s="375">
        <f ca="1">VLOOKUP($D20&amp;"x"&amp;L$18,VolCalculation!$B:$AQ,41,)</f>
        <v>5.8684395641706577E-3</v>
      </c>
      <c r="M20" s="375">
        <f ca="1">VLOOKUP($D20&amp;"x"&amp;M$18,VolCalculation!$B:$AQ,41,)</f>
        <v>6.5373245414748135E-3</v>
      </c>
      <c r="N20" s="387">
        <f ca="1">VLOOKUP($D20&amp;"x"&amp;N$18,VolCalculation!$B:$AQ,41,)</f>
        <v>6.9348412966375294E-3</v>
      </c>
      <c r="O20" s="375">
        <f ca="1">VLOOKUP($D20&amp;"x"&amp;O$18,VolCalculation!$B:$AQ,41,)</f>
        <v>7.9024670118151806E-3</v>
      </c>
      <c r="P20" s="387">
        <f ca="1">VLOOKUP($D20&amp;"x"&amp;P$18,VolCalculation!$B:$AQ,41,)</f>
        <v>8.3974170481075274E-3</v>
      </c>
      <c r="Q20" s="375">
        <f ca="1">VLOOKUP($D20&amp;"x"&amp;Q$18,VolCalculation!$B:$AQ,41,)</f>
        <v>8.715305980395778E-3</v>
      </c>
      <c r="R20" s="391">
        <f ca="1">VLOOKUP($D20&amp;"x"&amp;R$18,VolCalculation!$B:$AQ,41,)</f>
        <v>8.8395675574724879E-3</v>
      </c>
      <c r="S20" s="31"/>
      <c r="U20" s="346"/>
    </row>
    <row r="21" spans="4:21">
      <c r="D21" s="35" t="s">
        <v>26</v>
      </c>
      <c r="E21" s="374">
        <f ca="1">VLOOKUP($D21&amp;"x"&amp;E$18,VolCalculation!$B:$AQ,41,)</f>
        <v>1.5058709577105527E-3</v>
      </c>
      <c r="F21" s="387">
        <f ca="1">VLOOKUP($D21&amp;"x"&amp;F$18,VolCalculation!$B:$AQ,41,)</f>
        <v>1.5050037536048506E-3</v>
      </c>
      <c r="G21" s="375">
        <f ca="1">VLOOKUP($D21&amp;"x"&amp;G$18,VolCalculation!$B:$AQ,41,)</f>
        <v>2.1410635444746918E-3</v>
      </c>
      <c r="H21" s="375">
        <f ca="1">VLOOKUP($D21&amp;"x"&amp;H$18,VolCalculation!$B:$AQ,41,)</f>
        <v>3.1005921945613641E-3</v>
      </c>
      <c r="I21" s="387">
        <f ca="1">VLOOKUP($D21&amp;"x"&amp;I$18,VolCalculation!$B:$AQ,41,)</f>
        <v>3.8428207798829892E-3</v>
      </c>
      <c r="J21" s="375">
        <f ca="1">VLOOKUP($D21&amp;"x"&amp;J$18,VolCalculation!$B:$AQ,41,)</f>
        <v>4.5710420108525142E-3</v>
      </c>
      <c r="K21" s="375">
        <f ca="1">VLOOKUP($D21&amp;"x"&amp;K$18,VolCalculation!$B:$AQ,41,)</f>
        <v>5.3179519450255244E-3</v>
      </c>
      <c r="L21" s="375">
        <f ca="1">VLOOKUP($D21&amp;"x"&amp;L$18,VolCalculation!$B:$AQ,41,)</f>
        <v>5.9009644425632776E-3</v>
      </c>
      <c r="M21" s="375">
        <f ca="1">VLOOKUP($D21&amp;"x"&amp;M$18,VolCalculation!$B:$AQ,41,)</f>
        <v>6.502862038215697E-3</v>
      </c>
      <c r="N21" s="387">
        <f ca="1">VLOOKUP($D21&amp;"x"&amp;N$18,VolCalculation!$B:$AQ,41,)</f>
        <v>6.9523324747668347E-3</v>
      </c>
      <c r="O21" s="375">
        <f ca="1">VLOOKUP($D21&amp;"x"&amp;O$18,VolCalculation!$B:$AQ,41,)</f>
        <v>7.8612209728756918E-3</v>
      </c>
      <c r="P21" s="387">
        <f ca="1">VLOOKUP($D21&amp;"x"&amp;P$18,VolCalculation!$B:$AQ,41,)</f>
        <v>8.2513180603409775E-3</v>
      </c>
      <c r="Q21" s="375">
        <f ca="1">VLOOKUP($D21&amp;"x"&amp;Q$18,VolCalculation!$B:$AQ,41,)</f>
        <v>8.4278506474427025E-3</v>
      </c>
      <c r="R21" s="391">
        <f ca="1">VLOOKUP($D21&amp;"x"&amp;R$18,VolCalculation!$B:$AQ,41,)</f>
        <v>8.4904079982596053E-3</v>
      </c>
      <c r="S21" s="31"/>
      <c r="U21" s="346"/>
    </row>
    <row r="22" spans="4:21">
      <c r="D22" s="35" t="s">
        <v>19</v>
      </c>
      <c r="E22" s="374">
        <f ca="1">VLOOKUP($D22&amp;"x"&amp;E$18,VolCalculation!$B:$AQ,41,)</f>
        <v>1.6866266240372688E-3</v>
      </c>
      <c r="F22" s="387">
        <f ca="1">VLOOKUP($D22&amp;"x"&amp;F$18,VolCalculation!$B:$AQ,41,)</f>
        <v>1.9587134040410905E-3</v>
      </c>
      <c r="G22" s="375">
        <f ca="1">VLOOKUP($D22&amp;"x"&amp;G$18,VolCalculation!$B:$AQ,41,)</f>
        <v>2.6444232020874188E-3</v>
      </c>
      <c r="H22" s="375">
        <f ca="1">VLOOKUP($D22&amp;"x"&amp;H$18,VolCalculation!$B:$AQ,41,)</f>
        <v>3.3866194226462257E-3</v>
      </c>
      <c r="I22" s="387">
        <f ca="1">VLOOKUP($D22&amp;"x"&amp;I$18,VolCalculation!$B:$AQ,41,)</f>
        <v>4.1163582823323403E-3</v>
      </c>
      <c r="J22" s="375">
        <f ca="1">VLOOKUP($D22&amp;"x"&amp;J$18,VolCalculation!$B:$AQ,41,)</f>
        <v>4.8222980862498233E-3</v>
      </c>
      <c r="K22" s="375">
        <f ca="1">VLOOKUP($D22&amp;"x"&amp;K$18,VolCalculation!$B:$AQ,41,)</f>
        <v>5.4831639353101445E-3</v>
      </c>
      <c r="L22" s="375">
        <f ca="1">VLOOKUP($D22&amp;"x"&amp;L$18,VolCalculation!$B:$AQ,41,)</f>
        <v>5.9786885615060884E-3</v>
      </c>
      <c r="M22" s="375">
        <f ca="1">VLOOKUP($D22&amp;"x"&amp;M$18,VolCalculation!$B:$AQ,41,)</f>
        <v>6.4963392982742008E-3</v>
      </c>
      <c r="N22" s="387">
        <f ca="1">VLOOKUP($D22&amp;"x"&amp;N$18,VolCalculation!$B:$AQ,41,)</f>
        <v>6.953359612933788E-3</v>
      </c>
      <c r="O22" s="375">
        <f ca="1">VLOOKUP($D22&amp;"x"&amp;O$18,VolCalculation!$B:$AQ,41,)</f>
        <v>7.6327203457968659E-3</v>
      </c>
      <c r="P22" s="387">
        <f ca="1">VLOOKUP($D22&amp;"x"&amp;P$18,VolCalculation!$B:$AQ,41,)</f>
        <v>7.9669294314508726E-3</v>
      </c>
      <c r="Q22" s="375">
        <f ca="1">VLOOKUP($D22&amp;"x"&amp;Q$18,VolCalculation!$B:$AQ,41,)</f>
        <v>8.1122953071207336E-3</v>
      </c>
      <c r="R22" s="391">
        <f ca="1">VLOOKUP($D22&amp;"x"&amp;R$18,VolCalculation!$B:$AQ,41,)</f>
        <v>8.1510873579152716E-3</v>
      </c>
      <c r="S22" s="31"/>
      <c r="U22" s="346"/>
    </row>
    <row r="23" spans="4:21">
      <c r="D23" s="35" t="s">
        <v>412</v>
      </c>
      <c r="E23" s="374">
        <f ca="1">VLOOKUP($D23&amp;"x"&amp;E$18,VolCalculation!$B:$AQ,41,)</f>
        <v>2.0993911498053178E-3</v>
      </c>
      <c r="F23" s="387">
        <f ca="1">VLOOKUP($D23&amp;"x"&amp;F$18,VolCalculation!$B:$AQ,41,)</f>
        <v>2.4639133850021967E-3</v>
      </c>
      <c r="G23" s="375">
        <f ca="1">VLOOKUP($D23&amp;"x"&amp;G$18,VolCalculation!$B:$AQ,41,)</f>
        <v>3.0850356346771349E-3</v>
      </c>
      <c r="H23" s="375">
        <f ca="1">VLOOKUP($D23&amp;"x"&amp;H$18,VolCalculation!$B:$AQ,41,)</f>
        <v>3.7397504369399218E-3</v>
      </c>
      <c r="I23" s="387">
        <f ca="1">VLOOKUP($D23&amp;"x"&amp;I$18,VolCalculation!$B:$AQ,41,)</f>
        <v>4.4308128520224432E-3</v>
      </c>
      <c r="J23" s="375">
        <f ca="1">VLOOKUP($D23&amp;"x"&amp;J$18,VolCalculation!$B:$AQ,41,)</f>
        <v>5.0402669256351508E-3</v>
      </c>
      <c r="K23" s="375">
        <f ca="1">VLOOKUP($D23&amp;"x"&amp;K$18,VolCalculation!$B:$AQ,41,)</f>
        <v>5.6091250575482981E-3</v>
      </c>
      <c r="L23" s="375">
        <f ca="1">VLOOKUP($D23&amp;"x"&amp;L$18,VolCalculation!$B:$AQ,41,)</f>
        <v>6.0792686031777921E-3</v>
      </c>
      <c r="M23" s="375">
        <f ca="1">VLOOKUP($D23&amp;"x"&amp;M$18,VolCalculation!$B:$AQ,41,)</f>
        <v>6.5738050880535543E-3</v>
      </c>
      <c r="N23" s="387">
        <f ca="1">VLOOKUP($D23&amp;"x"&amp;N$18,VolCalculation!$B:$AQ,41,)</f>
        <v>7.0232461133645568E-3</v>
      </c>
      <c r="O23" s="375">
        <f ca="1">VLOOKUP($D23&amp;"x"&amp;O$18,VolCalculation!$B:$AQ,41,)</f>
        <v>7.5872676593857213E-3</v>
      </c>
      <c r="P23" s="387">
        <f ca="1">VLOOKUP($D23&amp;"x"&amp;P$18,VolCalculation!$B:$AQ,41,)</f>
        <v>7.8521424892419658E-3</v>
      </c>
      <c r="Q23" s="375">
        <f ca="1">VLOOKUP($D23&amp;"x"&amp;Q$18,VolCalculation!$B:$AQ,41,)</f>
        <v>7.9768806630217647E-3</v>
      </c>
      <c r="R23" s="391">
        <f ca="1">VLOOKUP($D23&amp;"x"&amp;R$18,VolCalculation!$B:$AQ,41,)</f>
        <v>8.0264556165434448E-3</v>
      </c>
      <c r="S23" s="31"/>
      <c r="U23" s="346"/>
    </row>
    <row r="24" spans="4:21">
      <c r="D24" s="35" t="s">
        <v>7</v>
      </c>
      <c r="E24" s="374">
        <f ca="1">VLOOKUP($D24&amp;"x"&amp;E$18,VolCalculation!$B:$AQ,41,)</f>
        <v>2.4941389927416536E-3</v>
      </c>
      <c r="F24" s="387">
        <f ca="1">VLOOKUP($D24&amp;"x"&amp;F$18,VolCalculation!$B:$AQ,41,)</f>
        <v>2.9250278353032282E-3</v>
      </c>
      <c r="G24" s="375">
        <f ca="1">VLOOKUP($D24&amp;"x"&amp;G$18,VolCalculation!$B:$AQ,41,)</f>
        <v>3.5223471680751821E-3</v>
      </c>
      <c r="H24" s="375">
        <f ca="1">VLOOKUP($D24&amp;"x"&amp;H$18,VolCalculation!$B:$AQ,41,)</f>
        <v>4.2015148286001815E-3</v>
      </c>
      <c r="I24" s="387">
        <f ca="1">VLOOKUP($D24&amp;"x"&amp;I$18,VolCalculation!$B:$AQ,41,)</f>
        <v>4.7993963474995014E-3</v>
      </c>
      <c r="J24" s="375">
        <f ca="1">VLOOKUP($D24&amp;"x"&amp;J$18,VolCalculation!$B:$AQ,41,)</f>
        <v>5.3754640870856294E-3</v>
      </c>
      <c r="K24" s="375">
        <f ca="1">VLOOKUP($D24&amp;"x"&amp;K$18,VolCalculation!$B:$AQ,41,)</f>
        <v>5.9225591270244135E-3</v>
      </c>
      <c r="L24" s="375">
        <f ca="1">VLOOKUP($D24&amp;"x"&amp;L$18,VolCalculation!$B:$AQ,41,)</f>
        <v>6.3513416335593507E-3</v>
      </c>
      <c r="M24" s="375">
        <f ca="1">VLOOKUP($D24&amp;"x"&amp;M$18,VolCalculation!$B:$AQ,41,)</f>
        <v>6.7193901748420675E-3</v>
      </c>
      <c r="N24" s="387">
        <f ca="1">VLOOKUP($D24&amp;"x"&amp;N$18,VolCalculation!$B:$AQ,41,)</f>
        <v>7.0773817533792537E-3</v>
      </c>
      <c r="O24" s="375">
        <f ca="1">VLOOKUP($D24&amp;"x"&amp;O$18,VolCalculation!$B:$AQ,41,)</f>
        <v>7.6874936415612886E-3</v>
      </c>
      <c r="P24" s="387">
        <f ca="1">VLOOKUP($D24&amp;"x"&amp;P$18,VolCalculation!$B:$AQ,41,)</f>
        <v>7.8435444043899183E-3</v>
      </c>
      <c r="Q24" s="375">
        <f ca="1">VLOOKUP($D24&amp;"x"&amp;Q$18,VolCalculation!$B:$AQ,41,)</f>
        <v>7.9129698225722835E-3</v>
      </c>
      <c r="R24" s="391">
        <f ca="1">VLOOKUP($D24&amp;"x"&amp;R$18,VolCalculation!$B:$AQ,41,)</f>
        <v>7.9391182848458329E-3</v>
      </c>
      <c r="S24" s="31"/>
      <c r="U24" s="346"/>
    </row>
    <row r="25" spans="4:21">
      <c r="D25" s="35" t="s">
        <v>154</v>
      </c>
      <c r="E25" s="374">
        <f ca="1">VLOOKUP($D25&amp;"x"&amp;E$18,VolCalculation!$B:$AQ,41,)</f>
        <v>3.2397275889641812E-3</v>
      </c>
      <c r="F25" s="387">
        <f ca="1">VLOOKUP($D25&amp;"x"&amp;F$18,VolCalculation!$B:$AQ,41,)</f>
        <v>3.7688497941043074E-3</v>
      </c>
      <c r="G25" s="375">
        <f ca="1">VLOOKUP($D25&amp;"x"&amp;G$18,VolCalculation!$B:$AQ,41,)</f>
        <v>4.3748347527734844E-3</v>
      </c>
      <c r="H25" s="375">
        <f ca="1">VLOOKUP($D25&amp;"x"&amp;H$18,VolCalculation!$B:$AQ,41,)</f>
        <v>4.8810482222639909E-3</v>
      </c>
      <c r="I25" s="387">
        <f ca="1">VLOOKUP($D25&amp;"x"&amp;I$18,VolCalculation!$B:$AQ,41,)</f>
        <v>5.4255146107036797E-3</v>
      </c>
      <c r="J25" s="375">
        <f ca="1">VLOOKUP($D25&amp;"x"&amp;J$18,VolCalculation!$B:$AQ,41,)</f>
        <v>5.9262595322868653E-3</v>
      </c>
      <c r="K25" s="375">
        <f ca="1">VLOOKUP($D25&amp;"x"&amp;K$18,VolCalculation!$B:$AQ,41,)</f>
        <v>6.3096096077599603E-3</v>
      </c>
      <c r="L25" s="375">
        <f ca="1">VLOOKUP($D25&amp;"x"&amp;L$18,VolCalculation!$B:$AQ,41,)</f>
        <v>6.6557403139530687E-3</v>
      </c>
      <c r="M25" s="375">
        <f ca="1">VLOOKUP($D25&amp;"x"&amp;M$18,VolCalculation!$B:$AQ,41,)</f>
        <v>6.9734973589575967E-3</v>
      </c>
      <c r="N25" s="387">
        <f ca="1">VLOOKUP($D25&amp;"x"&amp;N$18,VolCalculation!$B:$AQ,41,)</f>
        <v>7.3159975197167959E-3</v>
      </c>
      <c r="O25" s="375">
        <f ca="1">VLOOKUP($D25&amp;"x"&amp;O$18,VolCalculation!$B:$AQ,41,)</f>
        <v>7.7464321249342896E-3</v>
      </c>
      <c r="P25" s="387">
        <f ca="1">VLOOKUP($D25&amp;"x"&amp;P$18,VolCalculation!$B:$AQ,41,)</f>
        <v>7.8144986951370447E-3</v>
      </c>
      <c r="Q25" s="375">
        <f ca="1">VLOOKUP($D25&amp;"x"&amp;Q$18,VolCalculation!$B:$AQ,41,)</f>
        <v>7.8796086198763583E-3</v>
      </c>
      <c r="R25" s="391">
        <f ca="1">VLOOKUP($D25&amp;"x"&amp;R$18,VolCalculation!$B:$AQ,41,)</f>
        <v>7.857870253666209E-3</v>
      </c>
      <c r="S25" s="31"/>
      <c r="U25" s="346"/>
    </row>
    <row r="26" spans="4:21">
      <c r="D26" s="35" t="s">
        <v>8</v>
      </c>
      <c r="E26" s="374">
        <f ca="1">VLOOKUP($D26&amp;"x"&amp;E$18,VolCalculation!$B:$AQ,41,)</f>
        <v>4.0179506736833489E-3</v>
      </c>
      <c r="F26" s="387">
        <f ca="1">VLOOKUP($D26&amp;"x"&amp;F$18,VolCalculation!$B:$AQ,41,)</f>
        <v>4.5515930225870117E-3</v>
      </c>
      <c r="G26" s="375">
        <f ca="1">VLOOKUP($D26&amp;"x"&amp;G$18,VolCalculation!$B:$AQ,41,)</f>
        <v>5.0855958634060412E-3</v>
      </c>
      <c r="H26" s="375">
        <f ca="1">VLOOKUP($D26&amp;"x"&amp;H$18,VolCalculation!$B:$AQ,41,)</f>
        <v>5.5166371998574791E-3</v>
      </c>
      <c r="I26" s="387">
        <f ca="1">VLOOKUP($D26&amp;"x"&amp;I$18,VolCalculation!$B:$AQ,41,)</f>
        <v>5.9847425532581055E-3</v>
      </c>
      <c r="J26" s="375">
        <f ca="1">VLOOKUP($D26&amp;"x"&amp;J$18,VolCalculation!$B:$AQ,41,)</f>
        <v>6.3622863453775711E-3</v>
      </c>
      <c r="K26" s="375">
        <f ca="1">VLOOKUP($D26&amp;"x"&amp;K$18,VolCalculation!$B:$AQ,41,)</f>
        <v>6.7683606054131287E-3</v>
      </c>
      <c r="L26" s="375">
        <f ca="1">VLOOKUP($D26&amp;"x"&amp;L$18,VolCalculation!$B:$AQ,41,)</f>
        <v>7.0156650592418908E-3</v>
      </c>
      <c r="M26" s="375">
        <f ca="1">VLOOKUP($D26&amp;"x"&amp;M$18,VolCalculation!$B:$AQ,41,)</f>
        <v>7.2430184197317445E-3</v>
      </c>
      <c r="N26" s="387">
        <f ca="1">VLOOKUP($D26&amp;"x"&amp;N$18,VolCalculation!$B:$AQ,41,)</f>
        <v>7.4811659253270048E-3</v>
      </c>
      <c r="O26" s="375">
        <f ca="1">VLOOKUP($D26&amp;"x"&amp;O$18,VolCalculation!$B:$AQ,41,)</f>
        <v>7.7353291530045222E-3</v>
      </c>
      <c r="P26" s="387">
        <f ca="1">VLOOKUP($D26&amp;"x"&amp;P$18,VolCalculation!$B:$AQ,41,)</f>
        <v>7.7809101668794307E-3</v>
      </c>
      <c r="Q26" s="375">
        <f ca="1">VLOOKUP($D26&amp;"x"&amp;Q$18,VolCalculation!$B:$AQ,41,)</f>
        <v>7.8328989678058073E-3</v>
      </c>
      <c r="R26" s="391">
        <f ca="1">VLOOKUP($D26&amp;"x"&amp;R$18,VolCalculation!$B:$AQ,41,)</f>
        <v>7.8393693662780328E-3</v>
      </c>
      <c r="S26" s="31"/>
      <c r="U26" s="346"/>
    </row>
    <row r="27" spans="4:21">
      <c r="D27" s="35" t="s">
        <v>9</v>
      </c>
      <c r="E27" s="374">
        <f ca="1">VLOOKUP($D27&amp;"x"&amp;E$18,VolCalculation!$B:$AQ,41,)</f>
        <v>5.5352608372532305E-3</v>
      </c>
      <c r="F27" s="387">
        <f ca="1">VLOOKUP($D27&amp;"x"&amp;F$18,VolCalculation!$B:$AQ,41,)</f>
        <v>5.8726538266170008E-3</v>
      </c>
      <c r="G27" s="375">
        <f ca="1">VLOOKUP($D27&amp;"x"&amp;G$18,VolCalculation!$B:$AQ,41,)</f>
        <v>6.2432001071332692E-3</v>
      </c>
      <c r="H27" s="375">
        <f ca="1">VLOOKUP($D27&amp;"x"&amp;H$18,VolCalculation!$B:$AQ,41,)</f>
        <v>6.5268081904841643E-3</v>
      </c>
      <c r="I27" s="387">
        <f ca="1">VLOOKUP($D27&amp;"x"&amp;I$18,VolCalculation!$B:$AQ,41,)</f>
        <v>6.8470365547648451E-3</v>
      </c>
      <c r="J27" s="375">
        <f ca="1">VLOOKUP($D27&amp;"x"&amp;J$18,VolCalculation!$B:$AQ,41,)</f>
        <v>7.0811255249915309E-3</v>
      </c>
      <c r="K27" s="375">
        <f ca="1">VLOOKUP($D27&amp;"x"&amp;K$18,VolCalculation!$B:$AQ,41,)</f>
        <v>7.2652316835182789E-3</v>
      </c>
      <c r="L27" s="375">
        <f ca="1">VLOOKUP($D27&amp;"x"&amp;L$18,VolCalculation!$B:$AQ,41,)</f>
        <v>7.440433426867156E-3</v>
      </c>
      <c r="M27" s="375">
        <f ca="1">VLOOKUP($D27&amp;"x"&amp;M$18,VolCalculation!$B:$AQ,41,)</f>
        <v>7.6130171274824705E-3</v>
      </c>
      <c r="N27" s="387">
        <f ca="1">VLOOKUP($D27&amp;"x"&amp;N$18,VolCalculation!$B:$AQ,41,)</f>
        <v>7.7936904991184573E-3</v>
      </c>
      <c r="O27" s="375">
        <f ca="1">VLOOKUP($D27&amp;"x"&amp;O$18,VolCalculation!$B:$AQ,41,)</f>
        <v>7.8149603268523448E-3</v>
      </c>
      <c r="P27" s="387">
        <f ca="1">VLOOKUP($D27&amp;"x"&amp;P$18,VolCalculation!$B:$AQ,41,)</f>
        <v>7.6980176366626052E-3</v>
      </c>
      <c r="Q27" s="375">
        <f ca="1">VLOOKUP($D27&amp;"x"&amp;Q$18,VolCalculation!$B:$AQ,41,)</f>
        <v>7.7168139738027774E-3</v>
      </c>
      <c r="R27" s="391">
        <f ca="1">VLOOKUP($D27&amp;"x"&amp;R$18,VolCalculation!$B:$AQ,41,)</f>
        <v>7.6669033106764681E-3</v>
      </c>
      <c r="S27" s="31"/>
      <c r="U27" s="346"/>
    </row>
    <row r="28" spans="4:21">
      <c r="D28" s="35" t="s">
        <v>10</v>
      </c>
      <c r="E28" s="374">
        <f ca="1">VLOOKUP($D28&amp;"x"&amp;E$18,VolCalculation!$B:$AQ,41,)</f>
        <v>6.5535127428382259E-3</v>
      </c>
      <c r="F28" s="387">
        <f ca="1">VLOOKUP($D28&amp;"x"&amp;F$18,VolCalculation!$B:$AQ,41,)</f>
        <v>6.7926389543657905E-3</v>
      </c>
      <c r="G28" s="375">
        <f ca="1">VLOOKUP($D28&amp;"x"&amp;G$18,VolCalculation!$B:$AQ,41,)</f>
        <v>6.946644463351621E-3</v>
      </c>
      <c r="H28" s="375">
        <f ca="1">VLOOKUP($D28&amp;"x"&amp;H$18,VolCalculation!$B:$AQ,41,)</f>
        <v>7.1624670591156703E-3</v>
      </c>
      <c r="I28" s="387">
        <f ca="1">VLOOKUP($D28&amp;"x"&amp;I$18,VolCalculation!$B:$AQ,41,)</f>
        <v>7.4014810046053757E-3</v>
      </c>
      <c r="J28" s="375">
        <f ca="1">VLOOKUP($D28&amp;"x"&amp;J$18,VolCalculation!$B:$AQ,41,)</f>
        <v>7.5370164338000954E-3</v>
      </c>
      <c r="K28" s="375">
        <f ca="1">VLOOKUP($D28&amp;"x"&amp;K$18,VolCalculation!$B:$AQ,41,)</f>
        <v>7.6854488812897409E-3</v>
      </c>
      <c r="L28" s="375">
        <f ca="1">VLOOKUP($D28&amp;"x"&amp;L$18,VolCalculation!$B:$AQ,41,)</f>
        <v>7.8083031899410489E-3</v>
      </c>
      <c r="M28" s="375">
        <f ca="1">VLOOKUP($D28&amp;"x"&amp;M$18,VolCalculation!$B:$AQ,41,)</f>
        <v>7.9000688309000498E-3</v>
      </c>
      <c r="N28" s="387">
        <f ca="1">VLOOKUP($D28&amp;"x"&amp;N$18,VolCalculation!$B:$AQ,41,)</f>
        <v>7.9937395873876591E-3</v>
      </c>
      <c r="O28" s="375">
        <f ca="1">VLOOKUP($D28&amp;"x"&amp;O$18,VolCalculation!$B:$AQ,41,)</f>
        <v>7.7804948196905505E-3</v>
      </c>
      <c r="P28" s="387">
        <f ca="1">VLOOKUP($D28&amp;"x"&amp;P$18,VolCalculation!$B:$AQ,41,)</f>
        <v>7.6045545348996536E-3</v>
      </c>
      <c r="Q28" s="375">
        <f ca="1">VLOOKUP($D28&amp;"x"&amp;Q$18,VolCalculation!$B:$AQ,41,)</f>
        <v>7.5185890204428089E-3</v>
      </c>
      <c r="R28" s="391">
        <f ca="1">VLOOKUP($D28&amp;"x"&amp;R$18,VolCalculation!$B:$AQ,41,)</f>
        <v>7.4576468371809175E-3</v>
      </c>
      <c r="S28" s="31"/>
      <c r="U28" s="346"/>
    </row>
    <row r="29" spans="4:21">
      <c r="D29" s="35" t="s">
        <v>11</v>
      </c>
      <c r="E29" s="374">
        <f ca="1">VLOOKUP($D29&amp;"x"&amp;E$18,VolCalculation!$B:$AQ,41,)</f>
        <v>7.2725698048326497E-3</v>
      </c>
      <c r="F29" s="387">
        <f ca="1">VLOOKUP($D29&amp;"x"&amp;F$18,VolCalculation!$B:$AQ,41,)</f>
        <v>7.4306739296666618E-3</v>
      </c>
      <c r="G29" s="375">
        <f ca="1">VLOOKUP($D29&amp;"x"&amp;G$18,VolCalculation!$B:$AQ,41,)</f>
        <v>7.5648595232297991E-3</v>
      </c>
      <c r="H29" s="375">
        <f ca="1">VLOOKUP($D29&amp;"x"&amp;H$18,VolCalculation!$B:$AQ,41,)</f>
        <v>7.6788037496689889E-3</v>
      </c>
      <c r="I29" s="387">
        <f ca="1">VLOOKUP($D29&amp;"x"&amp;I$18,VolCalculation!$B:$AQ,41,)</f>
        <v>7.8176656474285514E-3</v>
      </c>
      <c r="J29" s="375">
        <f ca="1">VLOOKUP($D29&amp;"x"&amp;J$18,VolCalculation!$B:$AQ,41,)</f>
        <v>7.8951454371909754E-3</v>
      </c>
      <c r="K29" s="375">
        <f ca="1">VLOOKUP($D29&amp;"x"&amp;K$18,VolCalculation!$B:$AQ,41,)</f>
        <v>7.9696428123453636E-3</v>
      </c>
      <c r="L29" s="375">
        <f ca="1">VLOOKUP($D29&amp;"x"&amp;L$18,VolCalculation!$B:$AQ,41,)</f>
        <v>8.0176406551796201E-3</v>
      </c>
      <c r="M29" s="375">
        <f ca="1">VLOOKUP($D29&amp;"x"&amp;M$18,VolCalculation!$B:$AQ,41,)</f>
        <v>8.0575644637503174E-3</v>
      </c>
      <c r="N29" s="387">
        <f ca="1">VLOOKUP($D29&amp;"x"&amp;N$18,VolCalculation!$B:$AQ,41,)</f>
        <v>8.1237280652517105E-3</v>
      </c>
      <c r="O29" s="375">
        <f ca="1">VLOOKUP($D29&amp;"x"&amp;O$18,VolCalculation!$B:$AQ,41,)</f>
        <v>7.7274867301034625E-3</v>
      </c>
      <c r="P29" s="387">
        <f ca="1">VLOOKUP($D29&amp;"x"&amp;P$18,VolCalculation!$B:$AQ,41,)</f>
        <v>7.5133452879824142E-3</v>
      </c>
      <c r="Q29" s="375">
        <f ca="1">VLOOKUP($D29&amp;"x"&amp;Q$18,VolCalculation!$B:$AQ,41,)</f>
        <v>7.4054367556219232E-3</v>
      </c>
      <c r="R29" s="391">
        <f ca="1">VLOOKUP($D29&amp;"x"&amp;R$18,VolCalculation!$B:$AQ,41,)</f>
        <v>7.2715665764929455E-3</v>
      </c>
      <c r="S29" s="31"/>
      <c r="U29" s="346"/>
    </row>
    <row r="30" spans="4:21">
      <c r="D30" s="35" t="s">
        <v>13</v>
      </c>
      <c r="E30" s="374">
        <f ca="1">VLOOKUP($D30&amp;"x"&amp;E$18,VolCalculation!$B:$AQ,41,)</f>
        <v>7.8564152098637031E-3</v>
      </c>
      <c r="F30" s="387">
        <f ca="1">VLOOKUP($D30&amp;"x"&amp;F$18,VolCalculation!$B:$AQ,41,)</f>
        <v>8.0257978185064392E-3</v>
      </c>
      <c r="G30" s="375">
        <f ca="1">VLOOKUP($D30&amp;"x"&amp;G$18,VolCalculation!$B:$AQ,41,)</f>
        <v>8.1142525585247201E-3</v>
      </c>
      <c r="H30" s="375">
        <f ca="1">VLOOKUP($D30&amp;"x"&amp;H$18,VolCalculation!$B:$AQ,41,)</f>
        <v>8.1920048666976105E-3</v>
      </c>
      <c r="I30" s="387">
        <f ca="1">VLOOKUP($D30&amp;"x"&amp;I$18,VolCalculation!$B:$AQ,41,)</f>
        <v>8.2364846066712832E-3</v>
      </c>
      <c r="J30" s="375">
        <f ca="1">VLOOKUP($D30&amp;"x"&amp;J$18,VolCalculation!$B:$AQ,41,)</f>
        <v>8.2607880293863734E-3</v>
      </c>
      <c r="K30" s="375">
        <f ca="1">VLOOKUP($D30&amp;"x"&amp;K$18,VolCalculation!$B:$AQ,41,)</f>
        <v>8.2785484153102343E-3</v>
      </c>
      <c r="L30" s="375">
        <f ca="1">VLOOKUP($D30&amp;"x"&amp;L$18,VolCalculation!$B:$AQ,41,)</f>
        <v>8.2876083780749499E-3</v>
      </c>
      <c r="M30" s="375">
        <f ca="1">VLOOKUP($D30&amp;"x"&amp;M$18,VolCalculation!$B:$AQ,41,)</f>
        <v>8.2880612691413579E-3</v>
      </c>
      <c r="N30" s="387">
        <f ca="1">VLOOKUP($D30&amp;"x"&amp;N$18,VolCalculation!$B:$AQ,41,)</f>
        <v>8.2837455727371306E-3</v>
      </c>
      <c r="O30" s="375">
        <f ca="1">VLOOKUP($D30&amp;"x"&amp;O$18,VolCalculation!$B:$AQ,41,)</f>
        <v>7.6742686650338818E-3</v>
      </c>
      <c r="P30" s="387">
        <f ca="1">VLOOKUP($D30&amp;"x"&amp;P$18,VolCalculation!$B:$AQ,41,)</f>
        <v>7.3689726835576199E-3</v>
      </c>
      <c r="Q30" s="375">
        <f ca="1">VLOOKUP($D30&amp;"x"&amp;Q$18,VolCalculation!$B:$AQ,41,)</f>
        <v>7.1845878665579661E-3</v>
      </c>
      <c r="R30" s="391">
        <f ca="1">VLOOKUP($D30&amp;"x"&amp;R$18,VolCalculation!$B:$AQ,41,)</f>
        <v>7.0661082495686936E-3</v>
      </c>
      <c r="S30" s="31"/>
      <c r="U30" s="346"/>
    </row>
    <row r="31" spans="4:21">
      <c r="D31" s="35" t="s">
        <v>16</v>
      </c>
      <c r="E31" s="374">
        <f ca="1">VLOOKUP($D31&amp;"x"&amp;E$18,VolCalculation!$B:$AQ,41,)</f>
        <v>8.2973177037058195E-3</v>
      </c>
      <c r="F31" s="387">
        <f ca="1">VLOOKUP($D31&amp;"x"&amp;F$18,VolCalculation!$B:$AQ,41,)</f>
        <v>8.4018077407565523E-3</v>
      </c>
      <c r="G31" s="375">
        <f ca="1">VLOOKUP($D31&amp;"x"&amp;G$18,VolCalculation!$B:$AQ,41,)</f>
        <v>8.4563946474532498E-3</v>
      </c>
      <c r="H31" s="375">
        <f ca="1">VLOOKUP($D31&amp;"x"&amp;H$18,VolCalculation!$B:$AQ,41,)</f>
        <v>8.4441405925685629E-3</v>
      </c>
      <c r="I31" s="387">
        <f ca="1">VLOOKUP($D31&amp;"x"&amp;I$18,VolCalculation!$B:$AQ,41,)</f>
        <v>8.4028160456448581E-3</v>
      </c>
      <c r="J31" s="375">
        <f ca="1">VLOOKUP($D31&amp;"x"&amp;J$18,VolCalculation!$B:$AQ,41,)</f>
        <v>8.3820483496526137E-3</v>
      </c>
      <c r="K31" s="375">
        <f ca="1">VLOOKUP($D31&amp;"x"&amp;K$18,VolCalculation!$B:$AQ,41,)</f>
        <v>8.3650676527909206E-3</v>
      </c>
      <c r="L31" s="375">
        <f ca="1">VLOOKUP($D31&amp;"x"&amp;L$18,VolCalculation!$B:$AQ,41,)</f>
        <v>8.3159772495274582E-3</v>
      </c>
      <c r="M31" s="375">
        <f ca="1">VLOOKUP($D31&amp;"x"&amp;M$18,VolCalculation!$B:$AQ,41,)</f>
        <v>8.2716226050095192E-3</v>
      </c>
      <c r="N31" s="387">
        <f ca="1">VLOOKUP($D31&amp;"x"&amp;N$18,VolCalculation!$B:$AQ,41,)</f>
        <v>8.2316669228858063E-3</v>
      </c>
      <c r="O31" s="375">
        <f ca="1">VLOOKUP($D31&amp;"x"&amp;O$18,VolCalculation!$B:$AQ,41,)</f>
        <v>7.5194626526950917E-3</v>
      </c>
      <c r="P31" s="387">
        <f ca="1">VLOOKUP($D31&amp;"x"&amp;P$18,VolCalculation!$B:$AQ,41,)</f>
        <v>7.1248800651942251E-3</v>
      </c>
      <c r="Q31" s="375">
        <f ca="1">VLOOKUP($D31&amp;"x"&amp;Q$18,VolCalculation!$B:$AQ,41,)</f>
        <v>6.9321585397679941E-3</v>
      </c>
      <c r="R31" s="391">
        <f ca="1">VLOOKUP($D31&amp;"x"&amp;R$18,VolCalculation!$B:$AQ,41,)</f>
        <v>6.7255621244680791E-3</v>
      </c>
      <c r="S31" s="31"/>
    </row>
    <row r="32" spans="4:21">
      <c r="D32" s="35" t="s">
        <v>17</v>
      </c>
      <c r="E32" s="374">
        <f ca="1">VLOOKUP($D32&amp;"x"&amp;E$18,VolCalculation!$B:$AQ,41,)</f>
        <v>8.0203571191752136E-3</v>
      </c>
      <c r="F32" s="387">
        <f ca="1">VLOOKUP($D32&amp;"x"&amp;F$18,VolCalculation!$B:$AQ,41,)</f>
        <v>8.0838998876023565E-3</v>
      </c>
      <c r="G32" s="375">
        <f ca="1">VLOOKUP($D32&amp;"x"&amp;G$18,VolCalculation!$B:$AQ,41,)</f>
        <v>8.0742370125382254E-3</v>
      </c>
      <c r="H32" s="375">
        <f ca="1">VLOOKUP($D32&amp;"x"&amp;H$18,VolCalculation!$B:$AQ,41,)</f>
        <v>8.0586278115700703E-3</v>
      </c>
      <c r="I32" s="387">
        <f ca="1">VLOOKUP($D32&amp;"x"&amp;I$18,VolCalculation!$B:$AQ,41,)</f>
        <v>7.9297459748303295E-3</v>
      </c>
      <c r="J32" s="375">
        <f ca="1">VLOOKUP($D32&amp;"x"&amp;J$18,VolCalculation!$B:$AQ,41,)</f>
        <v>7.8679705281758071E-3</v>
      </c>
      <c r="K32" s="375">
        <f ca="1">VLOOKUP($D32&amp;"x"&amp;K$18,VolCalculation!$B:$AQ,41,)</f>
        <v>7.7768009971577569E-3</v>
      </c>
      <c r="L32" s="375">
        <f ca="1">VLOOKUP($D32&amp;"x"&amp;L$18,VolCalculation!$B:$AQ,41,)</f>
        <v>7.6938886725477808E-3</v>
      </c>
      <c r="M32" s="375">
        <f ca="1">VLOOKUP($D32&amp;"x"&amp;M$18,VolCalculation!$B:$AQ,41,)</f>
        <v>7.6253632794050629E-3</v>
      </c>
      <c r="N32" s="387">
        <f ca="1">VLOOKUP($D32&amp;"x"&amp;N$18,VolCalculation!$B:$AQ,41,)</f>
        <v>7.523359270540925E-3</v>
      </c>
      <c r="O32" s="375">
        <f ca="1">VLOOKUP($D32&amp;"x"&amp;O$18,VolCalculation!$B:$AQ,41,)</f>
        <v>6.8555009664783189E-3</v>
      </c>
      <c r="P32" s="387">
        <f ca="1">VLOOKUP($D32&amp;"x"&amp;P$18,VolCalculation!$B:$AQ,41,)</f>
        <v>6.427441311536373E-3</v>
      </c>
      <c r="Q32" s="375">
        <f ca="1">VLOOKUP($D32&amp;"x"&amp;Q$18,VolCalculation!$B:$AQ,41,)</f>
        <v>6.2447626043256052E-3</v>
      </c>
      <c r="R32" s="391">
        <f ca="1">VLOOKUP($D32&amp;"x"&amp;R$18,VolCalculation!$B:$AQ,41,)</f>
        <v>6.0544043755049208E-3</v>
      </c>
      <c r="S32" s="31"/>
    </row>
    <row r="33" spans="4:19">
      <c r="D33" s="35" t="s">
        <v>104</v>
      </c>
      <c r="E33" s="376">
        <f ca="1">VLOOKUP($D33&amp;"x"&amp;E$18,VolCalculation!$B:$AQ,41,)</f>
        <v>7.2681910627523704E-3</v>
      </c>
      <c r="F33" s="388">
        <f ca="1">VLOOKUP($D33&amp;"x"&amp;F$18,VolCalculation!$B:$AQ,41,)</f>
        <v>7.3150517662781992E-3</v>
      </c>
      <c r="G33" s="377">
        <f ca="1">VLOOKUP($D33&amp;"x"&amp;G$18,VolCalculation!$B:$AQ,41,)</f>
        <v>7.2096019351361321E-3</v>
      </c>
      <c r="H33" s="377">
        <f ca="1">VLOOKUP($D33&amp;"x"&amp;H$18,VolCalculation!$B:$AQ,41,)</f>
        <v>7.1139116458734187E-3</v>
      </c>
      <c r="I33" s="388">
        <f ca="1">VLOOKUP($D33&amp;"x"&amp;I$18,VolCalculation!$B:$AQ,41,)</f>
        <v>7.0024339200626942E-3</v>
      </c>
      <c r="J33" s="377">
        <f ca="1">VLOOKUP($D33&amp;"x"&amp;J$18,VolCalculation!$B:$AQ,41,)</f>
        <v>6.9485715752840025E-3</v>
      </c>
      <c r="K33" s="377">
        <f ca="1">VLOOKUP($D33&amp;"x"&amp;K$18,VolCalculation!$B:$AQ,41,)</f>
        <v>6.888023178616599E-3</v>
      </c>
      <c r="L33" s="377">
        <f ca="1">VLOOKUP($D33&amp;"x"&amp;L$18,VolCalculation!$B:$AQ,41,)</f>
        <v>6.8242100349881485E-3</v>
      </c>
      <c r="M33" s="377">
        <f ca="1">VLOOKUP($D33&amp;"x"&amp;M$18,VolCalculation!$B:$AQ,41,)</f>
        <v>6.7614354355940761E-3</v>
      </c>
      <c r="N33" s="388">
        <f ca="1">VLOOKUP($D33&amp;"x"&amp;N$18,VolCalculation!$B:$AQ,41,)</f>
        <v>6.7267229738976267E-3</v>
      </c>
      <c r="O33" s="377">
        <f ca="1">VLOOKUP($D33&amp;"x"&amp;O$18,VolCalculation!$B:$AQ,41,)</f>
        <v>6.2064280993700286E-3</v>
      </c>
      <c r="P33" s="388">
        <f ca="1">VLOOKUP($D33&amp;"x"&amp;P$18,VolCalculation!$B:$AQ,41,)</f>
        <v>5.7798221520133451E-3</v>
      </c>
      <c r="Q33" s="377">
        <f ca="1">VLOOKUP($D33&amp;"x"&amp;Q$18,VolCalculation!$B:$AQ,41,)</f>
        <v>5.5498841265355014E-3</v>
      </c>
      <c r="R33" s="392">
        <f ca="1">VLOOKUP($D33&amp;"x"&amp;R$18,VolCalculation!$B:$AQ,41,)</f>
        <v>5.3728018969693755E-3</v>
      </c>
      <c r="S33" s="31"/>
    </row>
    <row r="34" spans="4:19">
      <c r="S34" s="31"/>
    </row>
    <row r="35" spans="4:19"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</row>
    <row r="36" spans="4:19">
      <c r="D36" s="52" t="s">
        <v>1757</v>
      </c>
      <c r="S36" s="31"/>
    </row>
    <row r="37" spans="4:19">
      <c r="D37" s="31"/>
      <c r="E37" s="31"/>
      <c r="F37" s="31"/>
    </row>
    <row r="38" spans="4:19">
      <c r="D38" s="5" t="s">
        <v>107</v>
      </c>
      <c r="E38" s="37"/>
      <c r="F38" s="38" t="str">
        <f ca="1">_xll.qlSwaptionVTSMatrix(F40,F41,F42,D53:D67,F52:R52,F53:R67,F46,F47,F48,F49)</f>
        <v>EUR-ATM-Swaption-Surface-LVol#0001</v>
      </c>
    </row>
    <row r="39" spans="4:19">
      <c r="D39" s="7" t="s">
        <v>5</v>
      </c>
      <c r="E39" s="39"/>
      <c r="F39" s="40" t="str">
        <f ca="1">_xll.ohRangeRetrieveError(F38)</f>
        <v/>
      </c>
    </row>
    <row r="40" spans="4:19">
      <c r="D40" s="8" t="s">
        <v>2</v>
      </c>
      <c r="E40" s="41"/>
      <c r="F40" s="42" t="s">
        <v>1758</v>
      </c>
    </row>
    <row r="41" spans="4:19">
      <c r="D41" s="10" t="s">
        <v>3</v>
      </c>
      <c r="E41" s="23"/>
      <c r="F41" s="22" t="s">
        <v>24</v>
      </c>
    </row>
    <row r="42" spans="4:19">
      <c r="D42" s="10" t="s">
        <v>108</v>
      </c>
      <c r="E42" s="23"/>
      <c r="F42" s="22" t="s">
        <v>21</v>
      </c>
    </row>
    <row r="43" spans="4:19">
      <c r="D43" s="10" t="s">
        <v>109</v>
      </c>
      <c r="E43" s="43"/>
      <c r="F43" s="44"/>
    </row>
    <row r="44" spans="4:19">
      <c r="D44" s="10" t="s">
        <v>103</v>
      </c>
      <c r="E44" s="43"/>
      <c r="F44" s="44"/>
    </row>
    <row r="45" spans="4:19">
      <c r="D45" s="10" t="s">
        <v>110</v>
      </c>
      <c r="E45" s="43"/>
      <c r="F45" s="44"/>
    </row>
    <row r="46" spans="4:19">
      <c r="D46" s="10" t="s">
        <v>28</v>
      </c>
      <c r="E46" s="23"/>
      <c r="F46" s="22" t="s">
        <v>111</v>
      </c>
    </row>
    <row r="47" spans="4:19">
      <c r="D47" s="10" t="s">
        <v>30</v>
      </c>
      <c r="E47" s="23"/>
      <c r="F47" s="22"/>
    </row>
    <row r="48" spans="4:19">
      <c r="D48" s="10" t="s">
        <v>32</v>
      </c>
      <c r="E48" s="23"/>
      <c r="F48" s="22"/>
    </row>
    <row r="49" spans="4:19">
      <c r="D49" s="14" t="s">
        <v>34</v>
      </c>
      <c r="E49" s="45"/>
      <c r="F49" s="46"/>
    </row>
    <row r="51" spans="4:19">
      <c r="S51" s="31"/>
    </row>
    <row r="52" spans="4:19">
      <c r="D52" s="378" t="s">
        <v>1756</v>
      </c>
      <c r="E52" s="32" t="s">
        <v>7</v>
      </c>
      <c r="F52" s="385" t="s">
        <v>8</v>
      </c>
      <c r="G52" s="33" t="s">
        <v>9</v>
      </c>
      <c r="H52" s="33" t="s">
        <v>10</v>
      </c>
      <c r="I52" s="385" t="s">
        <v>11</v>
      </c>
      <c r="J52" s="33" t="s">
        <v>12</v>
      </c>
      <c r="K52" s="33" t="s">
        <v>13</v>
      </c>
      <c r="L52" s="33" t="s">
        <v>14</v>
      </c>
      <c r="M52" s="33" t="s">
        <v>15</v>
      </c>
      <c r="N52" s="385" t="s">
        <v>16</v>
      </c>
      <c r="O52" s="33" t="s">
        <v>17</v>
      </c>
      <c r="P52" s="385" t="s">
        <v>104</v>
      </c>
      <c r="Q52" s="33" t="s">
        <v>105</v>
      </c>
      <c r="R52" s="389" t="s">
        <v>106</v>
      </c>
      <c r="S52" s="31"/>
    </row>
    <row r="53" spans="4:19">
      <c r="D53" s="34" t="s">
        <v>23</v>
      </c>
      <c r="E53" s="379" t="e">
        <f ca="1">VLOOKUP($D53&amp;"x"&amp;E$18,VolCalculation!$B:$AQ,42,)</f>
        <v>#NUM!</v>
      </c>
      <c r="F53" s="393">
        <f ca="1">VLOOKUP($D53&amp;"x"&amp;F$18,VolCalculation!$B:$AQ,42,)</f>
        <v>1.9819171871029591</v>
      </c>
      <c r="G53" s="380">
        <f ca="1">VLOOKUP($D53&amp;"x"&amp;G$18,VolCalculation!$B:$AQ,42,)</f>
        <v>1.3029430969501614</v>
      </c>
      <c r="H53" s="380">
        <f ca="1">VLOOKUP($D53&amp;"x"&amp;H$18,VolCalculation!$B:$AQ,42,)</f>
        <v>1.1591147808150954</v>
      </c>
      <c r="I53" s="393">
        <f ca="1">VLOOKUP($D53&amp;"x"&amp;I$18,VolCalculation!$B:$AQ,42,)</f>
        <v>0.99100391778736352</v>
      </c>
      <c r="J53" s="380">
        <f ca="1">VLOOKUP($D53&amp;"x"&amp;J$18,VolCalculation!$B:$AQ,42,)</f>
        <v>0.85847246796135224</v>
      </c>
      <c r="K53" s="380">
        <f ca="1">VLOOKUP($D53&amp;"x"&amp;K$18,VolCalculation!$B:$AQ,42,)</f>
        <v>0.79884314622097696</v>
      </c>
      <c r="L53" s="380">
        <f ca="1">VLOOKUP($D53&amp;"x"&amp;L$18,VolCalculation!$B:$AQ,42,)</f>
        <v>0.75439802446600146</v>
      </c>
      <c r="M53" s="380">
        <f ca="1">VLOOKUP($D53&amp;"x"&amp;M$18,VolCalculation!$B:$AQ,42,)</f>
        <v>0.72269883866221851</v>
      </c>
      <c r="N53" s="393">
        <f ca="1">VLOOKUP($D53&amp;"x"&amp;N$18,VolCalculation!$B:$AQ,42,)</f>
        <v>0.6901614714467702</v>
      </c>
      <c r="O53" s="380">
        <f ca="1">VLOOKUP($D53&amp;"x"&amp;O$18,VolCalculation!$B:$AQ,42,)</f>
        <v>0.58048886221712703</v>
      </c>
      <c r="P53" s="393">
        <f ca="1">VLOOKUP($D53&amp;"x"&amp;P$18,VolCalculation!$B:$AQ,42,)</f>
        <v>0.56551626264586008</v>
      </c>
      <c r="Q53" s="380">
        <f ca="1">VLOOKUP($D53&amp;"x"&amp;Q$18,VolCalculation!$B:$AQ,42,)</f>
        <v>0.5816497528346638</v>
      </c>
      <c r="R53" s="396">
        <f ca="1">VLOOKUP($D53&amp;"x"&amp;R$18,VolCalculation!$B:$AQ,42,)</f>
        <v>0.59056858969867299</v>
      </c>
      <c r="S53" s="31"/>
    </row>
    <row r="54" spans="4:19">
      <c r="D54" s="35" t="s">
        <v>398</v>
      </c>
      <c r="E54" s="381" t="e">
        <f ca="1">VLOOKUP($D54&amp;"x"&amp;E$18,VolCalculation!$B:$AQ,42,)</f>
        <v>#NUM!</v>
      </c>
      <c r="F54" s="394">
        <f ca="1">VLOOKUP($D54&amp;"x"&amp;F$18,VolCalculation!$B:$AQ,42,)</f>
        <v>1.7616008903188649</v>
      </c>
      <c r="G54" s="382">
        <f ca="1">VLOOKUP($D54&amp;"x"&amp;G$18,VolCalculation!$B:$AQ,42,)</f>
        <v>1.2570607653313191</v>
      </c>
      <c r="H54" s="382">
        <f ca="1">VLOOKUP($D54&amp;"x"&amp;H$18,VolCalculation!$B:$AQ,42,)</f>
        <v>1.1475590000546219</v>
      </c>
      <c r="I54" s="394">
        <f ca="1">VLOOKUP($D54&amp;"x"&amp;I$18,VolCalculation!$B:$AQ,42,)</f>
        <v>0.96477753846466119</v>
      </c>
      <c r="J54" s="382">
        <f ca="1">VLOOKUP($D54&amp;"x"&amp;J$18,VolCalculation!$B:$AQ,42,)</f>
        <v>0.85409543469925364</v>
      </c>
      <c r="K54" s="382">
        <f ca="1">VLOOKUP($D54&amp;"x"&amp;K$18,VolCalculation!$B:$AQ,42,)</f>
        <v>0.78923655904185541</v>
      </c>
      <c r="L54" s="382">
        <f ca="1">VLOOKUP($D54&amp;"x"&amp;L$18,VolCalculation!$B:$AQ,42,)</f>
        <v>0.73377497448519813</v>
      </c>
      <c r="M54" s="382">
        <f ca="1">VLOOKUP($D54&amp;"x"&amp;M$18,VolCalculation!$B:$AQ,42,)</f>
        <v>0.71254497553088403</v>
      </c>
      <c r="N54" s="394">
        <f ca="1">VLOOKUP($D54&amp;"x"&amp;N$18,VolCalculation!$B:$AQ,42,)</f>
        <v>0.67944674343587985</v>
      </c>
      <c r="O54" s="382">
        <f ca="1">VLOOKUP($D54&amp;"x"&amp;O$18,VolCalculation!$B:$AQ,42,)</f>
        <v>0.5770191811902089</v>
      </c>
      <c r="P54" s="394">
        <f ca="1">VLOOKUP($D54&amp;"x"&amp;P$18,VolCalculation!$B:$AQ,42,)</f>
        <v>0.55650537898165642</v>
      </c>
      <c r="Q54" s="382">
        <f ca="1">VLOOKUP($D54&amp;"x"&amp;Q$18,VolCalculation!$B:$AQ,42,)</f>
        <v>0.56719219492563167</v>
      </c>
      <c r="R54" s="397">
        <f ca="1">VLOOKUP($D54&amp;"x"&amp;R$18,VolCalculation!$B:$AQ,42,)</f>
        <v>0.57248415776956019</v>
      </c>
      <c r="S54" s="31"/>
    </row>
    <row r="55" spans="4:19">
      <c r="D55" s="35" t="s">
        <v>26</v>
      </c>
      <c r="E55" s="381" t="e">
        <f ca="1">VLOOKUP($D55&amp;"x"&amp;E$18,VolCalculation!$B:$AQ,42,)</f>
        <v>#NUM!</v>
      </c>
      <c r="F55" s="394">
        <f ca="1">VLOOKUP($D55&amp;"x"&amp;F$18,VolCalculation!$B:$AQ,42,)</f>
        <v>1.5611250109015944</v>
      </c>
      <c r="G55" s="382">
        <f ca="1">VLOOKUP($D55&amp;"x"&amp;G$18,VolCalculation!$B:$AQ,42,)</f>
        <v>1.1977488982798166</v>
      </c>
      <c r="H55" s="382">
        <f ca="1">VLOOKUP($D55&amp;"x"&amp;H$18,VolCalculation!$B:$AQ,42,)</f>
        <v>1.0791990903950635</v>
      </c>
      <c r="I55" s="394">
        <f ca="1">VLOOKUP($D55&amp;"x"&amp;I$18,VolCalculation!$B:$AQ,42,)</f>
        <v>0.93615289068820406</v>
      </c>
      <c r="J55" s="382">
        <f ca="1">VLOOKUP($D55&amp;"x"&amp;J$18,VolCalculation!$B:$AQ,42,)</f>
        <v>0.8352731797943117</v>
      </c>
      <c r="K55" s="382">
        <f ca="1">VLOOKUP($D55&amp;"x"&amp;K$18,VolCalculation!$B:$AQ,42,)</f>
        <v>0.77700756335897758</v>
      </c>
      <c r="L55" s="382">
        <f ca="1">VLOOKUP($D55&amp;"x"&amp;L$18,VolCalculation!$B:$AQ,42,)</f>
        <v>0.72361318564589761</v>
      </c>
      <c r="M55" s="382">
        <f ca="1">VLOOKUP($D55&amp;"x"&amp;M$18,VolCalculation!$B:$AQ,42,)</f>
        <v>0.69762342534561417</v>
      </c>
      <c r="N55" s="394">
        <f ca="1">VLOOKUP($D55&amp;"x"&amp;N$18,VolCalculation!$B:$AQ,42,)</f>
        <v>0.67205383431765497</v>
      </c>
      <c r="O55" s="382">
        <f ca="1">VLOOKUP($D55&amp;"x"&amp;O$18,VolCalculation!$B:$AQ,42,)</f>
        <v>0.57016028459737955</v>
      </c>
      <c r="P55" s="394">
        <f ca="1">VLOOKUP($D55&amp;"x"&amp;P$18,VolCalculation!$B:$AQ,42,)</f>
        <v>0.54467581583363889</v>
      </c>
      <c r="Q55" s="382">
        <f ca="1">VLOOKUP($D55&amp;"x"&amp;Q$18,VolCalculation!$B:$AQ,42,)</f>
        <v>0.54699428014805784</v>
      </c>
      <c r="R55" s="397">
        <f ca="1">VLOOKUP($D55&amp;"x"&amp;R$18,VolCalculation!$B:$AQ,42,)</f>
        <v>0.5485928282778596</v>
      </c>
      <c r="S55" s="31"/>
    </row>
    <row r="56" spans="4:19">
      <c r="D56" s="35" t="s">
        <v>19</v>
      </c>
      <c r="E56" s="381" t="e">
        <f ca="1">VLOOKUP($D56&amp;"x"&amp;E$18,VolCalculation!$B:$AQ,42,)</f>
        <v>#NUM!</v>
      </c>
      <c r="F56" s="394">
        <f ca="1">VLOOKUP($D56&amp;"x"&amp;F$18,VolCalculation!$B:$AQ,42,)</f>
        <v>1.6417922683726029</v>
      </c>
      <c r="G56" s="382">
        <f ca="1">VLOOKUP($D56&amp;"x"&amp;G$18,VolCalculation!$B:$AQ,42,)</f>
        <v>1.2294783316367826</v>
      </c>
      <c r="H56" s="382">
        <f ca="1">VLOOKUP($D56&amp;"x"&amp;H$18,VolCalculation!$B:$AQ,42,)</f>
        <v>1.0246327743947754</v>
      </c>
      <c r="I56" s="394">
        <f ca="1">VLOOKUP($D56&amp;"x"&amp;I$18,VolCalculation!$B:$AQ,42,)</f>
        <v>0.89446134657084997</v>
      </c>
      <c r="J56" s="382">
        <f ca="1">VLOOKUP($D56&amp;"x"&amp;J$18,VolCalculation!$B:$AQ,42,)</f>
        <v>0.80337773712399729</v>
      </c>
      <c r="K56" s="382">
        <f ca="1">VLOOKUP($D56&amp;"x"&amp;K$18,VolCalculation!$B:$AQ,42,)</f>
        <v>0.74311574068604214</v>
      </c>
      <c r="L56" s="382">
        <f ca="1">VLOOKUP($D56&amp;"x"&amp;L$18,VolCalculation!$B:$AQ,42,)</f>
        <v>0.68882697558303563</v>
      </c>
      <c r="M56" s="382">
        <f ca="1">VLOOKUP($D56&amp;"x"&amp;M$18,VolCalculation!$B:$AQ,42,)</f>
        <v>0.6625170111050227</v>
      </c>
      <c r="N56" s="394">
        <f ca="1">VLOOKUP($D56&amp;"x"&amp;N$18,VolCalculation!$B:$AQ,42,)</f>
        <v>0.64383058818651162</v>
      </c>
      <c r="O56" s="382">
        <f ca="1">VLOOKUP($D56&amp;"x"&amp;O$18,VolCalculation!$B:$AQ,42,)</f>
        <v>0.54158020606253943</v>
      </c>
      <c r="P56" s="394">
        <f ca="1">VLOOKUP($D56&amp;"x"&amp;P$18,VolCalculation!$B:$AQ,42,)</f>
        <v>0.51913971490364352</v>
      </c>
      <c r="Q56" s="382">
        <f ca="1">VLOOKUP($D56&amp;"x"&amp;Q$18,VolCalculation!$B:$AQ,42,)</f>
        <v>0.52189537490186932</v>
      </c>
      <c r="R56" s="397">
        <f ca="1">VLOOKUP($D56&amp;"x"&amp;R$18,VolCalculation!$B:$AQ,42,)</f>
        <v>0.52274192625916405</v>
      </c>
      <c r="S56" s="31"/>
    </row>
    <row r="57" spans="4:19">
      <c r="D57" s="35" t="s">
        <v>412</v>
      </c>
      <c r="E57" s="381" t="e">
        <f ca="1">VLOOKUP($D57&amp;"x"&amp;E$18,VolCalculation!$B:$AQ,42,)</f>
        <v>#NUM!</v>
      </c>
      <c r="F57" s="394">
        <f ca="1">VLOOKUP($D57&amp;"x"&amp;F$18,VolCalculation!$B:$AQ,42,)</f>
        <v>1.6781775331444049</v>
      </c>
      <c r="G57" s="382">
        <f ca="1">VLOOKUP($D57&amp;"x"&amp;G$18,VolCalculation!$B:$AQ,42,)</f>
        <v>1.2069085030166935</v>
      </c>
      <c r="H57" s="382">
        <f ca="1">VLOOKUP($D57&amp;"x"&amp;H$18,VolCalculation!$B:$AQ,42,)</f>
        <v>0.99033943274984237</v>
      </c>
      <c r="I57" s="394">
        <f ca="1">VLOOKUP($D57&amp;"x"&amp;I$18,VolCalculation!$B:$AQ,42,)</f>
        <v>0.86160055533377178</v>
      </c>
      <c r="J57" s="382">
        <f ca="1">VLOOKUP($D57&amp;"x"&amp;J$18,VolCalculation!$B:$AQ,42,)</f>
        <v>0.76730217895306585</v>
      </c>
      <c r="K57" s="382">
        <f ca="1">VLOOKUP($D57&amp;"x"&amp;K$18,VolCalculation!$B:$AQ,42,)</f>
        <v>0.70614262813179729</v>
      </c>
      <c r="L57" s="382">
        <f ca="1">VLOOKUP($D57&amp;"x"&amp;L$18,VolCalculation!$B:$AQ,42,)</f>
        <v>0.65971605155213742</v>
      </c>
      <c r="M57" s="382">
        <f ca="1">VLOOKUP($D57&amp;"x"&amp;M$18,VolCalculation!$B:$AQ,42,)</f>
        <v>0.63820061731332844</v>
      </c>
      <c r="N57" s="394">
        <f ca="1">VLOOKUP($D57&amp;"x"&amp;N$18,VolCalculation!$B:$AQ,42,)</f>
        <v>0.62315386200570277</v>
      </c>
      <c r="O57" s="382">
        <f ca="1">VLOOKUP($D57&amp;"x"&amp;O$18,VolCalculation!$B:$AQ,42,)</f>
        <v>0.52677746084868327</v>
      </c>
      <c r="P57" s="394">
        <f ca="1">VLOOKUP($D57&amp;"x"&amp;P$18,VolCalculation!$B:$AQ,42,)</f>
        <v>0.50511289175807317</v>
      </c>
      <c r="Q57" s="382">
        <f ca="1">VLOOKUP($D57&amp;"x"&amp;Q$18,VolCalculation!$B:$AQ,42,)</f>
        <v>0.50857071946399257</v>
      </c>
      <c r="R57" s="397">
        <f ca="1">VLOOKUP($D57&amp;"x"&amp;R$18,VolCalculation!$B:$AQ,42,)</f>
        <v>0.51080147583016611</v>
      </c>
      <c r="S57" s="31"/>
    </row>
    <row r="58" spans="4:19">
      <c r="D58" s="35" t="s">
        <v>7</v>
      </c>
      <c r="E58" s="381" t="e">
        <f ca="1">VLOOKUP($D58&amp;"x"&amp;E$18,VolCalculation!$B:$AQ,42,)</f>
        <v>#NUM!</v>
      </c>
      <c r="F58" s="394">
        <f ca="1">VLOOKUP($D58&amp;"x"&amp;F$18,VolCalculation!$B:$AQ,42,)</f>
        <v>1.6150979003097394</v>
      </c>
      <c r="G58" s="382">
        <f ca="1">VLOOKUP($D58&amp;"x"&amp;G$18,VolCalculation!$B:$AQ,42,)</f>
        <v>1.1711381133111931</v>
      </c>
      <c r="H58" s="382">
        <f ca="1">VLOOKUP($D58&amp;"x"&amp;H$18,VolCalculation!$B:$AQ,42,)</f>
        <v>0.98009027934065474</v>
      </c>
      <c r="I58" s="394">
        <f ca="1">VLOOKUP($D58&amp;"x"&amp;I$18,VolCalculation!$B:$AQ,42,)</f>
        <v>0.83966423663118794</v>
      </c>
      <c r="J58" s="382">
        <f ca="1">VLOOKUP($D58&amp;"x"&amp;J$18,VolCalculation!$B:$AQ,42,)</f>
        <v>0.7513190933961279</v>
      </c>
      <c r="K58" s="382">
        <f ca="1">VLOOKUP($D58&amp;"x"&amp;K$18,VolCalculation!$B:$AQ,42,)</f>
        <v>0.69480715128570814</v>
      </c>
      <c r="L58" s="382">
        <f ca="1">VLOOKUP($D58&amp;"x"&amp;L$18,VolCalculation!$B:$AQ,42,)</f>
        <v>0.65134179176054496</v>
      </c>
      <c r="M58" s="382">
        <f ca="1">VLOOKUP($D58&amp;"x"&amp;M$18,VolCalculation!$B:$AQ,42,)</f>
        <v>0.62182914186116767</v>
      </c>
      <c r="N58" s="394">
        <f ca="1">VLOOKUP($D58&amp;"x"&amp;N$18,VolCalculation!$B:$AQ,42,)</f>
        <v>0.60237556275823612</v>
      </c>
      <c r="O58" s="382">
        <f ca="1">VLOOKUP($D58&amp;"x"&amp;O$18,VolCalculation!$B:$AQ,42,)</f>
        <v>0.52257647033655674</v>
      </c>
      <c r="P58" s="394">
        <f ca="1">VLOOKUP($D58&amp;"x"&amp;P$18,VolCalculation!$B:$AQ,42,)</f>
        <v>0.49823198067422109</v>
      </c>
      <c r="Q58" s="382">
        <f ca="1">VLOOKUP($D58&amp;"x"&amp;Q$18,VolCalculation!$B:$AQ,42,)</f>
        <v>0.49994991431735425</v>
      </c>
      <c r="R58" s="397">
        <f ca="1">VLOOKUP($D58&amp;"x"&amp;R$18,VolCalculation!$B:$AQ,42,)</f>
        <v>0.5013052415377357</v>
      </c>
      <c r="S58" s="31"/>
    </row>
    <row r="59" spans="4:19">
      <c r="D59" s="35" t="s">
        <v>154</v>
      </c>
      <c r="E59" s="381" t="e">
        <f ca="1">VLOOKUP($D59&amp;"x"&amp;E$18,VolCalculation!$B:$AQ,42,)</f>
        <v>#NUM!</v>
      </c>
      <c r="F59" s="394">
        <f ca="1">VLOOKUP($D59&amp;"x"&amp;F$18,VolCalculation!$B:$AQ,42,)</f>
        <v>1.4060103452922523</v>
      </c>
      <c r="G59" s="382">
        <f ca="1">VLOOKUP($D59&amp;"x"&amp;G$18,VolCalculation!$B:$AQ,42,)</f>
        <v>1.0947118167513799</v>
      </c>
      <c r="H59" s="382">
        <f ca="1">VLOOKUP($D59&amp;"x"&amp;H$18,VolCalculation!$B:$AQ,42,)</f>
        <v>0.90034250460927012</v>
      </c>
      <c r="I59" s="394">
        <f ca="1">VLOOKUP($D59&amp;"x"&amp;I$18,VolCalculation!$B:$AQ,42,)</f>
        <v>0.7843547560271763</v>
      </c>
      <c r="J59" s="382">
        <f ca="1">VLOOKUP($D59&amp;"x"&amp;J$18,VolCalculation!$B:$AQ,42,)</f>
        <v>0.70934514744098809</v>
      </c>
      <c r="K59" s="382">
        <f ca="1">VLOOKUP($D59&amp;"x"&amp;K$18,VolCalculation!$B:$AQ,42,)</f>
        <v>0.65104624441393688</v>
      </c>
      <c r="L59" s="382">
        <f ca="1">VLOOKUP($D59&amp;"x"&amp;L$18,VolCalculation!$B:$AQ,42,)</f>
        <v>0.61478578159036246</v>
      </c>
      <c r="M59" s="382">
        <f ca="1">VLOOKUP($D59&amp;"x"&amp;M$18,VolCalculation!$B:$AQ,42,)</f>
        <v>0.59033684893892191</v>
      </c>
      <c r="N59" s="394">
        <f ca="1">VLOOKUP($D59&amp;"x"&amp;N$18,VolCalculation!$B:$AQ,42,)</f>
        <v>0.57687377695788267</v>
      </c>
      <c r="O59" s="382">
        <f ca="1">VLOOKUP($D59&amp;"x"&amp;O$18,VolCalculation!$B:$AQ,42,)</f>
        <v>0.50575867080324821</v>
      </c>
      <c r="P59" s="394">
        <f ca="1">VLOOKUP($D59&amp;"x"&amp;P$18,VolCalculation!$B:$AQ,42,)</f>
        <v>0.48462259421519888</v>
      </c>
      <c r="Q59" s="382">
        <f ca="1">VLOOKUP($D59&amp;"x"&amp;Q$18,VolCalculation!$B:$AQ,42,)</f>
        <v>0.48928939514179109</v>
      </c>
      <c r="R59" s="397">
        <f ca="1">VLOOKUP($D59&amp;"x"&amp;R$18,VolCalculation!$B:$AQ,42,)</f>
        <v>0.48870815554863878</v>
      </c>
      <c r="S59" s="31"/>
    </row>
    <row r="60" spans="4:19">
      <c r="D60" s="35" t="s">
        <v>8</v>
      </c>
      <c r="E60" s="381" t="e">
        <f ca="1">VLOOKUP($D60&amp;"x"&amp;E$18,VolCalculation!$B:$AQ,42,)</f>
        <v>#NUM!</v>
      </c>
      <c r="F60" s="394">
        <f ca="1">VLOOKUP($D60&amp;"x"&amp;F$18,VolCalculation!$B:$AQ,42,)</f>
        <v>1.2127980358273802</v>
      </c>
      <c r="G60" s="382">
        <f ca="1">VLOOKUP($D60&amp;"x"&amp;G$18,VolCalculation!$B:$AQ,42,)</f>
        <v>0.98456755446000654</v>
      </c>
      <c r="H60" s="382">
        <f ca="1">VLOOKUP($D60&amp;"x"&amp;H$18,VolCalculation!$B:$AQ,42,)</f>
        <v>0.8203829232293568</v>
      </c>
      <c r="I60" s="394">
        <f ca="1">VLOOKUP($D60&amp;"x"&amp;I$18,VolCalculation!$B:$AQ,42,)</f>
        <v>0.7271521368234507</v>
      </c>
      <c r="J60" s="382">
        <f ca="1">VLOOKUP($D60&amp;"x"&amp;J$18,VolCalculation!$B:$AQ,42,)</f>
        <v>0.66051473958636864</v>
      </c>
      <c r="K60" s="382">
        <f ca="1">VLOOKUP($D60&amp;"x"&amp;K$18,VolCalculation!$B:$AQ,42,)</f>
        <v>0.62266780846614844</v>
      </c>
      <c r="L60" s="382">
        <f ca="1">VLOOKUP($D60&amp;"x"&amp;L$18,VolCalculation!$B:$AQ,42,)</f>
        <v>0.58877860617253763</v>
      </c>
      <c r="M60" s="382">
        <f ca="1">VLOOKUP($D60&amp;"x"&amp;M$18,VolCalculation!$B:$AQ,42,)</f>
        <v>0.56400377052638884</v>
      </c>
      <c r="N60" s="394">
        <f ca="1">VLOOKUP($D60&amp;"x"&amp;N$18,VolCalculation!$B:$AQ,42,)</f>
        <v>0.54883584750861369</v>
      </c>
      <c r="O60" s="382">
        <f ca="1">VLOOKUP($D60&amp;"x"&amp;O$18,VolCalculation!$B:$AQ,42,)</f>
        <v>0.48576391044061673</v>
      </c>
      <c r="P60" s="394">
        <f ca="1">VLOOKUP($D60&amp;"x"&amp;P$18,VolCalculation!$B:$AQ,42,)</f>
        <v>0.47147407961945398</v>
      </c>
      <c r="Q60" s="382">
        <f ca="1">VLOOKUP($D60&amp;"x"&amp;Q$18,VolCalculation!$B:$AQ,42,)</f>
        <v>0.47808956139793785</v>
      </c>
      <c r="R60" s="397">
        <f ca="1">VLOOKUP($D60&amp;"x"&amp;R$18,VolCalculation!$B:$AQ,42,)</f>
        <v>0.48034381865014508</v>
      </c>
      <c r="S60" s="31"/>
    </row>
    <row r="61" spans="4:19">
      <c r="D61" s="35" t="s">
        <v>9</v>
      </c>
      <c r="E61" s="381">
        <f ca="1">VLOOKUP($D61&amp;"x"&amp;E$18,VolCalculation!$B:$AQ,42,)</f>
        <v>1.7391532331238999</v>
      </c>
      <c r="F61" s="394">
        <f ca="1">VLOOKUP($D61&amp;"x"&amp;F$18,VolCalculation!$B:$AQ,42,)</f>
        <v>0.9405594184231002</v>
      </c>
      <c r="G61" s="382">
        <f ca="1">VLOOKUP($D61&amp;"x"&amp;G$18,VolCalculation!$B:$AQ,42,)</f>
        <v>0.79053615160282575</v>
      </c>
      <c r="H61" s="382">
        <f ca="1">VLOOKUP($D61&amp;"x"&amp;H$18,VolCalculation!$B:$AQ,42,)</f>
        <v>0.6888309705823028</v>
      </c>
      <c r="I61" s="394">
        <f ca="1">VLOOKUP($D61&amp;"x"&amp;I$18,VolCalculation!$B:$AQ,42,)</f>
        <v>0.6286973079326289</v>
      </c>
      <c r="J61" s="382">
        <f ca="1">VLOOKUP($D61&amp;"x"&amp;J$18,VolCalculation!$B:$AQ,42,)</f>
        <v>0.58377171432293029</v>
      </c>
      <c r="K61" s="382">
        <f ca="1">VLOOKUP($D61&amp;"x"&amp;K$18,VolCalculation!$B:$AQ,42,)</f>
        <v>0.55282038945784084</v>
      </c>
      <c r="L61" s="382">
        <f ca="1">VLOOKUP($D61&amp;"x"&amp;L$18,VolCalculation!$B:$AQ,42,)</f>
        <v>0.53031077898628909</v>
      </c>
      <c r="M61" s="382">
        <f ca="1">VLOOKUP($D61&amp;"x"&amp;M$18,VolCalculation!$B:$AQ,42,)</f>
        <v>0.51522201976917903</v>
      </c>
      <c r="N61" s="394">
        <f ca="1">VLOOKUP($D61&amp;"x"&amp;N$18,VolCalculation!$B:$AQ,42,)</f>
        <v>0.5071061104325395</v>
      </c>
      <c r="O61" s="382">
        <f ca="1">VLOOKUP($D61&amp;"x"&amp;O$18,VolCalculation!$B:$AQ,42,)</f>
        <v>0.45940094138853271</v>
      </c>
      <c r="P61" s="394">
        <f ca="1">VLOOKUP($D61&amp;"x"&amp;P$18,VolCalculation!$B:$AQ,42,)</f>
        <v>0.44814497018960969</v>
      </c>
      <c r="Q61" s="382">
        <f ca="1">VLOOKUP($D61&amp;"x"&amp;Q$18,VolCalculation!$B:$AQ,42,)</f>
        <v>0.45677434537181738</v>
      </c>
      <c r="R61" s="397">
        <f ca="1">VLOOKUP($D61&amp;"x"&amp;R$18,VolCalculation!$B:$AQ,42,)</f>
        <v>0.45706050365713657</v>
      </c>
      <c r="S61" s="31"/>
    </row>
    <row r="62" spans="4:19">
      <c r="D62" s="35" t="s">
        <v>10</v>
      </c>
      <c r="E62" s="381">
        <f ca="1">VLOOKUP($D62&amp;"x"&amp;E$18,VolCalculation!$B:$AQ,42,)</f>
        <v>1.0953611628854911</v>
      </c>
      <c r="F62" s="394">
        <f ca="1">VLOOKUP($D62&amp;"x"&amp;F$18,VolCalculation!$B:$AQ,42,)</f>
        <v>0.7409328169010192</v>
      </c>
      <c r="G62" s="382">
        <f ca="1">VLOOKUP($D62&amp;"x"&amp;G$18,VolCalculation!$B:$AQ,42,)</f>
        <v>0.64262779021766991</v>
      </c>
      <c r="H62" s="382">
        <f ca="1">VLOOKUP($D62&amp;"x"&amp;H$18,VolCalculation!$B:$AQ,42,)</f>
        <v>0.58560133897865463</v>
      </c>
      <c r="I62" s="394">
        <f ca="1">VLOOKUP($D62&amp;"x"&amp;I$18,VolCalculation!$B:$AQ,42,)</f>
        <v>0.55125991978300426</v>
      </c>
      <c r="J62" s="382">
        <f ca="1">VLOOKUP($D62&amp;"x"&amp;J$18,VolCalculation!$B:$AQ,42,)</f>
        <v>0.52398057645400198</v>
      </c>
      <c r="K62" s="382">
        <f ca="1">VLOOKUP($D62&amp;"x"&amp;K$18,VolCalculation!$B:$AQ,42,)</f>
        <v>0.50508840780722553</v>
      </c>
      <c r="L62" s="382">
        <f ca="1">VLOOKUP($D62&amp;"x"&amp;L$18,VolCalculation!$B:$AQ,42,)</f>
        <v>0.49088002408878428</v>
      </c>
      <c r="M62" s="382">
        <f ca="1">VLOOKUP($D62&amp;"x"&amp;M$18,VolCalculation!$B:$AQ,42,)</f>
        <v>0.48028239506526027</v>
      </c>
      <c r="N62" s="394">
        <f ca="1">VLOOKUP($D62&amp;"x"&amp;N$18,VolCalculation!$B:$AQ,42,)</f>
        <v>0.47357377604220535</v>
      </c>
      <c r="O62" s="382">
        <f ca="1">VLOOKUP($D62&amp;"x"&amp;O$18,VolCalculation!$B:$AQ,42,)</f>
        <v>0.43425179902031058</v>
      </c>
      <c r="P62" s="394">
        <f ca="1">VLOOKUP($D62&amp;"x"&amp;P$18,VolCalculation!$B:$AQ,42,)</f>
        <v>0.4292867126772652</v>
      </c>
      <c r="Q62" s="382">
        <f ca="1">VLOOKUP($D62&amp;"x"&amp;Q$18,VolCalculation!$B:$AQ,42,)</f>
        <v>0.43399338055885384</v>
      </c>
      <c r="R62" s="397">
        <f ca="1">VLOOKUP($D62&amp;"x"&amp;R$18,VolCalculation!$B:$AQ,42,)</f>
        <v>0.43476578621782896</v>
      </c>
      <c r="S62" s="31"/>
    </row>
    <row r="63" spans="4:19">
      <c r="D63" s="35" t="s">
        <v>11</v>
      </c>
      <c r="E63" s="381">
        <f ca="1">VLOOKUP($D63&amp;"x"&amp;E$18,VolCalculation!$B:$AQ,42,)</f>
        <v>0.76795347092452781</v>
      </c>
      <c r="F63" s="394">
        <f ca="1">VLOOKUP($D63&amp;"x"&amp;F$18,VolCalculation!$B:$AQ,42,)</f>
        <v>0.60792797770967089</v>
      </c>
      <c r="G63" s="382">
        <f ca="1">VLOOKUP($D63&amp;"x"&amp;G$18,VolCalculation!$B:$AQ,42,)</f>
        <v>0.55582484919441788</v>
      </c>
      <c r="H63" s="382">
        <f ca="1">VLOOKUP($D63&amp;"x"&amp;H$18,VolCalculation!$B:$AQ,42,)</f>
        <v>0.5207474563182164</v>
      </c>
      <c r="I63" s="394">
        <f ca="1">VLOOKUP($D63&amp;"x"&amp;I$18,VolCalculation!$B:$AQ,42,)</f>
        <v>0.50090842814897618</v>
      </c>
      <c r="J63" s="382">
        <f ca="1">VLOOKUP($D63&amp;"x"&amp;J$18,VolCalculation!$B:$AQ,42,)</f>
        <v>0.48222102672553052</v>
      </c>
      <c r="K63" s="382">
        <f ca="1">VLOOKUP($D63&amp;"x"&amp;K$18,VolCalculation!$B:$AQ,42,)</f>
        <v>0.46901196389034916</v>
      </c>
      <c r="L63" s="382">
        <f ca="1">VLOOKUP($D63&amp;"x"&amp;L$18,VolCalculation!$B:$AQ,42,)</f>
        <v>0.45883934395050435</v>
      </c>
      <c r="M63" s="382">
        <f ca="1">VLOOKUP($D63&amp;"x"&amp;M$18,VolCalculation!$B:$AQ,42,)</f>
        <v>0.45159337427991858</v>
      </c>
      <c r="N63" s="394">
        <f ca="1">VLOOKUP($D63&amp;"x"&amp;N$18,VolCalculation!$B:$AQ,42,)</f>
        <v>0.44878950777389981</v>
      </c>
      <c r="O63" s="382">
        <f ca="1">VLOOKUP($D63&amp;"x"&amp;O$18,VolCalculation!$B:$AQ,42,)</f>
        <v>0.41543063888432091</v>
      </c>
      <c r="P63" s="394">
        <f ca="1">VLOOKUP($D63&amp;"x"&amp;P$18,VolCalculation!$B:$AQ,42,)</f>
        <v>0.41506533311634308</v>
      </c>
      <c r="Q63" s="382">
        <f ca="1">VLOOKUP($D63&amp;"x"&amp;Q$18,VolCalculation!$B:$AQ,42,)</f>
        <v>0.4199189364427009</v>
      </c>
      <c r="R63" s="397">
        <f ca="1">VLOOKUP($D63&amp;"x"&amp;R$18,VolCalculation!$B:$AQ,42,)</f>
        <v>0.41707039829958753</v>
      </c>
      <c r="S63" s="31"/>
    </row>
    <row r="64" spans="4:19">
      <c r="D64" s="35" t="s">
        <v>13</v>
      </c>
      <c r="E64" s="381">
        <f ca="1">VLOOKUP($D64&amp;"x"&amp;E$18,VolCalculation!$B:$AQ,42,)</f>
        <v>0.51901308572656391</v>
      </c>
      <c r="F64" s="394">
        <f ca="1">VLOOKUP($D64&amp;"x"&amp;F$18,VolCalculation!$B:$AQ,42,)</f>
        <v>0.4734341837675064</v>
      </c>
      <c r="G64" s="382">
        <f ca="1">VLOOKUP($D64&amp;"x"&amp;G$18,VolCalculation!$B:$AQ,42,)</f>
        <v>0.46148166770830273</v>
      </c>
      <c r="H64" s="382">
        <f ca="1">VLOOKUP($D64&amp;"x"&amp;H$18,VolCalculation!$B:$AQ,42,)</f>
        <v>0.45054668434530254</v>
      </c>
      <c r="I64" s="394">
        <f ca="1">VLOOKUP($D64&amp;"x"&amp;I$18,VolCalculation!$B:$AQ,42,)</f>
        <v>0.44147730570392058</v>
      </c>
      <c r="J64" s="382">
        <f ca="1">VLOOKUP($D64&amp;"x"&amp;J$18,VolCalculation!$B:$AQ,42,)</f>
        <v>0.43490167010585873</v>
      </c>
      <c r="K64" s="382">
        <f ca="1">VLOOKUP($D64&amp;"x"&amp;K$18,VolCalculation!$B:$AQ,42,)</f>
        <v>0.43044617991343298</v>
      </c>
      <c r="L64" s="382">
        <f ca="1">VLOOKUP($D64&amp;"x"&amp;L$18,VolCalculation!$B:$AQ,42,)</f>
        <v>0.42775324421878591</v>
      </c>
      <c r="M64" s="382">
        <f ca="1">VLOOKUP($D64&amp;"x"&amp;M$18,VolCalculation!$B:$AQ,42,)</f>
        <v>0.42596031353112318</v>
      </c>
      <c r="N64" s="394">
        <f ca="1">VLOOKUP($D64&amp;"x"&amp;N$18,VolCalculation!$B:$AQ,42,)</f>
        <v>0.42489613692467049</v>
      </c>
      <c r="O64" s="382">
        <f ca="1">VLOOKUP($D64&amp;"x"&amp;O$18,VolCalculation!$B:$AQ,42,)</f>
        <v>0.40116984768452746</v>
      </c>
      <c r="P64" s="394">
        <f ca="1">VLOOKUP($D64&amp;"x"&amp;P$18,VolCalculation!$B:$AQ,42,)</f>
        <v>0.4023620650097614</v>
      </c>
      <c r="Q64" s="382">
        <f ca="1">VLOOKUP($D64&amp;"x"&amp;Q$18,VolCalculation!$B:$AQ,42,)</f>
        <v>0.40270348809991197</v>
      </c>
      <c r="R64" s="397">
        <f ca="1">VLOOKUP($D64&amp;"x"&amp;R$18,VolCalculation!$B:$AQ,42,)</f>
        <v>0.40199776734321269</v>
      </c>
      <c r="S64" s="31"/>
    </row>
    <row r="65" spans="4:19">
      <c r="D65" s="35" t="s">
        <v>16</v>
      </c>
      <c r="E65" s="381">
        <f ca="1">VLOOKUP($D65&amp;"x"&amp;E$18,VolCalculation!$B:$AQ,42,)</f>
        <v>0.43325443039264344</v>
      </c>
      <c r="F65" s="394">
        <f ca="1">VLOOKUP($D65&amp;"x"&amp;F$18,VolCalculation!$B:$AQ,42,)</f>
        <v>0.42283288557976106</v>
      </c>
      <c r="G65" s="382">
        <f ca="1">VLOOKUP($D65&amp;"x"&amp;G$18,VolCalculation!$B:$AQ,42,)</f>
        <v>0.42300674060460014</v>
      </c>
      <c r="H65" s="382">
        <f ca="1">VLOOKUP($D65&amp;"x"&amp;H$18,VolCalculation!$B:$AQ,42,)</f>
        <v>0.42083929216788779</v>
      </c>
      <c r="I65" s="394">
        <f ca="1">VLOOKUP($D65&amp;"x"&amp;I$18,VolCalculation!$B:$AQ,42,)</f>
        <v>0.41889294364799662</v>
      </c>
      <c r="J65" s="382">
        <f ca="1">VLOOKUP($D65&amp;"x"&amp;J$18,VolCalculation!$B:$AQ,42,)</f>
        <v>0.41897822225094572</v>
      </c>
      <c r="K65" s="382">
        <f ca="1">VLOOKUP($D65&amp;"x"&amp;K$18,VolCalculation!$B:$AQ,42,)</f>
        <v>0.41982433609820996</v>
      </c>
      <c r="L65" s="382">
        <f ca="1">VLOOKUP($D65&amp;"x"&amp;L$18,VolCalculation!$B:$AQ,42,)</f>
        <v>0.41983603119655988</v>
      </c>
      <c r="M65" s="382">
        <f ca="1">VLOOKUP($D65&amp;"x"&amp;M$18,VolCalculation!$B:$AQ,42,)</f>
        <v>0.42097247984781577</v>
      </c>
      <c r="N65" s="394">
        <f ca="1">VLOOKUP($D65&amp;"x"&amp;N$18,VolCalculation!$B:$AQ,42,)</f>
        <v>0.4233000774936071</v>
      </c>
      <c r="O65" s="382">
        <f ca="1">VLOOKUP($D65&amp;"x"&amp;O$18,VolCalculation!$B:$AQ,42,)</f>
        <v>0.40875408401362057</v>
      </c>
      <c r="P65" s="394">
        <f ca="1">VLOOKUP($D65&amp;"x"&amp;P$18,VolCalculation!$B:$AQ,42,)</f>
        <v>0.40342500361950095</v>
      </c>
      <c r="Q65" s="382">
        <f ca="1">VLOOKUP($D65&amp;"x"&amp;Q$18,VolCalculation!$B:$AQ,42,)</f>
        <v>0.39995191931563706</v>
      </c>
      <c r="R65" s="397">
        <f ca="1">VLOOKUP($D65&amp;"x"&amp;R$18,VolCalculation!$B:$AQ,42,)</f>
        <v>0.39514804911369672</v>
      </c>
      <c r="S65" s="31"/>
    </row>
    <row r="66" spans="4:19">
      <c r="D66" s="35" t="s">
        <v>17</v>
      </c>
      <c r="E66" s="381">
        <f ca="1">VLOOKUP($D66&amp;"x"&amp;E$18,VolCalculation!$B:$AQ,42,)</f>
        <v>0.42528026761321658</v>
      </c>
      <c r="F66" s="394">
        <f ca="1">VLOOKUP($D66&amp;"x"&amp;F$18,VolCalculation!$B:$AQ,42,)</f>
        <v>0.42916426599611146</v>
      </c>
      <c r="G66" s="382">
        <f ca="1">VLOOKUP($D66&amp;"x"&amp;G$18,VolCalculation!$B:$AQ,42,)</f>
        <v>0.43454328729576142</v>
      </c>
      <c r="H66" s="382">
        <f ca="1">VLOOKUP($D66&amp;"x"&amp;H$18,VolCalculation!$B:$AQ,42,)</f>
        <v>0.44076601266254928</v>
      </c>
      <c r="I66" s="394">
        <f ca="1">VLOOKUP($D66&amp;"x"&amp;I$18,VolCalculation!$B:$AQ,42,)</f>
        <v>0.44033102478262992</v>
      </c>
      <c r="J66" s="382">
        <f ca="1">VLOOKUP($D66&amp;"x"&amp;J$18,VolCalculation!$B:$AQ,42,)</f>
        <v>0.44552008031714724</v>
      </c>
      <c r="K66" s="382">
        <f ca="1">VLOOKUP($D66&amp;"x"&amp;K$18,VolCalculation!$B:$AQ,42,)</f>
        <v>0.44911514452634155</v>
      </c>
      <c r="L66" s="382">
        <f ca="1">VLOOKUP($D66&amp;"x"&amp;L$18,VolCalculation!$B:$AQ,42,)</f>
        <v>0.45300741679960793</v>
      </c>
      <c r="M66" s="382">
        <f ca="1">VLOOKUP($D66&amp;"x"&amp;M$18,VolCalculation!$B:$AQ,42,)</f>
        <v>0.45718249806500399</v>
      </c>
      <c r="N66" s="394">
        <f ca="1">VLOOKUP($D66&amp;"x"&amp;N$18,VolCalculation!$B:$AQ,42,)</f>
        <v>0.45756837569142605</v>
      </c>
      <c r="O66" s="382">
        <f ca="1">VLOOKUP($D66&amp;"x"&amp;O$18,VolCalculation!$B:$AQ,42,)</f>
        <v>0.43013149276461016</v>
      </c>
      <c r="P66" s="394">
        <f ca="1">VLOOKUP($D66&amp;"x"&amp;P$18,VolCalculation!$B:$AQ,42,)</f>
        <v>0.40396643624598644</v>
      </c>
      <c r="Q66" s="382">
        <f ca="1">VLOOKUP($D66&amp;"x"&amp;Q$18,VolCalculation!$B:$AQ,42,)</f>
        <v>0.39809736190671263</v>
      </c>
      <c r="R66" s="397">
        <f ca="1">VLOOKUP($D66&amp;"x"&amp;R$18,VolCalculation!$B:$AQ,42,)</f>
        <v>0.39792858762040251</v>
      </c>
      <c r="S66" s="31"/>
    </row>
    <row r="67" spans="4:19">
      <c r="D67" s="35" t="s">
        <v>104</v>
      </c>
      <c r="E67" s="383">
        <f ca="1">VLOOKUP($D67&amp;"x"&amp;E$18,VolCalculation!$B:$AQ,42,)</f>
        <v>0.48784128715857722</v>
      </c>
      <c r="F67" s="395">
        <f ca="1">VLOOKUP($D67&amp;"x"&amp;F$18,VolCalculation!$B:$AQ,42,)</f>
        <v>0.50182269940053459</v>
      </c>
      <c r="G67" s="384">
        <f ca="1">VLOOKUP($D67&amp;"x"&amp;G$18,VolCalculation!$B:$AQ,42,)</f>
        <v>0.50522489579013763</v>
      </c>
      <c r="H67" s="384">
        <f ca="1">VLOOKUP($D67&amp;"x"&amp;H$18,VolCalculation!$B:$AQ,42,)</f>
        <v>0.50701202263970435</v>
      </c>
      <c r="I67" s="395">
        <f ca="1">VLOOKUP($D67&amp;"x"&amp;I$18,VolCalculation!$B:$AQ,42,)</f>
        <v>0.50409913170328757</v>
      </c>
      <c r="J67" s="384">
        <f ca="1">VLOOKUP($D67&amp;"x"&amp;J$18,VolCalculation!$B:$AQ,42,)</f>
        <v>0.50571820420811797</v>
      </c>
      <c r="K67" s="384">
        <f ca="1">VLOOKUP($D67&amp;"x"&amp;K$18,VolCalculation!$B:$AQ,42,)</f>
        <v>0.5045762181895822</v>
      </c>
      <c r="L67" s="384">
        <f ca="1">VLOOKUP($D67&amp;"x"&amp;L$18,VolCalculation!$B:$AQ,42,)</f>
        <v>0.50134788634733429</v>
      </c>
      <c r="M67" s="384">
        <f ca="1">VLOOKUP($D67&amp;"x"&amp;M$18,VolCalculation!$B:$AQ,42,)</f>
        <v>0.49652615616380685</v>
      </c>
      <c r="N67" s="395">
        <f ca="1">VLOOKUP($D67&amp;"x"&amp;N$18,VolCalculation!$B:$AQ,42,)</f>
        <v>0.4937280010041088</v>
      </c>
      <c r="O67" s="384">
        <f ca="1">VLOOKUP($D67&amp;"x"&amp;O$18,VolCalculation!$B:$AQ,42,)</f>
        <v>0.43654873658035875</v>
      </c>
      <c r="P67" s="395">
        <f ca="1">VLOOKUP($D67&amp;"x"&amp;P$18,VolCalculation!$B:$AQ,42,)</f>
        <v>0.40152444877957244</v>
      </c>
      <c r="Q67" s="384">
        <f ca="1">VLOOKUP($D67&amp;"x"&amp;Q$18,VolCalculation!$B:$AQ,42,)</f>
        <v>0.39644249673711102</v>
      </c>
      <c r="R67" s="398">
        <f ca="1">VLOOKUP($D67&amp;"x"&amp;R$18,VolCalculation!$B:$AQ,42,)</f>
        <v>0.39469809537899786</v>
      </c>
      <c r="S67" s="31"/>
    </row>
    <row r="68" spans="4:19"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</row>
    <row r="69" spans="4:19"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</row>
    <row r="70" spans="4:19"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</row>
    <row r="71" spans="4:19"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</row>
    <row r="72" spans="4:19"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</row>
    <row r="73" spans="4:19"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</row>
    <row r="74" spans="4:19"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</row>
    <row r="75" spans="4:19"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</row>
    <row r="76" spans="4:19"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</row>
    <row r="77" spans="4:19"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</row>
    <row r="78" spans="4:19"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</row>
    <row r="79" spans="4:19">
      <c r="S79" s="31"/>
    </row>
    <row r="80" spans="4:19">
      <c r="S80" s="31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2:EC115"/>
  <sheetViews>
    <sheetView showGridLines="0" topLeftCell="CY1" zoomScale="70" zoomScaleNormal="70" workbookViewId="0">
      <selection activeCell="DD42" sqref="DD42"/>
    </sheetView>
  </sheetViews>
  <sheetFormatPr defaultRowHeight="12.75"/>
  <cols>
    <col min="1" max="1" width="9.140625" style="47"/>
    <col min="2" max="2" width="19.5703125" style="47" bestFit="1" customWidth="1"/>
    <col min="3" max="102" width="15.28515625" style="47" bestFit="1" customWidth="1"/>
    <col min="103" max="103" width="9.140625" style="47"/>
    <col min="104" max="104" width="22.28515625" style="47" bestFit="1" customWidth="1"/>
    <col min="105" max="105" width="32.28515625" style="47" bestFit="1" customWidth="1"/>
    <col min="106" max="107" width="9.140625" style="47"/>
    <col min="108" max="108" width="14.85546875" style="47" bestFit="1" customWidth="1"/>
    <col min="109" max="109" width="12.140625" style="47" bestFit="1" customWidth="1"/>
    <col min="110" max="110" width="13" style="47" customWidth="1"/>
    <col min="111" max="111" width="11.5703125" style="47" bestFit="1" customWidth="1"/>
    <col min="112" max="117" width="5.5703125" style="47" bestFit="1" customWidth="1"/>
    <col min="118" max="119" width="5.28515625" style="47" bestFit="1" customWidth="1"/>
    <col min="120" max="121" width="4.5703125" style="47" bestFit="1" customWidth="1"/>
    <col min="122" max="122" width="11.140625" style="47" customWidth="1"/>
    <col min="123" max="16384" width="9.140625" style="47"/>
  </cols>
  <sheetData>
    <row r="2" spans="2:133">
      <c r="B2" s="48" t="s">
        <v>93</v>
      </c>
      <c r="CZ2" s="5" t="s">
        <v>50</v>
      </c>
      <c r="DA2" s="6" t="str">
        <f ca="1">_xll.qlRealHullWhiteModel(DA4,DA5,DA6,DA7,DA8,DA9,DA10,DA11)</f>
        <v>obj_008c6#0000</v>
      </c>
      <c r="DD2" s="90" t="s">
        <v>61</v>
      </c>
      <c r="DE2" s="91" t="s">
        <v>62</v>
      </c>
    </row>
    <row r="3" spans="2:133">
      <c r="CZ3" s="7" t="s">
        <v>5</v>
      </c>
      <c r="DA3" s="4" t="str">
        <f ca="1">_xll.ohRangeRetrieveError(DA2)</f>
        <v/>
      </c>
      <c r="DD3" s="92">
        <v>0</v>
      </c>
      <c r="DE3" s="93" t="e">
        <f t="array" aca="1" ref="DE3:DE21" ca="1">MMULT(DT3:EC21,DE28:DE37)</f>
        <v>#NUM!</v>
      </c>
      <c r="DT3" s="94">
        <v>1</v>
      </c>
      <c r="DU3" s="95">
        <v>0</v>
      </c>
      <c r="DV3" s="95">
        <v>0</v>
      </c>
      <c r="DW3" s="95">
        <v>0</v>
      </c>
      <c r="DX3" s="95">
        <v>0</v>
      </c>
      <c r="DY3" s="95">
        <v>0</v>
      </c>
      <c r="DZ3" s="95">
        <v>0</v>
      </c>
      <c r="EA3" s="95">
        <v>0</v>
      </c>
      <c r="EB3" s="95">
        <v>0</v>
      </c>
      <c r="EC3" s="96">
        <v>0</v>
      </c>
    </row>
    <row r="4" spans="2:133">
      <c r="B4" s="48" t="s">
        <v>60</v>
      </c>
      <c r="CZ4" s="8" t="s">
        <v>2</v>
      </c>
      <c r="DA4" s="9"/>
      <c r="DD4" s="97" t="e">
        <f t="array" aca="1" ref="DD4:DD22" ca="1">MMULT(DT3:EC21,DD28:DD37)</f>
        <v>#NUM!</v>
      </c>
      <c r="DE4" s="98" t="e">
        <f ca="1"/>
        <v>#NUM!</v>
      </c>
      <c r="DT4" s="99">
        <v>1</v>
      </c>
      <c r="DU4" s="100">
        <v>0</v>
      </c>
      <c r="DV4" s="100">
        <v>0</v>
      </c>
      <c r="DW4" s="100">
        <v>0</v>
      </c>
      <c r="DX4" s="100">
        <v>0</v>
      </c>
      <c r="DY4" s="100">
        <v>0</v>
      </c>
      <c r="DZ4" s="100">
        <v>0</v>
      </c>
      <c r="EA4" s="100">
        <v>0</v>
      </c>
      <c r="EB4" s="100">
        <v>0</v>
      </c>
      <c r="EC4" s="101">
        <v>0</v>
      </c>
    </row>
    <row r="5" spans="2:133" ht="13.5" thickBot="1">
      <c r="CZ5" s="10" t="s">
        <v>51</v>
      </c>
      <c r="DA5" s="27" t="str">
        <f ca="1">Curve!$S$16</f>
        <v>EONIA-Curve#0000</v>
      </c>
      <c r="DD5" s="97" t="e">
        <f ca="1"/>
        <v>#NUM!</v>
      </c>
      <c r="DE5" s="98" t="e">
        <v>#NUM!</v>
      </c>
      <c r="DT5" s="99">
        <v>0</v>
      </c>
      <c r="DU5" s="100">
        <v>1</v>
      </c>
      <c r="DV5" s="100">
        <v>0</v>
      </c>
      <c r="DW5" s="100">
        <v>0</v>
      </c>
      <c r="DX5" s="100">
        <v>0</v>
      </c>
      <c r="DY5" s="100">
        <v>0</v>
      </c>
      <c r="DZ5" s="100">
        <v>0</v>
      </c>
      <c r="EA5" s="100">
        <v>0</v>
      </c>
      <c r="EB5" s="100">
        <v>0</v>
      </c>
      <c r="EC5" s="101">
        <v>0</v>
      </c>
    </row>
    <row r="6" spans="2:133">
      <c r="B6" s="102" t="s">
        <v>100</v>
      </c>
      <c r="C6" s="103">
        <f ca="1">Curve!$D$6</f>
        <v>42254</v>
      </c>
      <c r="D6" s="103">
        <f ca="1">Curve!$D$6</f>
        <v>42254</v>
      </c>
      <c r="E6" s="103">
        <f ca="1">Curve!$D$6</f>
        <v>42254</v>
      </c>
      <c r="F6" s="103">
        <f ca="1">Curve!$D$6</f>
        <v>42254</v>
      </c>
      <c r="G6" s="103">
        <f ca="1">Curve!$D$6</f>
        <v>42254</v>
      </c>
      <c r="H6" s="103">
        <f ca="1">Curve!$D$6</f>
        <v>42254</v>
      </c>
      <c r="I6" s="103">
        <f ca="1">Curve!$D$6</f>
        <v>42254</v>
      </c>
      <c r="J6" s="103">
        <f ca="1">Curve!$D$6</f>
        <v>42254</v>
      </c>
      <c r="K6" s="103">
        <f ca="1">Curve!$D$6</f>
        <v>42254</v>
      </c>
      <c r="L6" s="103">
        <f ca="1">Curve!$D$6</f>
        <v>42254</v>
      </c>
      <c r="M6" s="103">
        <f ca="1">Curve!$D$6</f>
        <v>42254</v>
      </c>
      <c r="N6" s="103">
        <f ca="1">Curve!$D$6</f>
        <v>42254</v>
      </c>
      <c r="O6" s="103">
        <f ca="1">Curve!$D$6</f>
        <v>42254</v>
      </c>
      <c r="P6" s="103">
        <f ca="1">Curve!$D$6</f>
        <v>42254</v>
      </c>
      <c r="Q6" s="103">
        <f ca="1">Curve!$D$6</f>
        <v>42254</v>
      </c>
      <c r="R6" s="103">
        <f ca="1">Curve!$D$6</f>
        <v>42254</v>
      </c>
      <c r="S6" s="103">
        <f ca="1">Curve!$D$6</f>
        <v>42254</v>
      </c>
      <c r="T6" s="103">
        <f ca="1">Curve!$D$6</f>
        <v>42254</v>
      </c>
      <c r="U6" s="103">
        <f ca="1">Curve!$D$6</f>
        <v>42254</v>
      </c>
      <c r="V6" s="103">
        <f ca="1">Curve!$D$6</f>
        <v>42254</v>
      </c>
      <c r="W6" s="103">
        <f ca="1">Curve!$D$6</f>
        <v>42254</v>
      </c>
      <c r="X6" s="103">
        <f ca="1">Curve!$D$6</f>
        <v>42254</v>
      </c>
      <c r="Y6" s="103">
        <f ca="1">Curve!$D$6</f>
        <v>42254</v>
      </c>
      <c r="Z6" s="103">
        <f ca="1">Curve!$D$6</f>
        <v>42254</v>
      </c>
      <c r="AA6" s="103">
        <f ca="1">Curve!$D$6</f>
        <v>42254</v>
      </c>
      <c r="AB6" s="103">
        <f ca="1">Curve!$D$6</f>
        <v>42254</v>
      </c>
      <c r="AC6" s="103">
        <f ca="1">Curve!$D$6</f>
        <v>42254</v>
      </c>
      <c r="AD6" s="103">
        <f ca="1">Curve!$D$6</f>
        <v>42254</v>
      </c>
      <c r="AE6" s="103">
        <f ca="1">Curve!$D$6</f>
        <v>42254</v>
      </c>
      <c r="AF6" s="103">
        <f ca="1">Curve!$D$6</f>
        <v>42254</v>
      </c>
      <c r="AG6" s="103">
        <f ca="1">Curve!$D$6</f>
        <v>42254</v>
      </c>
      <c r="AH6" s="103">
        <f ca="1">Curve!$D$6</f>
        <v>42254</v>
      </c>
      <c r="AI6" s="103">
        <f ca="1">Curve!$D$6</f>
        <v>42254</v>
      </c>
      <c r="AJ6" s="103">
        <f ca="1">Curve!$D$6</f>
        <v>42254</v>
      </c>
      <c r="AK6" s="103">
        <f ca="1">Curve!$D$6</f>
        <v>42254</v>
      </c>
      <c r="AL6" s="103">
        <f ca="1">Curve!$D$6</f>
        <v>42254</v>
      </c>
      <c r="AM6" s="103">
        <f ca="1">Curve!$D$6</f>
        <v>42254</v>
      </c>
      <c r="AN6" s="103">
        <f ca="1">Curve!$D$6</f>
        <v>42254</v>
      </c>
      <c r="AO6" s="103">
        <f ca="1">Curve!$D$6</f>
        <v>42254</v>
      </c>
      <c r="AP6" s="103">
        <f ca="1">Curve!$D$6</f>
        <v>42254</v>
      </c>
      <c r="AQ6" s="103">
        <f ca="1">Curve!$D$6</f>
        <v>42254</v>
      </c>
      <c r="AR6" s="103">
        <f ca="1">Curve!$D$6</f>
        <v>42254</v>
      </c>
      <c r="AS6" s="103">
        <f ca="1">Curve!$D$6</f>
        <v>42254</v>
      </c>
      <c r="AT6" s="103">
        <f ca="1">Curve!$D$6</f>
        <v>42254</v>
      </c>
      <c r="AU6" s="103">
        <f ca="1">Curve!$D$6</f>
        <v>42254</v>
      </c>
      <c r="AV6" s="103">
        <f ca="1">Curve!$D$6</f>
        <v>42254</v>
      </c>
      <c r="AW6" s="103">
        <f ca="1">Curve!$D$6</f>
        <v>42254</v>
      </c>
      <c r="AX6" s="103">
        <f ca="1">Curve!$D$6</f>
        <v>42254</v>
      </c>
      <c r="AY6" s="103">
        <f ca="1">Curve!$D$6</f>
        <v>42254</v>
      </c>
      <c r="AZ6" s="103">
        <f ca="1">Curve!$D$6</f>
        <v>42254</v>
      </c>
      <c r="BA6" s="103">
        <f ca="1">Curve!$D$6</f>
        <v>42254</v>
      </c>
      <c r="BB6" s="103">
        <f ca="1">Curve!$D$6</f>
        <v>42254</v>
      </c>
      <c r="BC6" s="103">
        <f ca="1">Curve!$D$6</f>
        <v>42254</v>
      </c>
      <c r="BD6" s="103">
        <f ca="1">Curve!$D$6</f>
        <v>42254</v>
      </c>
      <c r="BE6" s="103">
        <f ca="1">Curve!$D$6</f>
        <v>42254</v>
      </c>
      <c r="BF6" s="103">
        <f ca="1">Curve!$D$6</f>
        <v>42254</v>
      </c>
      <c r="BG6" s="103">
        <f ca="1">Curve!$D$6</f>
        <v>42254</v>
      </c>
      <c r="BH6" s="103">
        <f ca="1">Curve!$D$6</f>
        <v>42254</v>
      </c>
      <c r="BI6" s="103">
        <f ca="1">Curve!$D$6</f>
        <v>42254</v>
      </c>
      <c r="BJ6" s="103">
        <f ca="1">Curve!$D$6</f>
        <v>42254</v>
      </c>
      <c r="BK6" s="103">
        <f ca="1">Curve!$D$6</f>
        <v>42254</v>
      </c>
      <c r="BL6" s="103">
        <f ca="1">Curve!$D$6</f>
        <v>42254</v>
      </c>
      <c r="BM6" s="103">
        <f ca="1">Curve!$D$6</f>
        <v>42254</v>
      </c>
      <c r="BN6" s="103">
        <f ca="1">Curve!$D$6</f>
        <v>42254</v>
      </c>
      <c r="BO6" s="103">
        <f ca="1">Curve!$D$6</f>
        <v>42254</v>
      </c>
      <c r="BP6" s="103">
        <f ca="1">Curve!$D$6</f>
        <v>42254</v>
      </c>
      <c r="BQ6" s="103">
        <f ca="1">Curve!$D$6</f>
        <v>42254</v>
      </c>
      <c r="BR6" s="103">
        <f ca="1">Curve!$D$6</f>
        <v>42254</v>
      </c>
      <c r="BS6" s="103">
        <f ca="1">Curve!$D$6</f>
        <v>42254</v>
      </c>
      <c r="BT6" s="103">
        <f ca="1">Curve!$D$6</f>
        <v>42254</v>
      </c>
      <c r="BU6" s="103">
        <f ca="1">Curve!$D$6</f>
        <v>42254</v>
      </c>
      <c r="BV6" s="103">
        <f ca="1">Curve!$D$6</f>
        <v>42254</v>
      </c>
      <c r="BW6" s="103">
        <f ca="1">Curve!$D$6</f>
        <v>42254</v>
      </c>
      <c r="BX6" s="103">
        <f ca="1">Curve!$D$6</f>
        <v>42254</v>
      </c>
      <c r="BY6" s="103">
        <f ca="1">Curve!$D$6</f>
        <v>42254</v>
      </c>
      <c r="BZ6" s="103">
        <f ca="1">Curve!$D$6</f>
        <v>42254</v>
      </c>
      <c r="CA6" s="103">
        <f ca="1">Curve!$D$6</f>
        <v>42254</v>
      </c>
      <c r="CB6" s="103">
        <f ca="1">Curve!$D$6</f>
        <v>42254</v>
      </c>
      <c r="CC6" s="103">
        <f ca="1">Curve!$D$6</f>
        <v>42254</v>
      </c>
      <c r="CD6" s="103">
        <f ca="1">Curve!$D$6</f>
        <v>42254</v>
      </c>
      <c r="CE6" s="103">
        <f ca="1">Curve!$D$6</f>
        <v>42254</v>
      </c>
      <c r="CF6" s="103">
        <f ca="1">Curve!$D$6</f>
        <v>42254</v>
      </c>
      <c r="CG6" s="103">
        <f ca="1">Curve!$D$6</f>
        <v>42254</v>
      </c>
      <c r="CH6" s="103">
        <f ca="1">Curve!$D$6</f>
        <v>42254</v>
      </c>
      <c r="CI6" s="103">
        <f ca="1">Curve!$D$6</f>
        <v>42254</v>
      </c>
      <c r="CJ6" s="103">
        <f ca="1">Curve!$D$6</f>
        <v>42254</v>
      </c>
      <c r="CK6" s="103">
        <f ca="1">Curve!$D$6</f>
        <v>42254</v>
      </c>
      <c r="CL6" s="103">
        <f ca="1">Curve!$D$6</f>
        <v>42254</v>
      </c>
      <c r="CM6" s="103">
        <f ca="1">Curve!$D$6</f>
        <v>42254</v>
      </c>
      <c r="CN6" s="103">
        <f ca="1">Curve!$D$6</f>
        <v>42254</v>
      </c>
      <c r="CO6" s="103">
        <f ca="1">Curve!$D$6</f>
        <v>42254</v>
      </c>
      <c r="CP6" s="103">
        <f ca="1">Curve!$D$6</f>
        <v>42254</v>
      </c>
      <c r="CQ6" s="103">
        <f ca="1">Curve!$D$6</f>
        <v>42254</v>
      </c>
      <c r="CR6" s="103">
        <f ca="1">Curve!$D$6</f>
        <v>42254</v>
      </c>
      <c r="CS6" s="103">
        <f ca="1">Curve!$D$6</f>
        <v>42254</v>
      </c>
      <c r="CT6" s="103">
        <f ca="1">Curve!$D$6</f>
        <v>42254</v>
      </c>
      <c r="CU6" s="103">
        <f ca="1">Curve!$D$6</f>
        <v>42254</v>
      </c>
      <c r="CV6" s="103">
        <f ca="1">Curve!$D$6</f>
        <v>42254</v>
      </c>
      <c r="CW6" s="103">
        <f ca="1">Curve!$D$6</f>
        <v>42254</v>
      </c>
      <c r="CX6" s="103">
        <f ca="1">Curve!$D$6</f>
        <v>42254</v>
      </c>
      <c r="CZ6" s="10" t="s">
        <v>52</v>
      </c>
      <c r="DA6" s="24">
        <v>0.01</v>
      </c>
      <c r="DD6" s="97" t="e">
        <f ca="1"/>
        <v>#NUM!</v>
      </c>
      <c r="DE6" s="98" t="e">
        <f ca="1"/>
        <v>#NUM!</v>
      </c>
      <c r="DT6" s="99">
        <v>0</v>
      </c>
      <c r="DU6" s="100">
        <v>1</v>
      </c>
      <c r="DV6" s="100">
        <v>0</v>
      </c>
      <c r="DW6" s="100">
        <v>0</v>
      </c>
      <c r="DX6" s="100">
        <v>0</v>
      </c>
      <c r="DY6" s="100">
        <v>0</v>
      </c>
      <c r="DZ6" s="100">
        <v>0</v>
      </c>
      <c r="EA6" s="100">
        <v>0</v>
      </c>
      <c r="EB6" s="100">
        <v>0</v>
      </c>
      <c r="EC6" s="101">
        <v>0</v>
      </c>
    </row>
    <row r="7" spans="2:133">
      <c r="B7" s="104" t="s">
        <v>65</v>
      </c>
      <c r="C7" s="105" t="s">
        <v>7</v>
      </c>
      <c r="D7" s="105" t="s">
        <v>8</v>
      </c>
      <c r="E7" s="105" t="s">
        <v>9</v>
      </c>
      <c r="F7" s="105" t="s">
        <v>10</v>
      </c>
      <c r="G7" s="105" t="s">
        <v>11</v>
      </c>
      <c r="H7" s="105" t="s">
        <v>12</v>
      </c>
      <c r="I7" s="105" t="s">
        <v>13</v>
      </c>
      <c r="J7" s="105" t="s">
        <v>14</v>
      </c>
      <c r="K7" s="105" t="s">
        <v>15</v>
      </c>
      <c r="L7" s="105" t="s">
        <v>16</v>
      </c>
      <c r="M7" s="105" t="s">
        <v>7</v>
      </c>
      <c r="N7" s="105" t="s">
        <v>8</v>
      </c>
      <c r="O7" s="105" t="s">
        <v>9</v>
      </c>
      <c r="P7" s="105" t="s">
        <v>10</v>
      </c>
      <c r="Q7" s="105" t="s">
        <v>11</v>
      </c>
      <c r="R7" s="105" t="s">
        <v>12</v>
      </c>
      <c r="S7" s="105" t="s">
        <v>13</v>
      </c>
      <c r="T7" s="105" t="s">
        <v>14</v>
      </c>
      <c r="U7" s="105" t="s">
        <v>15</v>
      </c>
      <c r="V7" s="105" t="s">
        <v>16</v>
      </c>
      <c r="W7" s="105" t="s">
        <v>7</v>
      </c>
      <c r="X7" s="105" t="s">
        <v>8</v>
      </c>
      <c r="Y7" s="105" t="s">
        <v>9</v>
      </c>
      <c r="Z7" s="105" t="s">
        <v>10</v>
      </c>
      <c r="AA7" s="105" t="s">
        <v>11</v>
      </c>
      <c r="AB7" s="105" t="s">
        <v>12</v>
      </c>
      <c r="AC7" s="105" t="s">
        <v>13</v>
      </c>
      <c r="AD7" s="105" t="s">
        <v>14</v>
      </c>
      <c r="AE7" s="105" t="s">
        <v>15</v>
      </c>
      <c r="AF7" s="105" t="s">
        <v>16</v>
      </c>
      <c r="AG7" s="105" t="s">
        <v>7</v>
      </c>
      <c r="AH7" s="105" t="s">
        <v>8</v>
      </c>
      <c r="AI7" s="105" t="s">
        <v>9</v>
      </c>
      <c r="AJ7" s="105" t="s">
        <v>10</v>
      </c>
      <c r="AK7" s="105" t="s">
        <v>11</v>
      </c>
      <c r="AL7" s="105" t="s">
        <v>12</v>
      </c>
      <c r="AM7" s="105" t="s">
        <v>13</v>
      </c>
      <c r="AN7" s="105" t="s">
        <v>14</v>
      </c>
      <c r="AO7" s="105" t="s">
        <v>15</v>
      </c>
      <c r="AP7" s="105" t="s">
        <v>16</v>
      </c>
      <c r="AQ7" s="105" t="s">
        <v>7</v>
      </c>
      <c r="AR7" s="105" t="s">
        <v>8</v>
      </c>
      <c r="AS7" s="105" t="s">
        <v>9</v>
      </c>
      <c r="AT7" s="105" t="s">
        <v>10</v>
      </c>
      <c r="AU7" s="105" t="s">
        <v>11</v>
      </c>
      <c r="AV7" s="105" t="s">
        <v>12</v>
      </c>
      <c r="AW7" s="105" t="s">
        <v>13</v>
      </c>
      <c r="AX7" s="105" t="s">
        <v>14</v>
      </c>
      <c r="AY7" s="105" t="s">
        <v>15</v>
      </c>
      <c r="AZ7" s="105" t="s">
        <v>16</v>
      </c>
      <c r="BA7" s="105" t="s">
        <v>7</v>
      </c>
      <c r="BB7" s="105" t="s">
        <v>8</v>
      </c>
      <c r="BC7" s="105" t="s">
        <v>9</v>
      </c>
      <c r="BD7" s="105" t="s">
        <v>10</v>
      </c>
      <c r="BE7" s="105" t="s">
        <v>11</v>
      </c>
      <c r="BF7" s="105" t="s">
        <v>12</v>
      </c>
      <c r="BG7" s="105" t="s">
        <v>13</v>
      </c>
      <c r="BH7" s="105" t="s">
        <v>14</v>
      </c>
      <c r="BI7" s="105" t="s">
        <v>15</v>
      </c>
      <c r="BJ7" s="105" t="s">
        <v>16</v>
      </c>
      <c r="BK7" s="105" t="s">
        <v>7</v>
      </c>
      <c r="BL7" s="105" t="s">
        <v>8</v>
      </c>
      <c r="BM7" s="105" t="s">
        <v>9</v>
      </c>
      <c r="BN7" s="105" t="s">
        <v>10</v>
      </c>
      <c r="BO7" s="105" t="s">
        <v>11</v>
      </c>
      <c r="BP7" s="105" t="s">
        <v>12</v>
      </c>
      <c r="BQ7" s="105" t="s">
        <v>13</v>
      </c>
      <c r="BR7" s="105" t="s">
        <v>14</v>
      </c>
      <c r="BS7" s="105" t="s">
        <v>15</v>
      </c>
      <c r="BT7" s="105" t="s">
        <v>16</v>
      </c>
      <c r="BU7" s="105" t="s">
        <v>7</v>
      </c>
      <c r="BV7" s="105" t="s">
        <v>8</v>
      </c>
      <c r="BW7" s="105" t="s">
        <v>9</v>
      </c>
      <c r="BX7" s="105" t="s">
        <v>10</v>
      </c>
      <c r="BY7" s="105" t="s">
        <v>11</v>
      </c>
      <c r="BZ7" s="105" t="s">
        <v>12</v>
      </c>
      <c r="CA7" s="105" t="s">
        <v>13</v>
      </c>
      <c r="CB7" s="105" t="s">
        <v>14</v>
      </c>
      <c r="CC7" s="105" t="s">
        <v>15</v>
      </c>
      <c r="CD7" s="105" t="s">
        <v>16</v>
      </c>
      <c r="CE7" s="105" t="s">
        <v>7</v>
      </c>
      <c r="CF7" s="105" t="s">
        <v>8</v>
      </c>
      <c r="CG7" s="105" t="s">
        <v>9</v>
      </c>
      <c r="CH7" s="105" t="s">
        <v>10</v>
      </c>
      <c r="CI7" s="105" t="s">
        <v>11</v>
      </c>
      <c r="CJ7" s="105" t="s">
        <v>12</v>
      </c>
      <c r="CK7" s="105" t="s">
        <v>13</v>
      </c>
      <c r="CL7" s="105" t="s">
        <v>14</v>
      </c>
      <c r="CM7" s="105" t="s">
        <v>15</v>
      </c>
      <c r="CN7" s="105" t="s">
        <v>16</v>
      </c>
      <c r="CO7" s="105" t="s">
        <v>7</v>
      </c>
      <c r="CP7" s="105" t="s">
        <v>8</v>
      </c>
      <c r="CQ7" s="105" t="s">
        <v>9</v>
      </c>
      <c r="CR7" s="105" t="s">
        <v>10</v>
      </c>
      <c r="CS7" s="105" t="s">
        <v>11</v>
      </c>
      <c r="CT7" s="105" t="s">
        <v>12</v>
      </c>
      <c r="CU7" s="105" t="s">
        <v>13</v>
      </c>
      <c r="CV7" s="105" t="s">
        <v>14</v>
      </c>
      <c r="CW7" s="105" t="s">
        <v>15</v>
      </c>
      <c r="CX7" s="105" t="s">
        <v>16</v>
      </c>
      <c r="CZ7" s="10" t="s">
        <v>53</v>
      </c>
      <c r="DA7" s="12">
        <v>1</v>
      </c>
      <c r="DD7" s="97" t="e">
        <f ca="1"/>
        <v>#NUM!</v>
      </c>
      <c r="DE7" s="98" t="e">
        <f ca="1"/>
        <v>#NUM!</v>
      </c>
      <c r="DT7" s="99">
        <v>0</v>
      </c>
      <c r="DU7" s="100">
        <v>0</v>
      </c>
      <c r="DV7" s="100">
        <v>1</v>
      </c>
      <c r="DW7" s="100">
        <v>0</v>
      </c>
      <c r="DX7" s="100">
        <v>0</v>
      </c>
      <c r="DY7" s="100">
        <v>0</v>
      </c>
      <c r="DZ7" s="100">
        <v>0</v>
      </c>
      <c r="EA7" s="100">
        <v>0</v>
      </c>
      <c r="EB7" s="100">
        <v>0</v>
      </c>
      <c r="EC7" s="101">
        <v>0</v>
      </c>
    </row>
    <row r="8" spans="2:133" ht="13.5" thickBot="1">
      <c r="B8" s="107" t="s">
        <v>47</v>
      </c>
      <c r="C8" s="108" t="s">
        <v>7</v>
      </c>
      <c r="D8" s="108" t="s">
        <v>7</v>
      </c>
      <c r="E8" s="108" t="s">
        <v>7</v>
      </c>
      <c r="F8" s="108" t="s">
        <v>7</v>
      </c>
      <c r="G8" s="108" t="s">
        <v>7</v>
      </c>
      <c r="H8" s="108" t="s">
        <v>7</v>
      </c>
      <c r="I8" s="108" t="s">
        <v>7</v>
      </c>
      <c r="J8" s="108" t="s">
        <v>7</v>
      </c>
      <c r="K8" s="108" t="s">
        <v>7</v>
      </c>
      <c r="L8" s="108" t="s">
        <v>7</v>
      </c>
      <c r="M8" s="108" t="s">
        <v>8</v>
      </c>
      <c r="N8" s="108" t="s">
        <v>8</v>
      </c>
      <c r="O8" s="108" t="s">
        <v>8</v>
      </c>
      <c r="P8" s="108" t="s">
        <v>8</v>
      </c>
      <c r="Q8" s="108" t="s">
        <v>8</v>
      </c>
      <c r="R8" s="108" t="s">
        <v>8</v>
      </c>
      <c r="S8" s="108" t="s">
        <v>8</v>
      </c>
      <c r="T8" s="108" t="s">
        <v>8</v>
      </c>
      <c r="U8" s="108" t="s">
        <v>8</v>
      </c>
      <c r="V8" s="108" t="s">
        <v>8</v>
      </c>
      <c r="W8" s="108" t="s">
        <v>9</v>
      </c>
      <c r="X8" s="108" t="s">
        <v>9</v>
      </c>
      <c r="Y8" s="108" t="s">
        <v>9</v>
      </c>
      <c r="Z8" s="108" t="s">
        <v>9</v>
      </c>
      <c r="AA8" s="108" t="s">
        <v>9</v>
      </c>
      <c r="AB8" s="108" t="s">
        <v>9</v>
      </c>
      <c r="AC8" s="108" t="s">
        <v>9</v>
      </c>
      <c r="AD8" s="108" t="s">
        <v>9</v>
      </c>
      <c r="AE8" s="108" t="s">
        <v>9</v>
      </c>
      <c r="AF8" s="108" t="s">
        <v>9</v>
      </c>
      <c r="AG8" s="108" t="s">
        <v>10</v>
      </c>
      <c r="AH8" s="108" t="s">
        <v>10</v>
      </c>
      <c r="AI8" s="108" t="s">
        <v>10</v>
      </c>
      <c r="AJ8" s="108" t="s">
        <v>10</v>
      </c>
      <c r="AK8" s="108" t="s">
        <v>10</v>
      </c>
      <c r="AL8" s="108" t="s">
        <v>10</v>
      </c>
      <c r="AM8" s="108" t="s">
        <v>10</v>
      </c>
      <c r="AN8" s="108" t="s">
        <v>10</v>
      </c>
      <c r="AO8" s="108" t="s">
        <v>10</v>
      </c>
      <c r="AP8" s="108" t="s">
        <v>10</v>
      </c>
      <c r="AQ8" s="108" t="s">
        <v>11</v>
      </c>
      <c r="AR8" s="108" t="s">
        <v>11</v>
      </c>
      <c r="AS8" s="108" t="s">
        <v>11</v>
      </c>
      <c r="AT8" s="108" t="s">
        <v>11</v>
      </c>
      <c r="AU8" s="108" t="s">
        <v>11</v>
      </c>
      <c r="AV8" s="108" t="s">
        <v>11</v>
      </c>
      <c r="AW8" s="108" t="s">
        <v>11</v>
      </c>
      <c r="AX8" s="108" t="s">
        <v>11</v>
      </c>
      <c r="AY8" s="108" t="s">
        <v>11</v>
      </c>
      <c r="AZ8" s="108" t="s">
        <v>11</v>
      </c>
      <c r="BA8" s="108" t="s">
        <v>12</v>
      </c>
      <c r="BB8" s="108" t="s">
        <v>12</v>
      </c>
      <c r="BC8" s="108" t="s">
        <v>12</v>
      </c>
      <c r="BD8" s="108" t="s">
        <v>12</v>
      </c>
      <c r="BE8" s="108" t="s">
        <v>12</v>
      </c>
      <c r="BF8" s="108" t="s">
        <v>12</v>
      </c>
      <c r="BG8" s="108" t="s">
        <v>12</v>
      </c>
      <c r="BH8" s="108" t="s">
        <v>12</v>
      </c>
      <c r="BI8" s="108" t="s">
        <v>12</v>
      </c>
      <c r="BJ8" s="108" t="s">
        <v>12</v>
      </c>
      <c r="BK8" s="108" t="s">
        <v>13</v>
      </c>
      <c r="BL8" s="108" t="s">
        <v>13</v>
      </c>
      <c r="BM8" s="108" t="s">
        <v>13</v>
      </c>
      <c r="BN8" s="108" t="s">
        <v>13</v>
      </c>
      <c r="BO8" s="108" t="s">
        <v>13</v>
      </c>
      <c r="BP8" s="108" t="s">
        <v>13</v>
      </c>
      <c r="BQ8" s="108" t="s">
        <v>13</v>
      </c>
      <c r="BR8" s="108" t="s">
        <v>13</v>
      </c>
      <c r="BS8" s="108" t="s">
        <v>13</v>
      </c>
      <c r="BT8" s="108" t="s">
        <v>13</v>
      </c>
      <c r="BU8" s="108" t="s">
        <v>14</v>
      </c>
      <c r="BV8" s="108" t="s">
        <v>14</v>
      </c>
      <c r="BW8" s="108" t="s">
        <v>14</v>
      </c>
      <c r="BX8" s="108" t="s">
        <v>14</v>
      </c>
      <c r="BY8" s="108" t="s">
        <v>14</v>
      </c>
      <c r="BZ8" s="108" t="s">
        <v>14</v>
      </c>
      <c r="CA8" s="108" t="s">
        <v>14</v>
      </c>
      <c r="CB8" s="108" t="s">
        <v>14</v>
      </c>
      <c r="CC8" s="108" t="s">
        <v>14</v>
      </c>
      <c r="CD8" s="108" t="s">
        <v>14</v>
      </c>
      <c r="CE8" s="108" t="s">
        <v>15</v>
      </c>
      <c r="CF8" s="108" t="s">
        <v>15</v>
      </c>
      <c r="CG8" s="108" t="s">
        <v>15</v>
      </c>
      <c r="CH8" s="108" t="s">
        <v>15</v>
      </c>
      <c r="CI8" s="108" t="s">
        <v>15</v>
      </c>
      <c r="CJ8" s="108" t="s">
        <v>15</v>
      </c>
      <c r="CK8" s="108" t="s">
        <v>15</v>
      </c>
      <c r="CL8" s="108" t="s">
        <v>15</v>
      </c>
      <c r="CM8" s="108" t="s">
        <v>15</v>
      </c>
      <c r="CN8" s="108" t="s">
        <v>15</v>
      </c>
      <c r="CO8" s="108" t="s">
        <v>16</v>
      </c>
      <c r="CP8" s="108" t="s">
        <v>16</v>
      </c>
      <c r="CQ8" s="108" t="s">
        <v>16</v>
      </c>
      <c r="CR8" s="108" t="s">
        <v>16</v>
      </c>
      <c r="CS8" s="108" t="s">
        <v>16</v>
      </c>
      <c r="CT8" s="108" t="s">
        <v>16</v>
      </c>
      <c r="CU8" s="108" t="s">
        <v>16</v>
      </c>
      <c r="CV8" s="108" t="s">
        <v>16</v>
      </c>
      <c r="CW8" s="108" t="s">
        <v>16</v>
      </c>
      <c r="CX8" s="108" t="s">
        <v>16</v>
      </c>
      <c r="CZ8" s="10" t="s">
        <v>54</v>
      </c>
      <c r="DA8" s="25">
        <v>0.01</v>
      </c>
      <c r="DD8" s="97" t="e">
        <f ca="1"/>
        <v>#NUM!</v>
      </c>
      <c r="DE8" s="98" t="e">
        <f ca="1"/>
        <v>#NUM!</v>
      </c>
      <c r="DT8" s="99">
        <v>0</v>
      </c>
      <c r="DU8" s="100">
        <v>0</v>
      </c>
      <c r="DV8" s="100">
        <v>1</v>
      </c>
      <c r="DW8" s="100">
        <v>0</v>
      </c>
      <c r="DX8" s="100">
        <v>0</v>
      </c>
      <c r="DY8" s="100">
        <v>0</v>
      </c>
      <c r="DZ8" s="100">
        <v>0</v>
      </c>
      <c r="EA8" s="100">
        <v>0</v>
      </c>
      <c r="EB8" s="100">
        <v>0</v>
      </c>
      <c r="EC8" s="101">
        <v>0</v>
      </c>
    </row>
    <row r="9" spans="2:133" ht="13.5" thickBot="1">
      <c r="CZ9" s="10" t="s">
        <v>30</v>
      </c>
      <c r="DA9" s="11"/>
      <c r="DD9" s="97" t="e">
        <f ca="1"/>
        <v>#NUM!</v>
      </c>
      <c r="DE9" s="98" t="e">
        <f ca="1"/>
        <v>#NUM!</v>
      </c>
      <c r="DT9" s="99">
        <v>0</v>
      </c>
      <c r="DU9" s="100">
        <v>0</v>
      </c>
      <c r="DV9" s="100">
        <v>0</v>
      </c>
      <c r="DW9" s="100">
        <v>1</v>
      </c>
      <c r="DX9" s="100">
        <v>0</v>
      </c>
      <c r="DY9" s="100">
        <v>0</v>
      </c>
      <c r="DZ9" s="100">
        <v>0</v>
      </c>
      <c r="EA9" s="100">
        <v>0</v>
      </c>
      <c r="EB9" s="100">
        <v>0</v>
      </c>
      <c r="EC9" s="101">
        <v>0</v>
      </c>
    </row>
    <row r="10" spans="2:133">
      <c r="B10" s="102" t="s">
        <v>3</v>
      </c>
      <c r="C10" s="110" t="s">
        <v>20</v>
      </c>
      <c r="D10" s="110" t="s">
        <v>20</v>
      </c>
      <c r="E10" s="110" t="s">
        <v>20</v>
      </c>
      <c r="F10" s="110" t="s">
        <v>20</v>
      </c>
      <c r="G10" s="110" t="s">
        <v>20</v>
      </c>
      <c r="H10" s="110" t="s">
        <v>20</v>
      </c>
      <c r="I10" s="110" t="s">
        <v>20</v>
      </c>
      <c r="J10" s="110" t="s">
        <v>20</v>
      </c>
      <c r="K10" s="110" t="s">
        <v>20</v>
      </c>
      <c r="L10" s="110" t="s">
        <v>20</v>
      </c>
      <c r="M10" s="110" t="s">
        <v>20</v>
      </c>
      <c r="N10" s="110" t="s">
        <v>20</v>
      </c>
      <c r="O10" s="110" t="s">
        <v>20</v>
      </c>
      <c r="P10" s="110" t="s">
        <v>20</v>
      </c>
      <c r="Q10" s="110" t="s">
        <v>20</v>
      </c>
      <c r="R10" s="110" t="s">
        <v>20</v>
      </c>
      <c r="S10" s="110" t="s">
        <v>20</v>
      </c>
      <c r="T10" s="110" t="s">
        <v>20</v>
      </c>
      <c r="U10" s="110" t="s">
        <v>20</v>
      </c>
      <c r="V10" s="110" t="s">
        <v>20</v>
      </c>
      <c r="W10" s="110" t="s">
        <v>20</v>
      </c>
      <c r="X10" s="110" t="s">
        <v>20</v>
      </c>
      <c r="Y10" s="110" t="s">
        <v>20</v>
      </c>
      <c r="Z10" s="110" t="s">
        <v>20</v>
      </c>
      <c r="AA10" s="110" t="s">
        <v>20</v>
      </c>
      <c r="AB10" s="110" t="s">
        <v>20</v>
      </c>
      <c r="AC10" s="110" t="s">
        <v>20</v>
      </c>
      <c r="AD10" s="110" t="s">
        <v>20</v>
      </c>
      <c r="AE10" s="110" t="s">
        <v>20</v>
      </c>
      <c r="AF10" s="110" t="s">
        <v>20</v>
      </c>
      <c r="AG10" s="110" t="s">
        <v>20</v>
      </c>
      <c r="AH10" s="110" t="s">
        <v>20</v>
      </c>
      <c r="AI10" s="110" t="s">
        <v>20</v>
      </c>
      <c r="AJ10" s="110" t="s">
        <v>20</v>
      </c>
      <c r="AK10" s="110" t="s">
        <v>20</v>
      </c>
      <c r="AL10" s="110" t="s">
        <v>20</v>
      </c>
      <c r="AM10" s="110" t="s">
        <v>20</v>
      </c>
      <c r="AN10" s="110" t="s">
        <v>20</v>
      </c>
      <c r="AO10" s="110" t="s">
        <v>20</v>
      </c>
      <c r="AP10" s="110" t="s">
        <v>20</v>
      </c>
      <c r="AQ10" s="110" t="s">
        <v>20</v>
      </c>
      <c r="AR10" s="110" t="s">
        <v>20</v>
      </c>
      <c r="AS10" s="110" t="s">
        <v>20</v>
      </c>
      <c r="AT10" s="110" t="s">
        <v>20</v>
      </c>
      <c r="AU10" s="110" t="s">
        <v>20</v>
      </c>
      <c r="AV10" s="110" t="s">
        <v>20</v>
      </c>
      <c r="AW10" s="110" t="s">
        <v>20</v>
      </c>
      <c r="AX10" s="110" t="s">
        <v>20</v>
      </c>
      <c r="AY10" s="110" t="s">
        <v>20</v>
      </c>
      <c r="AZ10" s="110" t="s">
        <v>20</v>
      </c>
      <c r="BA10" s="110" t="s">
        <v>20</v>
      </c>
      <c r="BB10" s="110" t="s">
        <v>20</v>
      </c>
      <c r="BC10" s="110" t="s">
        <v>20</v>
      </c>
      <c r="BD10" s="110" t="s">
        <v>20</v>
      </c>
      <c r="BE10" s="110" t="s">
        <v>20</v>
      </c>
      <c r="BF10" s="110" t="s">
        <v>20</v>
      </c>
      <c r="BG10" s="110" t="s">
        <v>20</v>
      </c>
      <c r="BH10" s="110" t="s">
        <v>20</v>
      </c>
      <c r="BI10" s="110" t="s">
        <v>20</v>
      </c>
      <c r="BJ10" s="110" t="s">
        <v>20</v>
      </c>
      <c r="BK10" s="110" t="s">
        <v>20</v>
      </c>
      <c r="BL10" s="110" t="s">
        <v>20</v>
      </c>
      <c r="BM10" s="110" t="s">
        <v>20</v>
      </c>
      <c r="BN10" s="110" t="s">
        <v>20</v>
      </c>
      <c r="BO10" s="110" t="s">
        <v>20</v>
      </c>
      <c r="BP10" s="110" t="s">
        <v>20</v>
      </c>
      <c r="BQ10" s="110" t="s">
        <v>20</v>
      </c>
      <c r="BR10" s="110" t="s">
        <v>20</v>
      </c>
      <c r="BS10" s="110" t="s">
        <v>20</v>
      </c>
      <c r="BT10" s="110" t="s">
        <v>20</v>
      </c>
      <c r="BU10" s="110" t="s">
        <v>20</v>
      </c>
      <c r="BV10" s="110" t="s">
        <v>20</v>
      </c>
      <c r="BW10" s="110" t="s">
        <v>20</v>
      </c>
      <c r="BX10" s="110" t="s">
        <v>20</v>
      </c>
      <c r="BY10" s="110" t="s">
        <v>20</v>
      </c>
      <c r="BZ10" s="110" t="s">
        <v>20</v>
      </c>
      <c r="CA10" s="110" t="s">
        <v>20</v>
      </c>
      <c r="CB10" s="110" t="s">
        <v>20</v>
      </c>
      <c r="CC10" s="110" t="s">
        <v>20</v>
      </c>
      <c r="CD10" s="110" t="s">
        <v>20</v>
      </c>
      <c r="CE10" s="110" t="s">
        <v>20</v>
      </c>
      <c r="CF10" s="110" t="s">
        <v>20</v>
      </c>
      <c r="CG10" s="110" t="s">
        <v>20</v>
      </c>
      <c r="CH10" s="110" t="s">
        <v>20</v>
      </c>
      <c r="CI10" s="110" t="s">
        <v>20</v>
      </c>
      <c r="CJ10" s="110" t="s">
        <v>20</v>
      </c>
      <c r="CK10" s="110" t="s">
        <v>20</v>
      </c>
      <c r="CL10" s="110" t="s">
        <v>20</v>
      </c>
      <c r="CM10" s="110" t="s">
        <v>20</v>
      </c>
      <c r="CN10" s="110" t="s">
        <v>20</v>
      </c>
      <c r="CO10" s="110" t="s">
        <v>20</v>
      </c>
      <c r="CP10" s="110" t="s">
        <v>20</v>
      </c>
      <c r="CQ10" s="110" t="s">
        <v>20</v>
      </c>
      <c r="CR10" s="110" t="s">
        <v>20</v>
      </c>
      <c r="CS10" s="110" t="s">
        <v>20</v>
      </c>
      <c r="CT10" s="110" t="s">
        <v>20</v>
      </c>
      <c r="CU10" s="110" t="s">
        <v>20</v>
      </c>
      <c r="CV10" s="110" t="s">
        <v>20</v>
      </c>
      <c r="CW10" s="110" t="s">
        <v>20</v>
      </c>
      <c r="CX10" s="110" t="s">
        <v>20</v>
      </c>
      <c r="CZ10" s="10" t="s">
        <v>32</v>
      </c>
      <c r="DA10" s="11"/>
      <c r="DD10" s="97" t="e">
        <f ca="1"/>
        <v>#NUM!</v>
      </c>
      <c r="DE10" s="98" t="e">
        <f ca="1"/>
        <v>#NUM!</v>
      </c>
      <c r="DT10" s="99">
        <v>0</v>
      </c>
      <c r="DU10" s="100">
        <v>0</v>
      </c>
      <c r="DV10" s="100">
        <v>0</v>
      </c>
      <c r="DW10" s="100">
        <v>1</v>
      </c>
      <c r="DX10" s="100">
        <v>0</v>
      </c>
      <c r="DY10" s="100">
        <v>0</v>
      </c>
      <c r="DZ10" s="100">
        <v>0</v>
      </c>
      <c r="EA10" s="100">
        <v>0</v>
      </c>
      <c r="EB10" s="100">
        <v>0</v>
      </c>
      <c r="EC10" s="101">
        <v>0</v>
      </c>
    </row>
    <row r="11" spans="2:133">
      <c r="B11" s="104" t="s">
        <v>66</v>
      </c>
      <c r="C11" s="111">
        <f ca="1">_xll.qlCalendarAdvance(C10,_xll.qlCalendarAdvance(C10,C6,C7),"2D")</f>
        <v>42622</v>
      </c>
      <c r="D11" s="111">
        <f ca="1">_xll.qlCalendarAdvance(D10,_xll.qlCalendarAdvance(D10,D6,D7),"2D")</f>
        <v>42989</v>
      </c>
      <c r="E11" s="111">
        <f ca="1">_xll.qlCalendarAdvance(E10,_xll.qlCalendarAdvance(E10,E6,E7),"2D")</f>
        <v>43354</v>
      </c>
      <c r="F11" s="111">
        <f ca="1">_xll.qlCalendarAdvance(F10,_xll.qlCalendarAdvance(F10,F6,F7),"2D")</f>
        <v>43719</v>
      </c>
      <c r="G11" s="111">
        <f ca="1">_xll.qlCalendarAdvance(G10,_xll.qlCalendarAdvance(G10,G6,G7),"2D")</f>
        <v>44083</v>
      </c>
      <c r="H11" s="111">
        <f ca="1">_xll.qlCalendarAdvance(H10,_xll.qlCalendarAdvance(H10,H6,H7),"2D")</f>
        <v>44448</v>
      </c>
      <c r="I11" s="111">
        <f ca="1">_xll.qlCalendarAdvance(I10,_xll.qlCalendarAdvance(I10,I6,I7),"2D")</f>
        <v>44813</v>
      </c>
      <c r="J11" s="111">
        <f ca="1">_xll.qlCalendarAdvance(J10,_xll.qlCalendarAdvance(J10,J6,J7),"2D")</f>
        <v>45180</v>
      </c>
      <c r="K11" s="111">
        <f ca="1">_xll.qlCalendarAdvance(K10,_xll.qlCalendarAdvance(K10,K6,K7),"2D")</f>
        <v>45546</v>
      </c>
      <c r="L11" s="111">
        <f ca="1">_xll.qlCalendarAdvance(L10,_xll.qlCalendarAdvance(L10,L6,L7),"2D")</f>
        <v>45910</v>
      </c>
      <c r="M11" s="111">
        <f ca="1">_xll.qlCalendarAdvance(M10,_xll.qlCalendarAdvance(M10,M6,M7),"2D")</f>
        <v>42622</v>
      </c>
      <c r="N11" s="111">
        <f ca="1">_xll.qlCalendarAdvance(N10,_xll.qlCalendarAdvance(N10,N6,N7),"2D")</f>
        <v>42989</v>
      </c>
      <c r="O11" s="111">
        <f ca="1">_xll.qlCalendarAdvance(O10,_xll.qlCalendarAdvance(O10,O6,O7),"2D")</f>
        <v>43354</v>
      </c>
      <c r="P11" s="111">
        <f ca="1">_xll.qlCalendarAdvance(P10,_xll.qlCalendarAdvance(P10,P6,P7),"2D")</f>
        <v>43719</v>
      </c>
      <c r="Q11" s="111">
        <f ca="1">_xll.qlCalendarAdvance(Q10,_xll.qlCalendarAdvance(Q10,Q6,Q7),"2D")</f>
        <v>44083</v>
      </c>
      <c r="R11" s="111">
        <f ca="1">_xll.qlCalendarAdvance(R10,_xll.qlCalendarAdvance(R10,R6,R7),"2D")</f>
        <v>44448</v>
      </c>
      <c r="S11" s="111">
        <f ca="1">_xll.qlCalendarAdvance(S10,_xll.qlCalendarAdvance(S10,S6,S7),"2D")</f>
        <v>44813</v>
      </c>
      <c r="T11" s="111">
        <f ca="1">_xll.qlCalendarAdvance(T10,_xll.qlCalendarAdvance(T10,T6,T7),"2D")</f>
        <v>45180</v>
      </c>
      <c r="U11" s="111">
        <f ca="1">_xll.qlCalendarAdvance(U10,_xll.qlCalendarAdvance(U10,U6,U7),"2D")</f>
        <v>45546</v>
      </c>
      <c r="V11" s="111">
        <f ca="1">_xll.qlCalendarAdvance(V10,_xll.qlCalendarAdvance(V10,V6,V7),"2D")</f>
        <v>45910</v>
      </c>
      <c r="W11" s="111">
        <f ca="1">_xll.qlCalendarAdvance(W10,_xll.qlCalendarAdvance(W10,W6,W7),"2D")</f>
        <v>42622</v>
      </c>
      <c r="X11" s="111">
        <f ca="1">_xll.qlCalendarAdvance(X10,_xll.qlCalendarAdvance(X10,X6,X7),"2D")</f>
        <v>42989</v>
      </c>
      <c r="Y11" s="111">
        <f ca="1">_xll.qlCalendarAdvance(Y10,_xll.qlCalendarAdvance(Y10,Y6,Y7),"2D")</f>
        <v>43354</v>
      </c>
      <c r="Z11" s="111">
        <f ca="1">_xll.qlCalendarAdvance(Z10,_xll.qlCalendarAdvance(Z10,Z6,Z7),"2D")</f>
        <v>43719</v>
      </c>
      <c r="AA11" s="111">
        <f ca="1">_xll.qlCalendarAdvance(AA10,_xll.qlCalendarAdvance(AA10,AA6,AA7),"2D")</f>
        <v>44083</v>
      </c>
      <c r="AB11" s="111">
        <f ca="1">_xll.qlCalendarAdvance(AB10,_xll.qlCalendarAdvance(AB10,AB6,AB7),"2D")</f>
        <v>44448</v>
      </c>
      <c r="AC11" s="111">
        <f ca="1">_xll.qlCalendarAdvance(AC10,_xll.qlCalendarAdvance(AC10,AC6,AC7),"2D")</f>
        <v>44813</v>
      </c>
      <c r="AD11" s="111">
        <f ca="1">_xll.qlCalendarAdvance(AD10,_xll.qlCalendarAdvance(AD10,AD6,AD7),"2D")</f>
        <v>45180</v>
      </c>
      <c r="AE11" s="111">
        <f ca="1">_xll.qlCalendarAdvance(AE10,_xll.qlCalendarAdvance(AE10,AE6,AE7),"2D")</f>
        <v>45546</v>
      </c>
      <c r="AF11" s="111">
        <f ca="1">_xll.qlCalendarAdvance(AF10,_xll.qlCalendarAdvance(AF10,AF6,AF7),"2D")</f>
        <v>45910</v>
      </c>
      <c r="AG11" s="111">
        <f ca="1">_xll.qlCalendarAdvance(AG10,_xll.qlCalendarAdvance(AG10,AG6,AG7),"2D")</f>
        <v>42622</v>
      </c>
      <c r="AH11" s="111">
        <f ca="1">_xll.qlCalendarAdvance(AH10,_xll.qlCalendarAdvance(AH10,AH6,AH7),"2D")</f>
        <v>42989</v>
      </c>
      <c r="AI11" s="111">
        <f ca="1">_xll.qlCalendarAdvance(AI10,_xll.qlCalendarAdvance(AI10,AI6,AI7),"2D")</f>
        <v>43354</v>
      </c>
      <c r="AJ11" s="111">
        <f ca="1">_xll.qlCalendarAdvance(AJ10,_xll.qlCalendarAdvance(AJ10,AJ6,AJ7),"2D")</f>
        <v>43719</v>
      </c>
      <c r="AK11" s="111">
        <f ca="1">_xll.qlCalendarAdvance(AK10,_xll.qlCalendarAdvance(AK10,AK6,AK7),"2D")</f>
        <v>44083</v>
      </c>
      <c r="AL11" s="111">
        <f ca="1">_xll.qlCalendarAdvance(AL10,_xll.qlCalendarAdvance(AL10,AL6,AL7),"2D")</f>
        <v>44448</v>
      </c>
      <c r="AM11" s="111">
        <f ca="1">_xll.qlCalendarAdvance(AM10,_xll.qlCalendarAdvance(AM10,AM6,AM7),"2D")</f>
        <v>44813</v>
      </c>
      <c r="AN11" s="111">
        <f ca="1">_xll.qlCalendarAdvance(AN10,_xll.qlCalendarAdvance(AN10,AN6,AN7),"2D")</f>
        <v>45180</v>
      </c>
      <c r="AO11" s="111">
        <f ca="1">_xll.qlCalendarAdvance(AO10,_xll.qlCalendarAdvance(AO10,AO6,AO7),"2D")</f>
        <v>45546</v>
      </c>
      <c r="AP11" s="111">
        <f ca="1">_xll.qlCalendarAdvance(AP10,_xll.qlCalendarAdvance(AP10,AP6,AP7),"2D")</f>
        <v>45910</v>
      </c>
      <c r="AQ11" s="111">
        <f ca="1">_xll.qlCalendarAdvance(AQ10,_xll.qlCalendarAdvance(AQ10,AQ6,AQ7),"2D")</f>
        <v>42622</v>
      </c>
      <c r="AR11" s="111">
        <f ca="1">_xll.qlCalendarAdvance(AR10,_xll.qlCalendarAdvance(AR10,AR6,AR7),"2D")</f>
        <v>42989</v>
      </c>
      <c r="AS11" s="111">
        <f ca="1">_xll.qlCalendarAdvance(AS10,_xll.qlCalendarAdvance(AS10,AS6,AS7),"2D")</f>
        <v>43354</v>
      </c>
      <c r="AT11" s="111">
        <f ca="1">_xll.qlCalendarAdvance(AT10,_xll.qlCalendarAdvance(AT10,AT6,AT7),"2D")</f>
        <v>43719</v>
      </c>
      <c r="AU11" s="111">
        <f ca="1">_xll.qlCalendarAdvance(AU10,_xll.qlCalendarAdvance(AU10,AU6,AU7),"2D")</f>
        <v>44083</v>
      </c>
      <c r="AV11" s="111">
        <f ca="1">_xll.qlCalendarAdvance(AV10,_xll.qlCalendarAdvance(AV10,AV6,AV7),"2D")</f>
        <v>44448</v>
      </c>
      <c r="AW11" s="111">
        <f ca="1">_xll.qlCalendarAdvance(AW10,_xll.qlCalendarAdvance(AW10,AW6,AW7),"2D")</f>
        <v>44813</v>
      </c>
      <c r="AX11" s="111">
        <f ca="1">_xll.qlCalendarAdvance(AX10,_xll.qlCalendarAdvance(AX10,AX6,AX7),"2D")</f>
        <v>45180</v>
      </c>
      <c r="AY11" s="111">
        <f ca="1">_xll.qlCalendarAdvance(AY10,_xll.qlCalendarAdvance(AY10,AY6,AY7),"2D")</f>
        <v>45546</v>
      </c>
      <c r="AZ11" s="111">
        <f ca="1">_xll.qlCalendarAdvance(AZ10,_xll.qlCalendarAdvance(AZ10,AZ6,AZ7),"2D")</f>
        <v>45910</v>
      </c>
      <c r="BA11" s="111">
        <f ca="1">_xll.qlCalendarAdvance(BA10,_xll.qlCalendarAdvance(BA10,BA6,BA7),"2D")</f>
        <v>42622</v>
      </c>
      <c r="BB11" s="111">
        <f ca="1">_xll.qlCalendarAdvance(BB10,_xll.qlCalendarAdvance(BB10,BB6,BB7),"2D")</f>
        <v>42989</v>
      </c>
      <c r="BC11" s="111">
        <f ca="1">_xll.qlCalendarAdvance(BC10,_xll.qlCalendarAdvance(BC10,BC6,BC7),"2D")</f>
        <v>43354</v>
      </c>
      <c r="BD11" s="111">
        <f ca="1">_xll.qlCalendarAdvance(BD10,_xll.qlCalendarAdvance(BD10,BD6,BD7),"2D")</f>
        <v>43719</v>
      </c>
      <c r="BE11" s="111">
        <f ca="1">_xll.qlCalendarAdvance(BE10,_xll.qlCalendarAdvance(BE10,BE6,BE7),"2D")</f>
        <v>44083</v>
      </c>
      <c r="BF11" s="111">
        <f ca="1">_xll.qlCalendarAdvance(BF10,_xll.qlCalendarAdvance(BF10,BF6,BF7),"2D")</f>
        <v>44448</v>
      </c>
      <c r="BG11" s="111">
        <f ca="1">_xll.qlCalendarAdvance(BG10,_xll.qlCalendarAdvance(BG10,BG6,BG7),"2D")</f>
        <v>44813</v>
      </c>
      <c r="BH11" s="111">
        <f ca="1">_xll.qlCalendarAdvance(BH10,_xll.qlCalendarAdvance(BH10,BH6,BH7),"2D")</f>
        <v>45180</v>
      </c>
      <c r="BI11" s="111">
        <f ca="1">_xll.qlCalendarAdvance(BI10,_xll.qlCalendarAdvance(BI10,BI6,BI7),"2D")</f>
        <v>45546</v>
      </c>
      <c r="BJ11" s="111">
        <f ca="1">_xll.qlCalendarAdvance(BJ10,_xll.qlCalendarAdvance(BJ10,BJ6,BJ7),"2D")</f>
        <v>45910</v>
      </c>
      <c r="BK11" s="111">
        <f ca="1">_xll.qlCalendarAdvance(BK10,_xll.qlCalendarAdvance(BK10,BK6,BK7),"2D")</f>
        <v>42622</v>
      </c>
      <c r="BL11" s="111">
        <f ca="1">_xll.qlCalendarAdvance(BL10,_xll.qlCalendarAdvance(BL10,BL6,BL7),"2D")</f>
        <v>42989</v>
      </c>
      <c r="BM11" s="111">
        <f ca="1">_xll.qlCalendarAdvance(BM10,_xll.qlCalendarAdvance(BM10,BM6,BM7),"2D")</f>
        <v>43354</v>
      </c>
      <c r="BN11" s="111">
        <f ca="1">_xll.qlCalendarAdvance(BN10,_xll.qlCalendarAdvance(BN10,BN6,BN7),"2D")</f>
        <v>43719</v>
      </c>
      <c r="BO11" s="111">
        <f ca="1">_xll.qlCalendarAdvance(BO10,_xll.qlCalendarAdvance(BO10,BO6,BO7),"2D")</f>
        <v>44083</v>
      </c>
      <c r="BP11" s="111">
        <f ca="1">_xll.qlCalendarAdvance(BP10,_xll.qlCalendarAdvance(BP10,BP6,BP7),"2D")</f>
        <v>44448</v>
      </c>
      <c r="BQ11" s="111">
        <f ca="1">_xll.qlCalendarAdvance(BQ10,_xll.qlCalendarAdvance(BQ10,BQ6,BQ7),"2D")</f>
        <v>44813</v>
      </c>
      <c r="BR11" s="111">
        <f ca="1">_xll.qlCalendarAdvance(BR10,_xll.qlCalendarAdvance(BR10,BR6,BR7),"2D")</f>
        <v>45180</v>
      </c>
      <c r="BS11" s="111">
        <f ca="1">_xll.qlCalendarAdvance(BS10,_xll.qlCalendarAdvance(BS10,BS6,BS7),"2D")</f>
        <v>45546</v>
      </c>
      <c r="BT11" s="111">
        <f ca="1">_xll.qlCalendarAdvance(BT10,_xll.qlCalendarAdvance(BT10,BT6,BT7),"2D")</f>
        <v>45910</v>
      </c>
      <c r="BU11" s="111">
        <f ca="1">_xll.qlCalendarAdvance(BU10,_xll.qlCalendarAdvance(BU10,BU6,BU7),"2D")</f>
        <v>42622</v>
      </c>
      <c r="BV11" s="111">
        <f ca="1">_xll.qlCalendarAdvance(BV10,_xll.qlCalendarAdvance(BV10,BV6,BV7),"2D")</f>
        <v>42989</v>
      </c>
      <c r="BW11" s="111">
        <f ca="1">_xll.qlCalendarAdvance(BW10,_xll.qlCalendarAdvance(BW10,BW6,BW7),"2D")</f>
        <v>43354</v>
      </c>
      <c r="BX11" s="111">
        <f ca="1">_xll.qlCalendarAdvance(BX10,_xll.qlCalendarAdvance(BX10,BX6,BX7),"2D")</f>
        <v>43719</v>
      </c>
      <c r="BY11" s="111">
        <f ca="1">_xll.qlCalendarAdvance(BY10,_xll.qlCalendarAdvance(BY10,BY6,BY7),"2D")</f>
        <v>44083</v>
      </c>
      <c r="BZ11" s="111">
        <f ca="1">_xll.qlCalendarAdvance(BZ10,_xll.qlCalendarAdvance(BZ10,BZ6,BZ7),"2D")</f>
        <v>44448</v>
      </c>
      <c r="CA11" s="111">
        <f ca="1">_xll.qlCalendarAdvance(CA10,_xll.qlCalendarAdvance(CA10,CA6,CA7),"2D")</f>
        <v>44813</v>
      </c>
      <c r="CB11" s="111">
        <f ca="1">_xll.qlCalendarAdvance(CB10,_xll.qlCalendarAdvance(CB10,CB6,CB7),"2D")</f>
        <v>45180</v>
      </c>
      <c r="CC11" s="111">
        <f ca="1">_xll.qlCalendarAdvance(CC10,_xll.qlCalendarAdvance(CC10,CC6,CC7),"2D")</f>
        <v>45546</v>
      </c>
      <c r="CD11" s="111">
        <f ca="1">_xll.qlCalendarAdvance(CD10,_xll.qlCalendarAdvance(CD10,CD6,CD7),"2D")</f>
        <v>45910</v>
      </c>
      <c r="CE11" s="111">
        <f ca="1">_xll.qlCalendarAdvance(CE10,_xll.qlCalendarAdvance(CE10,CE6,CE7),"2D")</f>
        <v>42622</v>
      </c>
      <c r="CF11" s="111">
        <f ca="1">_xll.qlCalendarAdvance(CF10,_xll.qlCalendarAdvance(CF10,CF6,CF7),"2D")</f>
        <v>42989</v>
      </c>
      <c r="CG11" s="111">
        <f ca="1">_xll.qlCalendarAdvance(CG10,_xll.qlCalendarAdvance(CG10,CG6,CG7),"2D")</f>
        <v>43354</v>
      </c>
      <c r="CH11" s="111">
        <f ca="1">_xll.qlCalendarAdvance(CH10,_xll.qlCalendarAdvance(CH10,CH6,CH7),"2D")</f>
        <v>43719</v>
      </c>
      <c r="CI11" s="111">
        <f ca="1">_xll.qlCalendarAdvance(CI10,_xll.qlCalendarAdvance(CI10,CI6,CI7),"2D")</f>
        <v>44083</v>
      </c>
      <c r="CJ11" s="111">
        <f ca="1">_xll.qlCalendarAdvance(CJ10,_xll.qlCalendarAdvance(CJ10,CJ6,CJ7),"2D")</f>
        <v>44448</v>
      </c>
      <c r="CK11" s="111">
        <f ca="1">_xll.qlCalendarAdvance(CK10,_xll.qlCalendarAdvance(CK10,CK6,CK7),"2D")</f>
        <v>44813</v>
      </c>
      <c r="CL11" s="111">
        <f ca="1">_xll.qlCalendarAdvance(CL10,_xll.qlCalendarAdvance(CL10,CL6,CL7),"2D")</f>
        <v>45180</v>
      </c>
      <c r="CM11" s="111">
        <f ca="1">_xll.qlCalendarAdvance(CM10,_xll.qlCalendarAdvance(CM10,CM6,CM7),"2D")</f>
        <v>45546</v>
      </c>
      <c r="CN11" s="111">
        <f ca="1">_xll.qlCalendarAdvance(CN10,_xll.qlCalendarAdvance(CN10,CN6,CN7),"2D")</f>
        <v>45910</v>
      </c>
      <c r="CO11" s="111">
        <f ca="1">_xll.qlCalendarAdvance(CO10,_xll.qlCalendarAdvance(CO10,CO6,CO7),"2D")</f>
        <v>42622</v>
      </c>
      <c r="CP11" s="111">
        <f ca="1">_xll.qlCalendarAdvance(CP10,_xll.qlCalendarAdvance(CP10,CP6,CP7),"2D")</f>
        <v>42989</v>
      </c>
      <c r="CQ11" s="111">
        <f ca="1">_xll.qlCalendarAdvance(CQ10,_xll.qlCalendarAdvance(CQ10,CQ6,CQ7),"2D")</f>
        <v>43354</v>
      </c>
      <c r="CR11" s="111">
        <f ca="1">_xll.qlCalendarAdvance(CR10,_xll.qlCalendarAdvance(CR10,CR6,CR7),"2D")</f>
        <v>43719</v>
      </c>
      <c r="CS11" s="111">
        <f ca="1">_xll.qlCalendarAdvance(CS10,_xll.qlCalendarAdvance(CS10,CS6,CS7),"2D")</f>
        <v>44083</v>
      </c>
      <c r="CT11" s="111">
        <f ca="1">_xll.qlCalendarAdvance(CT10,_xll.qlCalendarAdvance(CT10,CT6,CT7),"2D")</f>
        <v>44448</v>
      </c>
      <c r="CU11" s="111">
        <f ca="1">_xll.qlCalendarAdvance(CU10,_xll.qlCalendarAdvance(CU10,CU6,CU7),"2D")</f>
        <v>44813</v>
      </c>
      <c r="CV11" s="111">
        <f ca="1">_xll.qlCalendarAdvance(CV10,_xll.qlCalendarAdvance(CV10,CV6,CV7),"2D")</f>
        <v>45180</v>
      </c>
      <c r="CW11" s="111">
        <f ca="1">_xll.qlCalendarAdvance(CW10,_xll.qlCalendarAdvance(CW10,CW6,CW7),"2D")</f>
        <v>45546</v>
      </c>
      <c r="CX11" s="111">
        <f ca="1">_xll.qlCalendarAdvance(CX10,_xll.qlCalendarAdvance(CX10,CX6,CX7),"2D")</f>
        <v>45910</v>
      </c>
      <c r="CZ11" s="14" t="s">
        <v>34</v>
      </c>
      <c r="DA11" s="15"/>
      <c r="DD11" s="97" t="e">
        <f ca="1"/>
        <v>#NUM!</v>
      </c>
      <c r="DE11" s="98" t="e">
        <f ca="1"/>
        <v>#NUM!</v>
      </c>
      <c r="DT11" s="99">
        <v>0</v>
      </c>
      <c r="DU11" s="100">
        <v>0</v>
      </c>
      <c r="DV11" s="100">
        <v>0</v>
      </c>
      <c r="DW11" s="100">
        <v>0</v>
      </c>
      <c r="DX11" s="100">
        <v>1</v>
      </c>
      <c r="DY11" s="100">
        <v>0</v>
      </c>
      <c r="DZ11" s="100">
        <v>0</v>
      </c>
      <c r="EA11" s="100">
        <v>0</v>
      </c>
      <c r="EB11" s="100">
        <v>0</v>
      </c>
      <c r="EC11" s="101">
        <v>0</v>
      </c>
    </row>
    <row r="12" spans="2:133" ht="13.5" thickBot="1">
      <c r="B12" s="107" t="s">
        <v>67</v>
      </c>
      <c r="C12" s="112">
        <f ca="1">_xll.qlCalendarAdvance(C10,C11,C8)</f>
        <v>42989</v>
      </c>
      <c r="D12" s="112">
        <f ca="1">_xll.qlCalendarAdvance(D10,D11,D8)</f>
        <v>43354</v>
      </c>
      <c r="E12" s="112">
        <f ca="1">_xll.qlCalendarAdvance(E10,E11,E8)</f>
        <v>43719</v>
      </c>
      <c r="F12" s="112">
        <f ca="1">_xll.qlCalendarAdvance(F10,F11,F8)</f>
        <v>44085</v>
      </c>
      <c r="G12" s="112">
        <f ca="1">_xll.qlCalendarAdvance(G10,G11,G8)</f>
        <v>44448</v>
      </c>
      <c r="H12" s="112">
        <f ca="1">_xll.qlCalendarAdvance(H10,H11,H8)</f>
        <v>44813</v>
      </c>
      <c r="I12" s="112">
        <f ca="1">_xll.qlCalendarAdvance(I10,I11,I8)</f>
        <v>45180</v>
      </c>
      <c r="J12" s="112">
        <f ca="1">_xll.qlCalendarAdvance(J10,J11,J8)</f>
        <v>45546</v>
      </c>
      <c r="K12" s="112">
        <f ca="1">_xll.qlCalendarAdvance(K10,K11,K8)</f>
        <v>45911</v>
      </c>
      <c r="L12" s="112">
        <f ca="1">_xll.qlCalendarAdvance(L10,L11,L8)</f>
        <v>46275</v>
      </c>
      <c r="M12" s="112">
        <f ca="1">_xll.qlCalendarAdvance(M10,M11,M8)</f>
        <v>43353</v>
      </c>
      <c r="N12" s="112">
        <f ca="1">_xll.qlCalendarAdvance(N10,N11,N8)</f>
        <v>43719</v>
      </c>
      <c r="O12" s="112">
        <f ca="1">_xll.qlCalendarAdvance(O10,O11,O8)</f>
        <v>44085</v>
      </c>
      <c r="P12" s="112">
        <f ca="1">_xll.qlCalendarAdvance(P10,P11,P8)</f>
        <v>44452</v>
      </c>
      <c r="Q12" s="112">
        <f ca="1">_xll.qlCalendarAdvance(Q10,Q11,Q8)</f>
        <v>44813</v>
      </c>
      <c r="R12" s="112">
        <f ca="1">_xll.qlCalendarAdvance(R10,R11,R8)</f>
        <v>45180</v>
      </c>
      <c r="S12" s="112">
        <f ca="1">_xll.qlCalendarAdvance(S10,S11,S8)</f>
        <v>45544</v>
      </c>
      <c r="T12" s="112">
        <f ca="1">_xll.qlCalendarAdvance(T10,T11,T8)</f>
        <v>45911</v>
      </c>
      <c r="U12" s="112">
        <f ca="1">_xll.qlCalendarAdvance(U10,U11,U8)</f>
        <v>46276</v>
      </c>
      <c r="V12" s="112">
        <f ca="1">_xll.qlCalendarAdvance(V10,V11,V8)</f>
        <v>46640</v>
      </c>
      <c r="W12" s="112">
        <f ca="1">_xll.qlCalendarAdvance(W10,W11,W8)</f>
        <v>43717</v>
      </c>
      <c r="X12" s="112">
        <f ca="1">_xll.qlCalendarAdvance(X10,X11,X8)</f>
        <v>44085</v>
      </c>
      <c r="Y12" s="112">
        <f ca="1">_xll.qlCalendarAdvance(Y10,Y11,Y8)</f>
        <v>44452</v>
      </c>
      <c r="Z12" s="112">
        <f ca="1">_xll.qlCalendarAdvance(Z10,Z11,Z8)</f>
        <v>44816</v>
      </c>
      <c r="AA12" s="112">
        <f ca="1">_xll.qlCalendarAdvance(AA10,AA11,AA8)</f>
        <v>45180</v>
      </c>
      <c r="AB12" s="112">
        <f ca="1">_xll.qlCalendarAdvance(AB10,AB11,AB8)</f>
        <v>45544</v>
      </c>
      <c r="AC12" s="112">
        <f ca="1">_xll.qlCalendarAdvance(AC10,AC11,AC8)</f>
        <v>45909</v>
      </c>
      <c r="AD12" s="112">
        <f ca="1">_xll.qlCalendarAdvance(AD10,AD11,AD8)</f>
        <v>46276</v>
      </c>
      <c r="AE12" s="112">
        <f ca="1">_xll.qlCalendarAdvance(AE10,AE11,AE8)</f>
        <v>46643</v>
      </c>
      <c r="AF12" s="112">
        <f ca="1">_xll.qlCalendarAdvance(AF10,AF11,AF8)</f>
        <v>47007</v>
      </c>
      <c r="AG12" s="112">
        <f ca="1">_xll.qlCalendarAdvance(AG10,AG11,AG8)</f>
        <v>44083</v>
      </c>
      <c r="AH12" s="112">
        <f ca="1">_xll.qlCalendarAdvance(AH10,AH11,AH8)</f>
        <v>44452</v>
      </c>
      <c r="AI12" s="112">
        <f ca="1">_xll.qlCalendarAdvance(AI10,AI11,AI8)</f>
        <v>44816</v>
      </c>
      <c r="AJ12" s="112">
        <f ca="1">_xll.qlCalendarAdvance(AJ10,AJ11,AJ8)</f>
        <v>45180</v>
      </c>
      <c r="AK12" s="112">
        <f ca="1">_xll.qlCalendarAdvance(AK10,AK11,AK8)</f>
        <v>45544</v>
      </c>
      <c r="AL12" s="112">
        <f ca="1">_xll.qlCalendarAdvance(AL10,AL11,AL8)</f>
        <v>45909</v>
      </c>
      <c r="AM12" s="112">
        <f ca="1">_xll.qlCalendarAdvance(AM10,AM11,AM8)</f>
        <v>46274</v>
      </c>
      <c r="AN12" s="112">
        <f ca="1">_xll.qlCalendarAdvance(AN10,AN11,AN8)</f>
        <v>46643</v>
      </c>
      <c r="AO12" s="112">
        <f ca="1">_xll.qlCalendarAdvance(AO10,AO11,AO8)</f>
        <v>47007</v>
      </c>
      <c r="AP12" s="112">
        <f ca="1">_xll.qlCalendarAdvance(AP10,AP11,AP8)</f>
        <v>47371</v>
      </c>
      <c r="AQ12" s="112">
        <f ca="1">_xll.qlCalendarAdvance(AQ10,AQ11,AQ8)</f>
        <v>44448</v>
      </c>
      <c r="AR12" s="112">
        <f ca="1">_xll.qlCalendarAdvance(AR10,AR11,AR8)</f>
        <v>44816</v>
      </c>
      <c r="AS12" s="112">
        <f ca="1">_xll.qlCalendarAdvance(AS10,AS11,AS8)</f>
        <v>45180</v>
      </c>
      <c r="AT12" s="112">
        <f ca="1">_xll.qlCalendarAdvance(AT10,AT11,AT8)</f>
        <v>45546</v>
      </c>
      <c r="AU12" s="112">
        <f ca="1">_xll.qlCalendarAdvance(AU10,AU11,AU8)</f>
        <v>45909</v>
      </c>
      <c r="AV12" s="112">
        <f ca="1">_xll.qlCalendarAdvance(AV10,AV11,AV8)</f>
        <v>46274</v>
      </c>
      <c r="AW12" s="112">
        <f ca="1">_xll.qlCalendarAdvance(AW10,AW11,AW8)</f>
        <v>46639</v>
      </c>
      <c r="AX12" s="112">
        <f ca="1">_xll.qlCalendarAdvance(AX10,AX11,AX8)</f>
        <v>47007</v>
      </c>
      <c r="AY12" s="112">
        <f ca="1">_xll.qlCalendarAdvance(AY10,AY11,AY8)</f>
        <v>47372</v>
      </c>
      <c r="AZ12" s="112">
        <f ca="1">_xll.qlCalendarAdvance(AZ10,AZ11,AZ8)</f>
        <v>47736</v>
      </c>
      <c r="BA12" s="112">
        <f ca="1">_xll.qlCalendarAdvance(BA10,BA11,BA8)</f>
        <v>44813</v>
      </c>
      <c r="BB12" s="112">
        <f ca="1">_xll.qlCalendarAdvance(BB10,BB11,BB8)</f>
        <v>45180</v>
      </c>
      <c r="BC12" s="112">
        <f ca="1">_xll.qlCalendarAdvance(BC10,BC11,BC8)</f>
        <v>45546</v>
      </c>
      <c r="BD12" s="112">
        <f ca="1">_xll.qlCalendarAdvance(BD10,BD11,BD8)</f>
        <v>45911</v>
      </c>
      <c r="BE12" s="112">
        <f ca="1">_xll.qlCalendarAdvance(BE10,BE11,BE8)</f>
        <v>46274</v>
      </c>
      <c r="BF12" s="112">
        <f ca="1">_xll.qlCalendarAdvance(BF10,BF11,BF8)</f>
        <v>46639</v>
      </c>
      <c r="BG12" s="112">
        <f ca="1">_xll.qlCalendarAdvance(BG10,BG11,BG8)</f>
        <v>47007</v>
      </c>
      <c r="BH12" s="112">
        <f ca="1">_xll.qlCalendarAdvance(BH10,BH11,BH8)</f>
        <v>47372</v>
      </c>
      <c r="BI12" s="112">
        <f ca="1">_xll.qlCalendarAdvance(BI10,BI11,BI8)</f>
        <v>47737</v>
      </c>
      <c r="BJ12" s="112">
        <f ca="1">_xll.qlCalendarAdvance(BJ10,BJ11,BJ8)</f>
        <v>48101</v>
      </c>
      <c r="BK12" s="112">
        <f ca="1">_xll.qlCalendarAdvance(BK10,BK11,BK8)</f>
        <v>45180</v>
      </c>
      <c r="BL12" s="112">
        <f ca="1">_xll.qlCalendarAdvance(BL10,BL11,BL8)</f>
        <v>45546</v>
      </c>
      <c r="BM12" s="112">
        <f ca="1">_xll.qlCalendarAdvance(BM10,BM11,BM8)</f>
        <v>45911</v>
      </c>
      <c r="BN12" s="112">
        <f ca="1">_xll.qlCalendarAdvance(BN10,BN11,BN8)</f>
        <v>46276</v>
      </c>
      <c r="BO12" s="112">
        <f ca="1">_xll.qlCalendarAdvance(BO10,BO11,BO8)</f>
        <v>46639</v>
      </c>
      <c r="BP12" s="112">
        <f ca="1">_xll.qlCalendarAdvance(BP10,BP11,BP8)</f>
        <v>47007</v>
      </c>
      <c r="BQ12" s="112">
        <f ca="1">_xll.qlCalendarAdvance(BQ10,BQ11,BQ8)</f>
        <v>47371</v>
      </c>
      <c r="BR12" s="112">
        <f ca="1">_xll.qlCalendarAdvance(BR10,BR11,BR8)</f>
        <v>47737</v>
      </c>
      <c r="BS12" s="112">
        <f ca="1">_xll.qlCalendarAdvance(BS10,BS11,BS8)</f>
        <v>48102</v>
      </c>
      <c r="BT12" s="112">
        <f ca="1">_xll.qlCalendarAdvance(BT10,BT11,BT8)</f>
        <v>48467</v>
      </c>
      <c r="BU12" s="112">
        <f ca="1">_xll.qlCalendarAdvance(BU10,BU11,BU8)</f>
        <v>45544</v>
      </c>
      <c r="BV12" s="112">
        <f ca="1">_xll.qlCalendarAdvance(BV10,BV11,BV8)</f>
        <v>45911</v>
      </c>
      <c r="BW12" s="112">
        <f ca="1">_xll.qlCalendarAdvance(BW10,BW11,BW8)</f>
        <v>46276</v>
      </c>
      <c r="BX12" s="112">
        <f ca="1">_xll.qlCalendarAdvance(BX10,BX11,BX8)</f>
        <v>46643</v>
      </c>
      <c r="BY12" s="112">
        <f ca="1">_xll.qlCalendarAdvance(BY10,BY11,BY8)</f>
        <v>47007</v>
      </c>
      <c r="BZ12" s="112">
        <f ca="1">_xll.qlCalendarAdvance(BZ10,BZ11,BZ8)</f>
        <v>47371</v>
      </c>
      <c r="CA12" s="112">
        <f ca="1">_xll.qlCalendarAdvance(CA10,CA11,CA8)</f>
        <v>47735</v>
      </c>
      <c r="CB12" s="112">
        <f ca="1">_xll.qlCalendarAdvance(CB10,CB11,CB8)</f>
        <v>48102</v>
      </c>
      <c r="CC12" s="112">
        <f ca="1">_xll.qlCalendarAdvance(CC10,CC11,CC8)</f>
        <v>48470</v>
      </c>
      <c r="CD12" s="112">
        <f ca="1">_xll.qlCalendarAdvance(CD10,CD11,CD8)</f>
        <v>48834</v>
      </c>
      <c r="CE12" s="112">
        <f ca="1">_xll.qlCalendarAdvance(CE10,CE11,CE8)</f>
        <v>45909</v>
      </c>
      <c r="CF12" s="112">
        <f ca="1">_xll.qlCalendarAdvance(CF10,CF11,CF8)</f>
        <v>46276</v>
      </c>
      <c r="CG12" s="112">
        <f ca="1">_xll.qlCalendarAdvance(CG10,CG11,CG8)</f>
        <v>46643</v>
      </c>
      <c r="CH12" s="112">
        <f ca="1">_xll.qlCalendarAdvance(CH10,CH11,CH8)</f>
        <v>47007</v>
      </c>
      <c r="CI12" s="112">
        <f ca="1">_xll.qlCalendarAdvance(CI10,CI11,CI8)</f>
        <v>47371</v>
      </c>
      <c r="CJ12" s="112">
        <f ca="1">_xll.qlCalendarAdvance(CJ10,CJ11,CJ8)</f>
        <v>47735</v>
      </c>
      <c r="CK12" s="112">
        <f ca="1">_xll.qlCalendarAdvance(CK10,CK11,CK8)</f>
        <v>48100</v>
      </c>
      <c r="CL12" s="112">
        <f ca="1">_xll.qlCalendarAdvance(CL10,CL11,CL8)</f>
        <v>48470</v>
      </c>
      <c r="CM12" s="112">
        <f ca="1">_xll.qlCalendarAdvance(CM10,CM11,CM8)</f>
        <v>48834</v>
      </c>
      <c r="CN12" s="112">
        <f ca="1">_xll.qlCalendarAdvance(CN10,CN11,CN8)</f>
        <v>49198</v>
      </c>
      <c r="CO12" s="112">
        <f ca="1">_xll.qlCalendarAdvance(CO10,CO11,CO8)</f>
        <v>46274</v>
      </c>
      <c r="CP12" s="112">
        <f ca="1">_xll.qlCalendarAdvance(CP10,CP11,CP8)</f>
        <v>46643</v>
      </c>
      <c r="CQ12" s="112">
        <f ca="1">_xll.qlCalendarAdvance(CQ10,CQ11,CQ8)</f>
        <v>47007</v>
      </c>
      <c r="CR12" s="112">
        <f ca="1">_xll.qlCalendarAdvance(CR10,CR11,CR8)</f>
        <v>47372</v>
      </c>
      <c r="CS12" s="112">
        <f ca="1">_xll.qlCalendarAdvance(CS10,CS11,CS8)</f>
        <v>47735</v>
      </c>
      <c r="CT12" s="112">
        <f ca="1">_xll.qlCalendarAdvance(CT10,CT11,CT8)</f>
        <v>48100</v>
      </c>
      <c r="CU12" s="112">
        <f ca="1">_xll.qlCalendarAdvance(CU10,CU11,CU8)</f>
        <v>48466</v>
      </c>
      <c r="CV12" s="112">
        <f ca="1">_xll.qlCalendarAdvance(CV10,CV11,CV8)</f>
        <v>48834</v>
      </c>
      <c r="CW12" s="112">
        <f ca="1">_xll.qlCalendarAdvance(CW10,CW11,CW8)</f>
        <v>49198</v>
      </c>
      <c r="CX12" s="112">
        <f ca="1">_xll.qlCalendarAdvance(CX10,CX11,CX8)</f>
        <v>49562</v>
      </c>
      <c r="DD12" s="97" t="e">
        <f ca="1"/>
        <v>#NUM!</v>
      </c>
      <c r="DE12" s="98" t="e">
        <f ca="1"/>
        <v>#NUM!</v>
      </c>
      <c r="DT12" s="99">
        <v>0</v>
      </c>
      <c r="DU12" s="100">
        <v>0</v>
      </c>
      <c r="DV12" s="100">
        <v>0</v>
      </c>
      <c r="DW12" s="100">
        <v>0</v>
      </c>
      <c r="DX12" s="100">
        <v>1</v>
      </c>
      <c r="DY12" s="100">
        <v>0</v>
      </c>
      <c r="DZ12" s="100">
        <v>0</v>
      </c>
      <c r="EA12" s="100">
        <v>0</v>
      </c>
      <c r="EB12" s="100">
        <v>0</v>
      </c>
      <c r="EC12" s="101">
        <v>0</v>
      </c>
    </row>
    <row r="13" spans="2:133" ht="13.5" thickBot="1">
      <c r="CZ13" s="5" t="s">
        <v>56</v>
      </c>
      <c r="DA13" s="6" t="str">
        <f ca="1">_xll.qlBondOptionEngine(,DA16,DA17,DA18,DA19)</f>
        <v>obj_009c8#0000</v>
      </c>
      <c r="DD13" s="97" t="e">
        <f ca="1"/>
        <v>#NUM!</v>
      </c>
      <c r="DE13" s="98" t="e">
        <f ca="1"/>
        <v>#NUM!</v>
      </c>
      <c r="DT13" s="99">
        <v>0</v>
      </c>
      <c r="DU13" s="100">
        <v>0</v>
      </c>
      <c r="DV13" s="100">
        <v>0</v>
      </c>
      <c r="DW13" s="100">
        <v>0</v>
      </c>
      <c r="DX13" s="100">
        <v>0</v>
      </c>
      <c r="DY13" s="100">
        <v>1</v>
      </c>
      <c r="DZ13" s="100">
        <v>0</v>
      </c>
      <c r="EA13" s="100">
        <v>0</v>
      </c>
      <c r="EB13" s="100">
        <v>0</v>
      </c>
      <c r="EC13" s="101">
        <v>0</v>
      </c>
    </row>
    <row r="14" spans="2:133">
      <c r="B14" s="102" t="s">
        <v>39</v>
      </c>
      <c r="C14" s="113" t="str">
        <f ca="1">_xll.qlSchedule(C16,C17,C18,C19,C20,C21,C22,C23,C24,C25,C26,C27,C28)</f>
        <v>obj_009fc#0000</v>
      </c>
      <c r="D14" s="113" t="str">
        <f ca="1">_xll.qlSchedule(D16,D17,D18,D19,D20,D21,D22,D23,D24,D25,D26,D27,D28)</f>
        <v>obj_00a10#0000</v>
      </c>
      <c r="E14" s="113" t="str">
        <f ca="1">_xll.qlSchedule(E16,E17,E18,E19,E20,E21,E22,E23,E24,E25,E26,E27,E28)</f>
        <v>obj_00a14#0000</v>
      </c>
      <c r="F14" s="113" t="str">
        <f ca="1">_xll.qlSchedule(F16,F17,F18,F19,F20,F21,F22,F23,F24,F25,F26,F27,F28)</f>
        <v>obj_00a0a#0000</v>
      </c>
      <c r="G14" s="113" t="str">
        <f ca="1">_xll.qlSchedule(G16,G17,G18,G19,G20,G21,G22,G23,G24,G25,G26,G27,G28)</f>
        <v>obj_00a09#0000</v>
      </c>
      <c r="H14" s="113" t="str">
        <f ca="1">_xll.qlSchedule(H16,H17,H18,H19,H20,H21,H22,H23,H24,H25,H26,H27,H28)</f>
        <v>obj_00989#0000</v>
      </c>
      <c r="I14" s="113" t="str">
        <f ca="1">_xll.qlSchedule(I16,I17,I18,I19,I20,I21,I22,I23,I24,I25,I26,I27,I28)</f>
        <v>obj_00a38#0000</v>
      </c>
      <c r="J14" s="113" t="str">
        <f ca="1">_xll.qlSchedule(J16,J17,J18,J19,J20,J21,J22,J23,J24,J25,J26,J27,J28)</f>
        <v>obj_009f9#0000</v>
      </c>
      <c r="K14" s="113" t="str">
        <f ca="1">_xll.qlSchedule(K16,K17,K18,K19,K20,K21,K22,K23,K24,K25,K26,K27,K28)</f>
        <v>obj_009ab#0000</v>
      </c>
      <c r="L14" s="113" t="str">
        <f ca="1">_xll.qlSchedule(L16,L17,L18,L19,L20,L21,L22,L23,L24,L25,L26,L27,L28)</f>
        <v>obj_00a2e#0000</v>
      </c>
      <c r="M14" s="113" t="str">
        <f ca="1">_xll.qlSchedule(M16,M17,M18,M19,M20,M21,M22,M23,M24,M25,M26,M27,M28)</f>
        <v>obj_00a2b#0000</v>
      </c>
      <c r="N14" s="113" t="str">
        <f ca="1">_xll.qlSchedule(N16,N17,N18,N19,N20,N21,N22,N23,N24,N25,N26,N27,N28)</f>
        <v>obj_009f6#0000</v>
      </c>
      <c r="O14" s="113" t="str">
        <f ca="1">_xll.qlSchedule(O16,O17,O18,O19,O20,O21,O22,O23,O24,O25,O26,O27,O28)</f>
        <v>obj_00999#0000</v>
      </c>
      <c r="P14" s="113" t="str">
        <f ca="1">_xll.qlSchedule(P16,P17,P18,P19,P20,P21,P22,P23,P24,P25,P26,P27,P28)</f>
        <v>obj_00a0e#0000</v>
      </c>
      <c r="Q14" s="113" t="str">
        <f ca="1">_xll.qlSchedule(Q16,Q17,Q18,Q19,Q20,Q21,Q22,Q23,Q24,Q25,Q26,Q27,Q28)</f>
        <v>obj_00a3f#0000</v>
      </c>
      <c r="R14" s="113" t="str">
        <f ca="1">_xll.qlSchedule(R16,R17,R18,R19,R20,R21,R22,R23,R24,R25,R26,R27,R28)</f>
        <v>obj_009f0#0000</v>
      </c>
      <c r="S14" s="113" t="str">
        <f ca="1">_xll.qlSchedule(S16,S17,S18,S19,S20,S21,S22,S23,S24,S25,S26,S27,S28)</f>
        <v>obj_00a07#0000</v>
      </c>
      <c r="T14" s="113" t="str">
        <f ca="1">_xll.qlSchedule(T16,T17,T18,T19,T20,T21,T22,T23,T24,T25,T26,T27,T28)</f>
        <v>obj_00a08#0000</v>
      </c>
      <c r="U14" s="113" t="str">
        <f ca="1">_xll.qlSchedule(U16,U17,U18,U19,U20,U21,U22,U23,U24,U25,U26,U27,U28)</f>
        <v>obj_009bd#0000</v>
      </c>
      <c r="V14" s="113" t="str">
        <f ca="1">_xll.qlSchedule(V16,V17,V18,V19,V20,V21,V22,V23,V24,V25,V26,V27,V28)</f>
        <v>obj_00a16#0000</v>
      </c>
      <c r="W14" s="113" t="str">
        <f ca="1">_xll.qlSchedule(W16,W17,W18,W19,W20,W21,W22,W23,W24,W25,W26,W27,W28)</f>
        <v>obj_009e6#0000</v>
      </c>
      <c r="X14" s="113" t="str">
        <f ca="1">_xll.qlSchedule(X16,X17,X18,X19,X20,X21,X22,X23,X24,X25,X26,X27,X28)</f>
        <v>obj_00a25#0000</v>
      </c>
      <c r="Y14" s="113" t="str">
        <f ca="1">_xll.qlSchedule(Y16,Y17,Y18,Y19,Y20,Y21,Y22,Y23,Y24,Y25,Y26,Y27,Y28)</f>
        <v>obj_0099c#0000</v>
      </c>
      <c r="Z14" s="113" t="str">
        <f ca="1">_xll.qlSchedule(Z16,Z17,Z18,Z19,Z20,Z21,Z22,Z23,Z24,Z25,Z26,Z27,Z28)</f>
        <v>obj_00a05#0000</v>
      </c>
      <c r="AA14" s="113" t="str">
        <f ca="1">_xll.qlSchedule(AA16,AA17,AA18,AA19,AA20,AA21,AA22,AA23,AA24,AA25,AA26,AA27,AA28)</f>
        <v>obj_009de#0000</v>
      </c>
      <c r="AB14" s="113" t="str">
        <f ca="1">_xll.qlSchedule(AB16,AB17,AB18,AB19,AB20,AB21,AB22,AB23,AB24,AB25,AB26,AB27,AB28)</f>
        <v>obj_009d6#0000</v>
      </c>
      <c r="AC14" s="113" t="str">
        <f ca="1">_xll.qlSchedule(AC16,AC17,AC18,AC19,AC20,AC21,AC22,AC23,AC24,AC25,AC26,AC27,AC28)</f>
        <v>obj_009ca#0000</v>
      </c>
      <c r="AD14" s="113" t="str">
        <f ca="1">_xll.qlSchedule(AD16,AD17,AD18,AD19,AD20,AD21,AD22,AD23,AD24,AD25,AD26,AD27,AD28)</f>
        <v>obj_009e3#0000</v>
      </c>
      <c r="AE14" s="113" t="str">
        <f ca="1">_xll.qlSchedule(AE16,AE17,AE18,AE19,AE20,AE21,AE22,AE23,AE24,AE25,AE26,AE27,AE28)</f>
        <v>obj_009cc#0000</v>
      </c>
      <c r="AF14" s="113" t="str">
        <f ca="1">_xll.qlSchedule(AF16,AF17,AF18,AF19,AF20,AF21,AF22,AF23,AF24,AF25,AF26,AF27,AF28)</f>
        <v>obj_00996#0000</v>
      </c>
      <c r="AG14" s="113" t="str">
        <f ca="1">_xll.qlSchedule(AG16,AG17,AG18,AG19,AG20,AG21,AG22,AG23,AG24,AG25,AG26,AG27,AG28)</f>
        <v>obj_009b7#0000</v>
      </c>
      <c r="AH14" s="113" t="str">
        <f ca="1">_xll.qlSchedule(AH16,AH17,AH18,AH19,AH20,AH21,AH22,AH23,AH24,AH25,AH26,AH27,AH28)</f>
        <v>obj_00a01#0000</v>
      </c>
      <c r="AI14" s="113" t="str">
        <f ca="1">_xll.qlSchedule(AI16,AI17,AI18,AI19,AI20,AI21,AI22,AI23,AI24,AI25,AI26,AI27,AI28)</f>
        <v>obj_00a3c#0000</v>
      </c>
      <c r="AJ14" s="113" t="str">
        <f ca="1">_xll.qlSchedule(AJ16,AJ17,AJ18,AJ19,AJ20,AJ21,AJ22,AJ23,AJ24,AJ25,AJ26,AJ27,AJ28)</f>
        <v>obj_0099e#0000</v>
      </c>
      <c r="AK14" s="113" t="str">
        <f ca="1">_xll.qlSchedule(AK16,AK17,AK18,AK19,AK20,AK21,AK22,AK23,AK24,AK25,AK26,AK27,AK28)</f>
        <v>obj_009ec#0000</v>
      </c>
      <c r="AL14" s="113" t="str">
        <f ca="1">_xll.qlSchedule(AL16,AL17,AL18,AL19,AL20,AL21,AL22,AL23,AL24,AL25,AL26,AL27,AL28)</f>
        <v>obj_009ea#0000</v>
      </c>
      <c r="AM14" s="113" t="str">
        <f ca="1">_xll.qlSchedule(AM16,AM17,AM18,AM19,AM20,AM21,AM22,AM23,AM24,AM25,AM26,AM27,AM28)</f>
        <v>obj_00a3e#0000</v>
      </c>
      <c r="AN14" s="113" t="str">
        <f ca="1">_xll.qlSchedule(AN16,AN17,AN18,AN19,AN20,AN21,AN22,AN23,AN24,AN25,AN26,AN27,AN28)</f>
        <v>obj_009bc#0000</v>
      </c>
      <c r="AO14" s="113" t="str">
        <f ca="1">_xll.qlSchedule(AO16,AO17,AO18,AO19,AO20,AO21,AO22,AO23,AO24,AO25,AO26,AO27,AO28)</f>
        <v>obj_00a45#0000</v>
      </c>
      <c r="AP14" s="113" t="str">
        <f ca="1">_xll.qlSchedule(AP16,AP17,AP18,AP19,AP20,AP21,AP22,AP23,AP24,AP25,AP26,AP27,AP28)</f>
        <v>obj_00a12#0000</v>
      </c>
      <c r="AQ14" s="113" t="str">
        <f ca="1">_xll.qlSchedule(AQ16,AQ17,AQ18,AQ19,AQ20,AQ21,AQ22,AQ23,AQ24,AQ25,AQ26,AQ27,AQ28)</f>
        <v>obj_009ac#0000</v>
      </c>
      <c r="AR14" s="113" t="str">
        <f ca="1">_xll.qlSchedule(AR16,AR17,AR18,AR19,AR20,AR21,AR22,AR23,AR24,AR25,AR26,AR27,AR28)</f>
        <v>obj_00a3a#0000</v>
      </c>
      <c r="AS14" s="113" t="str">
        <f ca="1">_xll.qlSchedule(AS16,AS17,AS18,AS19,AS20,AS21,AS22,AS23,AS24,AS25,AS26,AS27,AS28)</f>
        <v>obj_00a37#0000</v>
      </c>
      <c r="AT14" s="113" t="str">
        <f ca="1">_xll.qlSchedule(AT16,AT17,AT18,AT19,AT20,AT21,AT22,AT23,AT24,AT25,AT26,AT27,AT28)</f>
        <v>obj_009ff#0000</v>
      </c>
      <c r="AU14" s="113" t="str">
        <f ca="1">_xll.qlSchedule(AU16,AU17,AU18,AU19,AU20,AU21,AU22,AU23,AU24,AU25,AU26,AU27,AU28)</f>
        <v>obj_0099a#0000</v>
      </c>
      <c r="AV14" s="113" t="str">
        <f ca="1">_xll.qlSchedule(AV16,AV17,AV18,AV19,AV20,AV21,AV22,AV23,AV24,AV25,AV26,AV27,AV28)</f>
        <v>obj_00a1a#0000</v>
      </c>
      <c r="AW14" s="113" t="str">
        <f ca="1">_xll.qlSchedule(AW16,AW17,AW18,AW19,AW20,AW21,AW22,AW23,AW24,AW25,AW26,AW27,AW28)</f>
        <v>obj_009e9#0000</v>
      </c>
      <c r="AX14" s="113" t="str">
        <f ca="1">_xll.qlSchedule(AX16,AX17,AX18,AX19,AX20,AX21,AX22,AX23,AX24,AX25,AX26,AX27,AX28)</f>
        <v>obj_00a36#0000</v>
      </c>
      <c r="AY14" s="113" t="str">
        <f ca="1">_xll.qlSchedule(AY16,AY17,AY18,AY19,AY20,AY21,AY22,AY23,AY24,AY25,AY26,AY27,AY28)</f>
        <v>obj_00a03#0000</v>
      </c>
      <c r="AZ14" s="113" t="str">
        <f ca="1">_xll.qlSchedule(AZ16,AZ17,AZ18,AZ19,AZ20,AZ21,AZ22,AZ23,AZ24,AZ25,AZ26,AZ27,AZ28)</f>
        <v>obj_009e2#0000</v>
      </c>
      <c r="BA14" s="113" t="str">
        <f ca="1">_xll.qlSchedule(BA16,BA17,BA18,BA19,BA20,BA21,BA22,BA23,BA24,BA25,BA26,BA27,BA28)</f>
        <v>obj_0098b#0000</v>
      </c>
      <c r="BB14" s="113" t="str">
        <f ca="1">_xll.qlSchedule(BB16,BB17,BB18,BB19,BB20,BB21,BB22,BB23,BB24,BB25,BB26,BB27,BB28)</f>
        <v>obj_00a24#0000</v>
      </c>
      <c r="BC14" s="113" t="str">
        <f ca="1">_xll.qlSchedule(BC16,BC17,BC18,BC19,BC20,BC21,BC22,BC23,BC24,BC25,BC26,BC27,BC28)</f>
        <v>obj_009b4#0000</v>
      </c>
      <c r="BD14" s="113" t="str">
        <f ca="1">_xll.qlSchedule(BD16,BD17,BD18,BD19,BD20,BD21,BD22,BD23,BD24,BD25,BD26,BD27,BD28)</f>
        <v>obj_00a0b#0000</v>
      </c>
      <c r="BE14" s="113" t="str">
        <f ca="1">_xll.qlSchedule(BE16,BE17,BE18,BE19,BE20,BE21,BE22,BE23,BE24,BE25,BE26,BE27,BE28)</f>
        <v>obj_009cf#0000</v>
      </c>
      <c r="BF14" s="113" t="str">
        <f ca="1">_xll.qlSchedule(BF16,BF17,BF18,BF19,BF20,BF21,BF22,BF23,BF24,BF25,BF26,BF27,BF28)</f>
        <v>obj_00a1e#0000</v>
      </c>
      <c r="BG14" s="113" t="str">
        <f ca="1">_xll.qlSchedule(BG16,BG17,BG18,BG19,BG20,BG21,BG22,BG23,BG24,BG25,BG26,BG27,BG28)</f>
        <v>obj_00a49#0000</v>
      </c>
      <c r="BH14" s="113" t="str">
        <f ca="1">_xll.qlSchedule(BH16,BH17,BH18,BH19,BH20,BH21,BH22,BH23,BH24,BH25,BH26,BH27,BH28)</f>
        <v>obj_009a4#0000</v>
      </c>
      <c r="BI14" s="113" t="str">
        <f ca="1">_xll.qlSchedule(BI16,BI17,BI18,BI19,BI20,BI21,BI22,BI23,BI24,BI25,BI26,BI27,BI28)</f>
        <v>obj_00998#0000</v>
      </c>
      <c r="BJ14" s="113" t="str">
        <f ca="1">_xll.qlSchedule(BJ16,BJ17,BJ18,BJ19,BJ20,BJ21,BJ22,BJ23,BJ24,BJ25,BJ26,BJ27,BJ28)</f>
        <v>obj_009b1#0000</v>
      </c>
      <c r="BK14" s="113" t="str">
        <f ca="1">_xll.qlSchedule(BK16,BK17,BK18,BK19,BK20,BK21,BK22,BK23,BK24,BK25,BK26,BK27,BK28)</f>
        <v>obj_009cd#0000</v>
      </c>
      <c r="BL14" s="113" t="str">
        <f ca="1">_xll.qlSchedule(BL16,BL17,BL18,BL19,BL20,BL21,BL22,BL23,BL24,BL25,BL26,BL27,BL28)</f>
        <v>obj_009c9#0000</v>
      </c>
      <c r="BM14" s="113" t="str">
        <f ca="1">_xll.qlSchedule(BM16,BM17,BM18,BM19,BM20,BM21,BM22,BM23,BM24,BM25,BM26,BM27,BM28)</f>
        <v>obj_00985#0000</v>
      </c>
      <c r="BN14" s="113" t="str">
        <f ca="1">_xll.qlSchedule(BN16,BN17,BN18,BN19,BN20,BN21,BN22,BN23,BN24,BN25,BN26,BN27,BN28)</f>
        <v>obj_00a43#0000</v>
      </c>
      <c r="BO14" s="113" t="str">
        <f ca="1">_xll.qlSchedule(BO16,BO17,BO18,BO19,BO20,BO21,BO22,BO23,BO24,BO25,BO26,BO27,BO28)</f>
        <v>obj_009df#0000</v>
      </c>
      <c r="BP14" s="113" t="str">
        <f ca="1">_xll.qlSchedule(BP16,BP17,BP18,BP19,BP20,BP21,BP22,BP23,BP24,BP25,BP26,BP27,BP28)</f>
        <v>obj_00a1c#0000</v>
      </c>
      <c r="BQ14" s="113" t="str">
        <f ca="1">_xll.qlSchedule(BQ16,BQ17,BQ18,BQ19,BQ20,BQ21,BQ22,BQ23,BQ24,BQ25,BQ26,BQ27,BQ28)</f>
        <v>obj_00a26#0000</v>
      </c>
      <c r="BR14" s="113" t="str">
        <f ca="1">_xll.qlSchedule(BR16,BR17,BR18,BR19,BR20,BR21,BR22,BR23,BR24,BR25,BR26,BR27,BR28)</f>
        <v>obj_00a33#0000</v>
      </c>
      <c r="BS14" s="113" t="str">
        <f ca="1">_xll.qlSchedule(BS16,BS17,BS18,BS19,BS20,BS21,BS22,BS23,BS24,BS25,BS26,BS27,BS28)</f>
        <v>obj_009f8#0000</v>
      </c>
      <c r="BT14" s="113" t="str">
        <f ca="1">_xll.qlSchedule(BT16,BT17,BT18,BT19,BT20,BT21,BT22,BT23,BT24,BT25,BT26,BT27,BT28)</f>
        <v>obj_0098a#0000</v>
      </c>
      <c r="BU14" s="113" t="str">
        <f ca="1">_xll.qlSchedule(BU16,BU17,BU18,BU19,BU20,BU21,BU22,BU23,BU24,BU25,BU26,BU27,BU28)</f>
        <v>obj_00a44#0000</v>
      </c>
      <c r="BV14" s="113" t="str">
        <f ca="1">_xll.qlSchedule(BV16,BV17,BV18,BV19,BV20,BV21,BV22,BV23,BV24,BV25,BV26,BV27,BV28)</f>
        <v>obj_009fa#0000</v>
      </c>
      <c r="BW14" s="113" t="str">
        <f ca="1">_xll.qlSchedule(BW16,BW17,BW18,BW19,BW20,BW21,BW22,BW23,BW24,BW25,BW26,BW27,BW28)</f>
        <v>obj_009fd#0000</v>
      </c>
      <c r="BX14" s="113" t="str">
        <f ca="1">_xll.qlSchedule(BX16,BX17,BX18,BX19,BX20,BX21,BX22,BX23,BX24,BX25,BX26,BX27,BX28)</f>
        <v>obj_00a47#0000</v>
      </c>
      <c r="BY14" s="113" t="str">
        <f ca="1">_xll.qlSchedule(BY16,BY17,BY18,BY19,BY20,BY21,BY22,BY23,BY24,BY25,BY26,BY27,BY28)</f>
        <v>obj_009f5#0000</v>
      </c>
      <c r="BZ14" s="113" t="str">
        <f ca="1">_xll.qlSchedule(BZ16,BZ17,BZ18,BZ19,BZ20,BZ21,BZ22,BZ23,BZ24,BZ25,BZ26,BZ27,BZ28)</f>
        <v>obj_009d2#0000</v>
      </c>
      <c r="CA14" s="113" t="str">
        <f ca="1">_xll.qlSchedule(CA16,CA17,CA18,CA19,CA20,CA21,CA22,CA23,CA24,CA25,CA26,CA27,CA28)</f>
        <v>obj_0099b#0000</v>
      </c>
      <c r="CB14" s="113" t="str">
        <f ca="1">_xll.qlSchedule(CB16,CB17,CB18,CB19,CB20,CB21,CB22,CB23,CB24,CB25,CB26,CB27,CB28)</f>
        <v>obj_009f2#0000</v>
      </c>
      <c r="CC14" s="113" t="str">
        <f ca="1">_xll.qlSchedule(CC16,CC17,CC18,CC19,CC20,CC21,CC22,CC23,CC24,CC25,CC26,CC27,CC28)</f>
        <v>obj_00a23#0000</v>
      </c>
      <c r="CD14" s="113" t="str">
        <f ca="1">_xll.qlSchedule(CD16,CD17,CD18,CD19,CD20,CD21,CD22,CD23,CD24,CD25,CD26,CD27,CD28)</f>
        <v>obj_009f1#0000</v>
      </c>
      <c r="CE14" s="113" t="str">
        <f ca="1">_xll.qlSchedule(CE16,CE17,CE18,CE19,CE20,CE21,CE22,CE23,CE24,CE25,CE26,CE27,CE28)</f>
        <v>obj_009ad#0000</v>
      </c>
      <c r="CF14" s="113" t="str">
        <f ca="1">_xll.qlSchedule(CF16,CF17,CF18,CF19,CF20,CF21,CF22,CF23,CF24,CF25,CF26,CF27,CF28)</f>
        <v>obj_00a3d#0000</v>
      </c>
      <c r="CG14" s="113" t="str">
        <f ca="1">_xll.qlSchedule(CG16,CG17,CG18,CG19,CG20,CG21,CG22,CG23,CG24,CG25,CG26,CG27,CG28)</f>
        <v>obj_009be#0000</v>
      </c>
      <c r="CH14" s="113" t="str">
        <f ca="1">_xll.qlSchedule(CH16,CH17,CH18,CH19,CH20,CH21,CH22,CH23,CH24,CH25,CH26,CH27,CH28)</f>
        <v>obj_00a40#0000</v>
      </c>
      <c r="CI14" s="113" t="str">
        <f ca="1">_xll.qlSchedule(CI16,CI17,CI18,CI19,CI20,CI21,CI22,CI23,CI24,CI25,CI26,CI27,CI28)</f>
        <v>obj_009a3#0000</v>
      </c>
      <c r="CJ14" s="113" t="str">
        <f ca="1">_xll.qlSchedule(CJ16,CJ17,CJ18,CJ19,CJ20,CJ21,CJ22,CJ23,CJ24,CJ25,CJ26,CJ27,CJ28)</f>
        <v>obj_00a17#0000</v>
      </c>
      <c r="CK14" s="113" t="str">
        <f ca="1">_xll.qlSchedule(CK16,CK17,CK18,CK19,CK20,CK21,CK22,CK23,CK24,CK25,CK26,CK27,CK28)</f>
        <v>obj_0099d#0000</v>
      </c>
      <c r="CL14" s="113" t="str">
        <f ca="1">_xll.qlSchedule(CL16,CL17,CL18,CL19,CL20,CL21,CL22,CL23,CL24,CL25,CL26,CL27,CL28)</f>
        <v>obj_00a2f#0000</v>
      </c>
      <c r="CM14" s="113" t="str">
        <f ca="1">_xll.qlSchedule(CM16,CM17,CM18,CM19,CM20,CM21,CM22,CM23,CM24,CM25,CM26,CM27,CM28)</f>
        <v>obj_00a30#0000</v>
      </c>
      <c r="CN14" s="113" t="str">
        <f ca="1">_xll.qlSchedule(CN16,CN17,CN18,CN19,CN20,CN21,CN22,CN23,CN24,CN25,CN26,CN27,CN28)</f>
        <v>obj_009d7#0000</v>
      </c>
      <c r="CO14" s="113" t="str">
        <f ca="1">_xll.qlSchedule(CO16,CO17,CO18,CO19,CO20,CO21,CO22,CO23,CO24,CO25,CO26,CO27,CO28)</f>
        <v>obj_009cb#0000</v>
      </c>
      <c r="CP14" s="113" t="str">
        <f ca="1">_xll.qlSchedule(CP16,CP17,CP18,CP19,CP20,CP21,CP22,CP23,CP24,CP25,CP26,CP27,CP28)</f>
        <v>obj_009e4#0000</v>
      </c>
      <c r="CQ14" s="113" t="str">
        <f ca="1">_xll.qlSchedule(CQ16,CQ17,CQ18,CQ19,CQ20,CQ21,CQ22,CQ23,CQ24,CQ25,CQ26,CQ27,CQ28)</f>
        <v>obj_009ce#0000</v>
      </c>
      <c r="CR14" s="113" t="str">
        <f ca="1">_xll.qlSchedule(CR16,CR17,CR18,CR19,CR20,CR21,CR22,CR23,CR24,CR25,CR26,CR27,CR28)</f>
        <v>obj_00997#0000</v>
      </c>
      <c r="CS14" s="113" t="str">
        <f ca="1">_xll.qlSchedule(CS16,CS17,CS18,CS19,CS20,CS21,CS22,CS23,CS24,CS25,CS26,CS27,CS28)</f>
        <v>obj_009b8#0000</v>
      </c>
      <c r="CT14" s="113" t="str">
        <f ca="1">_xll.qlSchedule(CT16,CT17,CT18,CT19,CT20,CT21,CT22,CT23,CT24,CT25,CT26,CT27,CT28)</f>
        <v>obj_00a2a#0000</v>
      </c>
      <c r="CU14" s="113" t="str">
        <f ca="1">_xll.qlSchedule(CU16,CU17,CU18,CU19,CU20,CU21,CU22,CU23,CU24,CU25,CU26,CU27,CU28)</f>
        <v>obj_009e0#0000</v>
      </c>
      <c r="CV14" s="113" t="str">
        <f ca="1">_xll.qlSchedule(CV16,CV17,CV18,CV19,CV20,CV21,CV22,CV23,CV24,CV25,CV26,CV27,CV28)</f>
        <v>obj_009d1#0000</v>
      </c>
      <c r="CW14" s="113" t="str">
        <f ca="1">_xll.qlSchedule(CW16,CW17,CW18,CW19,CW20,CW21,CW22,CW23,CW24,CW25,CW26,CW27,CW28)</f>
        <v>obj_00a34#0000</v>
      </c>
      <c r="CX14" s="113" t="str">
        <f ca="1">_xll.qlSchedule(CX16,CX17,CX18,CX19,CX20,CX21,CX22,CX23,CX24,CX25,CX26,CX27,CX28)</f>
        <v>obj_009eb#0000</v>
      </c>
      <c r="CZ14" s="7" t="s">
        <v>5</v>
      </c>
      <c r="DA14" s="4" t="str">
        <f ca="1">_xll.ohRangeRetrieveError(DA13)</f>
        <v/>
      </c>
      <c r="DD14" s="97" t="e">
        <f ca="1"/>
        <v>#NUM!</v>
      </c>
      <c r="DE14" s="98" t="e">
        <f ca="1"/>
        <v>#NUM!</v>
      </c>
      <c r="DT14" s="99">
        <v>0</v>
      </c>
      <c r="DU14" s="100">
        <v>0</v>
      </c>
      <c r="DV14" s="100">
        <v>0</v>
      </c>
      <c r="DW14" s="100">
        <v>0</v>
      </c>
      <c r="DX14" s="100">
        <v>0</v>
      </c>
      <c r="DY14" s="100">
        <v>1</v>
      </c>
      <c r="DZ14" s="100">
        <v>0</v>
      </c>
      <c r="EA14" s="100">
        <v>0</v>
      </c>
      <c r="EB14" s="100">
        <v>0</v>
      </c>
      <c r="EC14" s="101">
        <v>0</v>
      </c>
    </row>
    <row r="15" spans="2:133" ht="13.5" thickBot="1">
      <c r="B15" s="107" t="s">
        <v>5</v>
      </c>
      <c r="C15" s="114" t="str">
        <f ca="1">_xll.ohRangeRetrieveError(C14)</f>
        <v/>
      </c>
      <c r="D15" s="114" t="str">
        <f ca="1">_xll.ohRangeRetrieveError(D14)</f>
        <v/>
      </c>
      <c r="E15" s="114" t="str">
        <f ca="1">_xll.ohRangeRetrieveError(E14)</f>
        <v/>
      </c>
      <c r="F15" s="114" t="str">
        <f ca="1">_xll.ohRangeRetrieveError(F14)</f>
        <v/>
      </c>
      <c r="G15" s="114" t="str">
        <f ca="1">_xll.ohRangeRetrieveError(G14)</f>
        <v/>
      </c>
      <c r="H15" s="114" t="str">
        <f ca="1">_xll.ohRangeRetrieveError(H14)</f>
        <v/>
      </c>
      <c r="I15" s="114" t="str">
        <f ca="1">_xll.ohRangeRetrieveError(I14)</f>
        <v/>
      </c>
      <c r="J15" s="114" t="str">
        <f ca="1">_xll.ohRangeRetrieveError(J14)</f>
        <v/>
      </c>
      <c r="K15" s="114" t="str">
        <f ca="1">_xll.ohRangeRetrieveError(K14)</f>
        <v/>
      </c>
      <c r="L15" s="114" t="str">
        <f ca="1">_xll.ohRangeRetrieveError(L14)</f>
        <v/>
      </c>
      <c r="M15" s="114" t="str">
        <f ca="1">_xll.ohRangeRetrieveError(M14)</f>
        <v/>
      </c>
      <c r="N15" s="114" t="str">
        <f ca="1">_xll.ohRangeRetrieveError(N14)</f>
        <v/>
      </c>
      <c r="O15" s="114" t="str">
        <f ca="1">_xll.ohRangeRetrieveError(O14)</f>
        <v/>
      </c>
      <c r="P15" s="114" t="str">
        <f ca="1">_xll.ohRangeRetrieveError(P14)</f>
        <v/>
      </c>
      <c r="Q15" s="114" t="str">
        <f ca="1">_xll.ohRangeRetrieveError(Q14)</f>
        <v/>
      </c>
      <c r="R15" s="114" t="str">
        <f ca="1">_xll.ohRangeRetrieveError(R14)</f>
        <v/>
      </c>
      <c r="S15" s="114" t="str">
        <f ca="1">_xll.ohRangeRetrieveError(S14)</f>
        <v/>
      </c>
      <c r="T15" s="114" t="str">
        <f ca="1">_xll.ohRangeRetrieveError(T14)</f>
        <v/>
      </c>
      <c r="U15" s="114" t="str">
        <f ca="1">_xll.ohRangeRetrieveError(U14)</f>
        <v/>
      </c>
      <c r="V15" s="114" t="str">
        <f ca="1">_xll.ohRangeRetrieveError(V14)</f>
        <v/>
      </c>
      <c r="W15" s="114" t="str">
        <f ca="1">_xll.ohRangeRetrieveError(W14)</f>
        <v/>
      </c>
      <c r="X15" s="114" t="str">
        <f ca="1">_xll.ohRangeRetrieveError(X14)</f>
        <v/>
      </c>
      <c r="Y15" s="114" t="str">
        <f ca="1">_xll.ohRangeRetrieveError(Y14)</f>
        <v/>
      </c>
      <c r="Z15" s="114" t="str">
        <f ca="1">_xll.ohRangeRetrieveError(Z14)</f>
        <v/>
      </c>
      <c r="AA15" s="114" t="str">
        <f ca="1">_xll.ohRangeRetrieveError(AA14)</f>
        <v/>
      </c>
      <c r="AB15" s="114" t="str">
        <f ca="1">_xll.ohRangeRetrieveError(AB14)</f>
        <v/>
      </c>
      <c r="AC15" s="114" t="str">
        <f ca="1">_xll.ohRangeRetrieveError(AC14)</f>
        <v/>
      </c>
      <c r="AD15" s="114" t="str">
        <f ca="1">_xll.ohRangeRetrieveError(AD14)</f>
        <v/>
      </c>
      <c r="AE15" s="114" t="str">
        <f ca="1">_xll.ohRangeRetrieveError(AE14)</f>
        <v/>
      </c>
      <c r="AF15" s="114" t="str">
        <f ca="1">_xll.ohRangeRetrieveError(AF14)</f>
        <v/>
      </c>
      <c r="AG15" s="114" t="str">
        <f ca="1">_xll.ohRangeRetrieveError(AG14)</f>
        <v/>
      </c>
      <c r="AH15" s="114" t="str">
        <f ca="1">_xll.ohRangeRetrieveError(AH14)</f>
        <v/>
      </c>
      <c r="AI15" s="114" t="str">
        <f ca="1">_xll.ohRangeRetrieveError(AI14)</f>
        <v/>
      </c>
      <c r="AJ15" s="114" t="str">
        <f ca="1">_xll.ohRangeRetrieveError(AJ14)</f>
        <v/>
      </c>
      <c r="AK15" s="114" t="str">
        <f ca="1">_xll.ohRangeRetrieveError(AK14)</f>
        <v/>
      </c>
      <c r="AL15" s="114" t="str">
        <f ca="1">_xll.ohRangeRetrieveError(AL14)</f>
        <v/>
      </c>
      <c r="AM15" s="114" t="str">
        <f ca="1">_xll.ohRangeRetrieveError(AM14)</f>
        <v/>
      </c>
      <c r="AN15" s="114" t="str">
        <f ca="1">_xll.ohRangeRetrieveError(AN14)</f>
        <v/>
      </c>
      <c r="AO15" s="114" t="str">
        <f ca="1">_xll.ohRangeRetrieveError(AO14)</f>
        <v/>
      </c>
      <c r="AP15" s="114" t="str">
        <f ca="1">_xll.ohRangeRetrieveError(AP14)</f>
        <v/>
      </c>
      <c r="AQ15" s="114" t="str">
        <f ca="1">_xll.ohRangeRetrieveError(AQ14)</f>
        <v/>
      </c>
      <c r="AR15" s="114" t="str">
        <f ca="1">_xll.ohRangeRetrieveError(AR14)</f>
        <v/>
      </c>
      <c r="AS15" s="114" t="str">
        <f ca="1">_xll.ohRangeRetrieveError(AS14)</f>
        <v/>
      </c>
      <c r="AT15" s="114" t="str">
        <f ca="1">_xll.ohRangeRetrieveError(AT14)</f>
        <v/>
      </c>
      <c r="AU15" s="114" t="str">
        <f ca="1">_xll.ohRangeRetrieveError(AU14)</f>
        <v/>
      </c>
      <c r="AV15" s="114" t="str">
        <f ca="1">_xll.ohRangeRetrieveError(AV14)</f>
        <v/>
      </c>
      <c r="AW15" s="114" t="str">
        <f ca="1">_xll.ohRangeRetrieveError(AW14)</f>
        <v/>
      </c>
      <c r="AX15" s="114" t="str">
        <f ca="1">_xll.ohRangeRetrieveError(AX14)</f>
        <v/>
      </c>
      <c r="AY15" s="114" t="str">
        <f ca="1">_xll.ohRangeRetrieveError(AY14)</f>
        <v/>
      </c>
      <c r="AZ15" s="114" t="str">
        <f ca="1">_xll.ohRangeRetrieveError(AZ14)</f>
        <v/>
      </c>
      <c r="BA15" s="114" t="str">
        <f ca="1">_xll.ohRangeRetrieveError(BA14)</f>
        <v/>
      </c>
      <c r="BB15" s="114" t="str">
        <f ca="1">_xll.ohRangeRetrieveError(BB14)</f>
        <v/>
      </c>
      <c r="BC15" s="114" t="str">
        <f ca="1">_xll.ohRangeRetrieveError(BC14)</f>
        <v/>
      </c>
      <c r="BD15" s="114" t="str">
        <f ca="1">_xll.ohRangeRetrieveError(BD14)</f>
        <v/>
      </c>
      <c r="BE15" s="114" t="str">
        <f ca="1">_xll.ohRangeRetrieveError(BE14)</f>
        <v/>
      </c>
      <c r="BF15" s="114" t="str">
        <f ca="1">_xll.ohRangeRetrieveError(BF14)</f>
        <v/>
      </c>
      <c r="BG15" s="114" t="str">
        <f ca="1">_xll.ohRangeRetrieveError(BG14)</f>
        <v/>
      </c>
      <c r="BH15" s="114" t="str">
        <f ca="1">_xll.ohRangeRetrieveError(BH14)</f>
        <v/>
      </c>
      <c r="BI15" s="114" t="str">
        <f ca="1">_xll.ohRangeRetrieveError(BI14)</f>
        <v/>
      </c>
      <c r="BJ15" s="114" t="str">
        <f ca="1">_xll.ohRangeRetrieveError(BJ14)</f>
        <v/>
      </c>
      <c r="BK15" s="114" t="str">
        <f ca="1">_xll.ohRangeRetrieveError(BK14)</f>
        <v/>
      </c>
      <c r="BL15" s="114" t="str">
        <f ca="1">_xll.ohRangeRetrieveError(BL14)</f>
        <v/>
      </c>
      <c r="BM15" s="114" t="str">
        <f ca="1">_xll.ohRangeRetrieveError(BM14)</f>
        <v/>
      </c>
      <c r="BN15" s="114" t="str">
        <f ca="1">_xll.ohRangeRetrieveError(BN14)</f>
        <v/>
      </c>
      <c r="BO15" s="114" t="str">
        <f ca="1">_xll.ohRangeRetrieveError(BO14)</f>
        <v/>
      </c>
      <c r="BP15" s="114" t="str">
        <f ca="1">_xll.ohRangeRetrieveError(BP14)</f>
        <v/>
      </c>
      <c r="BQ15" s="114" t="str">
        <f ca="1">_xll.ohRangeRetrieveError(BQ14)</f>
        <v/>
      </c>
      <c r="BR15" s="114" t="str">
        <f ca="1">_xll.ohRangeRetrieveError(BR14)</f>
        <v/>
      </c>
      <c r="BS15" s="114" t="str">
        <f ca="1">_xll.ohRangeRetrieveError(BS14)</f>
        <v/>
      </c>
      <c r="BT15" s="114" t="str">
        <f ca="1">_xll.ohRangeRetrieveError(BT14)</f>
        <v/>
      </c>
      <c r="BU15" s="114" t="str">
        <f ca="1">_xll.ohRangeRetrieveError(BU14)</f>
        <v/>
      </c>
      <c r="BV15" s="114" t="str">
        <f ca="1">_xll.ohRangeRetrieveError(BV14)</f>
        <v/>
      </c>
      <c r="BW15" s="114" t="str">
        <f ca="1">_xll.ohRangeRetrieveError(BW14)</f>
        <v/>
      </c>
      <c r="BX15" s="114" t="str">
        <f ca="1">_xll.ohRangeRetrieveError(BX14)</f>
        <v/>
      </c>
      <c r="BY15" s="114" t="str">
        <f ca="1">_xll.ohRangeRetrieveError(BY14)</f>
        <v/>
      </c>
      <c r="BZ15" s="114" t="str">
        <f ca="1">_xll.ohRangeRetrieveError(BZ14)</f>
        <v/>
      </c>
      <c r="CA15" s="114" t="str">
        <f ca="1">_xll.ohRangeRetrieveError(CA14)</f>
        <v/>
      </c>
      <c r="CB15" s="114" t="str">
        <f ca="1">_xll.ohRangeRetrieveError(CB14)</f>
        <v/>
      </c>
      <c r="CC15" s="114" t="str">
        <f ca="1">_xll.ohRangeRetrieveError(CC14)</f>
        <v/>
      </c>
      <c r="CD15" s="114" t="str">
        <f ca="1">_xll.ohRangeRetrieveError(CD14)</f>
        <v/>
      </c>
      <c r="CE15" s="114" t="str">
        <f ca="1">_xll.ohRangeRetrieveError(CE14)</f>
        <v/>
      </c>
      <c r="CF15" s="114" t="str">
        <f ca="1">_xll.ohRangeRetrieveError(CF14)</f>
        <v/>
      </c>
      <c r="CG15" s="114" t="str">
        <f ca="1">_xll.ohRangeRetrieveError(CG14)</f>
        <v/>
      </c>
      <c r="CH15" s="114" t="str">
        <f ca="1">_xll.ohRangeRetrieveError(CH14)</f>
        <v/>
      </c>
      <c r="CI15" s="114" t="str">
        <f ca="1">_xll.ohRangeRetrieveError(CI14)</f>
        <v/>
      </c>
      <c r="CJ15" s="114" t="str">
        <f ca="1">_xll.ohRangeRetrieveError(CJ14)</f>
        <v/>
      </c>
      <c r="CK15" s="114" t="str">
        <f ca="1">_xll.ohRangeRetrieveError(CK14)</f>
        <v/>
      </c>
      <c r="CL15" s="114" t="str">
        <f ca="1">_xll.ohRangeRetrieveError(CL14)</f>
        <v/>
      </c>
      <c r="CM15" s="114" t="str">
        <f ca="1">_xll.ohRangeRetrieveError(CM14)</f>
        <v/>
      </c>
      <c r="CN15" s="114" t="str">
        <f ca="1">_xll.ohRangeRetrieveError(CN14)</f>
        <v/>
      </c>
      <c r="CO15" s="114" t="str">
        <f ca="1">_xll.ohRangeRetrieveError(CO14)</f>
        <v/>
      </c>
      <c r="CP15" s="114" t="str">
        <f ca="1">_xll.ohRangeRetrieveError(CP14)</f>
        <v/>
      </c>
      <c r="CQ15" s="114" t="str">
        <f ca="1">_xll.ohRangeRetrieveError(CQ14)</f>
        <v/>
      </c>
      <c r="CR15" s="114" t="str">
        <f ca="1">_xll.ohRangeRetrieveError(CR14)</f>
        <v/>
      </c>
      <c r="CS15" s="114" t="str">
        <f ca="1">_xll.ohRangeRetrieveError(CS14)</f>
        <v/>
      </c>
      <c r="CT15" s="114" t="str">
        <f ca="1">_xll.ohRangeRetrieveError(CT14)</f>
        <v/>
      </c>
      <c r="CU15" s="114" t="str">
        <f ca="1">_xll.ohRangeRetrieveError(CU14)</f>
        <v/>
      </c>
      <c r="CV15" s="114" t="str">
        <f ca="1">_xll.ohRangeRetrieveError(CV14)</f>
        <v/>
      </c>
      <c r="CW15" s="114" t="str">
        <f ca="1">_xll.ohRangeRetrieveError(CW14)</f>
        <v/>
      </c>
      <c r="CX15" s="114" t="str">
        <f ca="1">_xll.ohRangeRetrieveError(CX14)</f>
        <v/>
      </c>
      <c r="CZ15" s="8" t="s">
        <v>2</v>
      </c>
      <c r="DA15" s="9"/>
      <c r="DD15" s="97" t="e">
        <f ca="1"/>
        <v>#NUM!</v>
      </c>
      <c r="DE15" s="98" t="e">
        <f ca="1"/>
        <v>#NUM!</v>
      </c>
      <c r="DT15" s="99">
        <v>0</v>
      </c>
      <c r="DU15" s="100">
        <v>0</v>
      </c>
      <c r="DV15" s="100">
        <v>0</v>
      </c>
      <c r="DW15" s="100">
        <v>0</v>
      </c>
      <c r="DX15" s="100">
        <v>0</v>
      </c>
      <c r="DY15" s="100">
        <v>0</v>
      </c>
      <c r="DZ15" s="100">
        <v>1</v>
      </c>
      <c r="EA15" s="100">
        <v>0</v>
      </c>
      <c r="EB15" s="100">
        <v>0</v>
      </c>
      <c r="EC15" s="101">
        <v>0</v>
      </c>
    </row>
    <row r="16" spans="2:133">
      <c r="B16" s="102" t="s">
        <v>2</v>
      </c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115"/>
      <c r="BK16" s="115"/>
      <c r="BL16" s="115"/>
      <c r="BM16" s="115"/>
      <c r="BN16" s="115"/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15"/>
      <c r="CH16" s="115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Z16" s="10" t="s">
        <v>50</v>
      </c>
      <c r="DA16" s="27" t="str">
        <f ca="1">DA2</f>
        <v>obj_008c6#0000</v>
      </c>
      <c r="DD16" s="97" t="e">
        <f ca="1"/>
        <v>#NUM!</v>
      </c>
      <c r="DE16" s="98" t="e">
        <f ca="1"/>
        <v>#NUM!</v>
      </c>
      <c r="DT16" s="99">
        <v>0</v>
      </c>
      <c r="DU16" s="100">
        <v>0</v>
      </c>
      <c r="DV16" s="100">
        <v>0</v>
      </c>
      <c r="DW16" s="100">
        <v>0</v>
      </c>
      <c r="DX16" s="100">
        <v>0</v>
      </c>
      <c r="DY16" s="100">
        <v>0</v>
      </c>
      <c r="DZ16" s="100">
        <v>1</v>
      </c>
      <c r="EA16" s="100">
        <v>0</v>
      </c>
      <c r="EB16" s="100">
        <v>0</v>
      </c>
      <c r="EC16" s="101">
        <v>0</v>
      </c>
    </row>
    <row r="17" spans="2:133">
      <c r="B17" s="104" t="s">
        <v>66</v>
      </c>
      <c r="C17" s="111">
        <f t="shared" ref="C17:AH17" ca="1" si="0">C$11</f>
        <v>42622</v>
      </c>
      <c r="D17" s="111">
        <f t="shared" ca="1" si="0"/>
        <v>42989</v>
      </c>
      <c r="E17" s="111">
        <f t="shared" ca="1" si="0"/>
        <v>43354</v>
      </c>
      <c r="F17" s="111">
        <f t="shared" ca="1" si="0"/>
        <v>43719</v>
      </c>
      <c r="G17" s="111">
        <f t="shared" ca="1" si="0"/>
        <v>44083</v>
      </c>
      <c r="H17" s="111">
        <f t="shared" ca="1" si="0"/>
        <v>44448</v>
      </c>
      <c r="I17" s="111">
        <f t="shared" ca="1" si="0"/>
        <v>44813</v>
      </c>
      <c r="J17" s="111">
        <f t="shared" ca="1" si="0"/>
        <v>45180</v>
      </c>
      <c r="K17" s="111">
        <f t="shared" ca="1" si="0"/>
        <v>45546</v>
      </c>
      <c r="L17" s="111">
        <f t="shared" ca="1" si="0"/>
        <v>45910</v>
      </c>
      <c r="M17" s="111">
        <f t="shared" ca="1" si="0"/>
        <v>42622</v>
      </c>
      <c r="N17" s="111">
        <f t="shared" ca="1" si="0"/>
        <v>42989</v>
      </c>
      <c r="O17" s="111">
        <f t="shared" ca="1" si="0"/>
        <v>43354</v>
      </c>
      <c r="P17" s="111">
        <f t="shared" ca="1" si="0"/>
        <v>43719</v>
      </c>
      <c r="Q17" s="111">
        <f t="shared" ca="1" si="0"/>
        <v>44083</v>
      </c>
      <c r="R17" s="111">
        <f t="shared" ca="1" si="0"/>
        <v>44448</v>
      </c>
      <c r="S17" s="111">
        <f t="shared" ca="1" si="0"/>
        <v>44813</v>
      </c>
      <c r="T17" s="111">
        <f t="shared" ca="1" si="0"/>
        <v>45180</v>
      </c>
      <c r="U17" s="111">
        <f t="shared" ca="1" si="0"/>
        <v>45546</v>
      </c>
      <c r="V17" s="111">
        <f t="shared" ca="1" si="0"/>
        <v>45910</v>
      </c>
      <c r="W17" s="111">
        <f t="shared" ca="1" si="0"/>
        <v>42622</v>
      </c>
      <c r="X17" s="111">
        <f t="shared" ca="1" si="0"/>
        <v>42989</v>
      </c>
      <c r="Y17" s="111">
        <f t="shared" ca="1" si="0"/>
        <v>43354</v>
      </c>
      <c r="Z17" s="111">
        <f t="shared" ca="1" si="0"/>
        <v>43719</v>
      </c>
      <c r="AA17" s="111">
        <f t="shared" ca="1" si="0"/>
        <v>44083</v>
      </c>
      <c r="AB17" s="111">
        <f t="shared" ca="1" si="0"/>
        <v>44448</v>
      </c>
      <c r="AC17" s="111">
        <f t="shared" ca="1" si="0"/>
        <v>44813</v>
      </c>
      <c r="AD17" s="111">
        <f t="shared" ca="1" si="0"/>
        <v>45180</v>
      </c>
      <c r="AE17" s="111">
        <f t="shared" ca="1" si="0"/>
        <v>45546</v>
      </c>
      <c r="AF17" s="111">
        <f t="shared" ca="1" si="0"/>
        <v>45910</v>
      </c>
      <c r="AG17" s="111">
        <f t="shared" ca="1" si="0"/>
        <v>42622</v>
      </c>
      <c r="AH17" s="111">
        <f t="shared" ca="1" si="0"/>
        <v>42989</v>
      </c>
      <c r="AI17" s="111">
        <f t="shared" ref="AI17:BN17" ca="1" si="1">AI$11</f>
        <v>43354</v>
      </c>
      <c r="AJ17" s="111">
        <f t="shared" ca="1" si="1"/>
        <v>43719</v>
      </c>
      <c r="AK17" s="111">
        <f t="shared" ca="1" si="1"/>
        <v>44083</v>
      </c>
      <c r="AL17" s="111">
        <f t="shared" ca="1" si="1"/>
        <v>44448</v>
      </c>
      <c r="AM17" s="111">
        <f t="shared" ca="1" si="1"/>
        <v>44813</v>
      </c>
      <c r="AN17" s="111">
        <f t="shared" ca="1" si="1"/>
        <v>45180</v>
      </c>
      <c r="AO17" s="111">
        <f t="shared" ca="1" si="1"/>
        <v>45546</v>
      </c>
      <c r="AP17" s="111">
        <f t="shared" ca="1" si="1"/>
        <v>45910</v>
      </c>
      <c r="AQ17" s="111">
        <f t="shared" ca="1" si="1"/>
        <v>42622</v>
      </c>
      <c r="AR17" s="111">
        <f t="shared" ca="1" si="1"/>
        <v>42989</v>
      </c>
      <c r="AS17" s="111">
        <f t="shared" ca="1" si="1"/>
        <v>43354</v>
      </c>
      <c r="AT17" s="111">
        <f t="shared" ca="1" si="1"/>
        <v>43719</v>
      </c>
      <c r="AU17" s="111">
        <f t="shared" ca="1" si="1"/>
        <v>44083</v>
      </c>
      <c r="AV17" s="111">
        <f t="shared" ca="1" si="1"/>
        <v>44448</v>
      </c>
      <c r="AW17" s="111">
        <f t="shared" ca="1" si="1"/>
        <v>44813</v>
      </c>
      <c r="AX17" s="111">
        <f t="shared" ca="1" si="1"/>
        <v>45180</v>
      </c>
      <c r="AY17" s="111">
        <f t="shared" ca="1" si="1"/>
        <v>45546</v>
      </c>
      <c r="AZ17" s="111">
        <f t="shared" ca="1" si="1"/>
        <v>45910</v>
      </c>
      <c r="BA17" s="111">
        <f t="shared" ca="1" si="1"/>
        <v>42622</v>
      </c>
      <c r="BB17" s="111">
        <f t="shared" ca="1" si="1"/>
        <v>42989</v>
      </c>
      <c r="BC17" s="111">
        <f t="shared" ca="1" si="1"/>
        <v>43354</v>
      </c>
      <c r="BD17" s="111">
        <f t="shared" ca="1" si="1"/>
        <v>43719</v>
      </c>
      <c r="BE17" s="111">
        <f t="shared" ca="1" si="1"/>
        <v>44083</v>
      </c>
      <c r="BF17" s="111">
        <f t="shared" ca="1" si="1"/>
        <v>44448</v>
      </c>
      <c r="BG17" s="111">
        <f t="shared" ca="1" si="1"/>
        <v>44813</v>
      </c>
      <c r="BH17" s="111">
        <f t="shared" ca="1" si="1"/>
        <v>45180</v>
      </c>
      <c r="BI17" s="111">
        <f t="shared" ca="1" si="1"/>
        <v>45546</v>
      </c>
      <c r="BJ17" s="111">
        <f t="shared" ca="1" si="1"/>
        <v>45910</v>
      </c>
      <c r="BK17" s="111">
        <f t="shared" ca="1" si="1"/>
        <v>42622</v>
      </c>
      <c r="BL17" s="111">
        <f t="shared" ca="1" si="1"/>
        <v>42989</v>
      </c>
      <c r="BM17" s="111">
        <f t="shared" ca="1" si="1"/>
        <v>43354</v>
      </c>
      <c r="BN17" s="111">
        <f t="shared" ca="1" si="1"/>
        <v>43719</v>
      </c>
      <c r="BO17" s="111">
        <f t="shared" ref="BO17:CX17" ca="1" si="2">BO$11</f>
        <v>44083</v>
      </c>
      <c r="BP17" s="111">
        <f t="shared" ca="1" si="2"/>
        <v>44448</v>
      </c>
      <c r="BQ17" s="111">
        <f t="shared" ca="1" si="2"/>
        <v>44813</v>
      </c>
      <c r="BR17" s="111">
        <f t="shared" ca="1" si="2"/>
        <v>45180</v>
      </c>
      <c r="BS17" s="111">
        <f t="shared" ca="1" si="2"/>
        <v>45546</v>
      </c>
      <c r="BT17" s="111">
        <f t="shared" ca="1" si="2"/>
        <v>45910</v>
      </c>
      <c r="BU17" s="111">
        <f t="shared" ca="1" si="2"/>
        <v>42622</v>
      </c>
      <c r="BV17" s="111">
        <f t="shared" ca="1" si="2"/>
        <v>42989</v>
      </c>
      <c r="BW17" s="111">
        <f t="shared" ca="1" si="2"/>
        <v>43354</v>
      </c>
      <c r="BX17" s="111">
        <f t="shared" ca="1" si="2"/>
        <v>43719</v>
      </c>
      <c r="BY17" s="111">
        <f t="shared" ca="1" si="2"/>
        <v>44083</v>
      </c>
      <c r="BZ17" s="111">
        <f t="shared" ca="1" si="2"/>
        <v>44448</v>
      </c>
      <c r="CA17" s="111">
        <f t="shared" ca="1" si="2"/>
        <v>44813</v>
      </c>
      <c r="CB17" s="111">
        <f t="shared" ca="1" si="2"/>
        <v>45180</v>
      </c>
      <c r="CC17" s="111">
        <f t="shared" ca="1" si="2"/>
        <v>45546</v>
      </c>
      <c r="CD17" s="111">
        <f t="shared" ca="1" si="2"/>
        <v>45910</v>
      </c>
      <c r="CE17" s="111">
        <f t="shared" ca="1" si="2"/>
        <v>42622</v>
      </c>
      <c r="CF17" s="111">
        <f t="shared" ca="1" si="2"/>
        <v>42989</v>
      </c>
      <c r="CG17" s="111">
        <f t="shared" ca="1" si="2"/>
        <v>43354</v>
      </c>
      <c r="CH17" s="111">
        <f t="shared" ca="1" si="2"/>
        <v>43719</v>
      </c>
      <c r="CI17" s="111">
        <f t="shared" ca="1" si="2"/>
        <v>44083</v>
      </c>
      <c r="CJ17" s="111">
        <f t="shared" ca="1" si="2"/>
        <v>44448</v>
      </c>
      <c r="CK17" s="111">
        <f t="shared" ca="1" si="2"/>
        <v>44813</v>
      </c>
      <c r="CL17" s="111">
        <f t="shared" ca="1" si="2"/>
        <v>45180</v>
      </c>
      <c r="CM17" s="111">
        <f t="shared" ca="1" si="2"/>
        <v>45546</v>
      </c>
      <c r="CN17" s="111">
        <f t="shared" ca="1" si="2"/>
        <v>45910</v>
      </c>
      <c r="CO17" s="111">
        <f t="shared" ca="1" si="2"/>
        <v>42622</v>
      </c>
      <c r="CP17" s="111">
        <f t="shared" ca="1" si="2"/>
        <v>42989</v>
      </c>
      <c r="CQ17" s="111">
        <f t="shared" ca="1" si="2"/>
        <v>43354</v>
      </c>
      <c r="CR17" s="111">
        <f t="shared" ca="1" si="2"/>
        <v>43719</v>
      </c>
      <c r="CS17" s="111">
        <f t="shared" ca="1" si="2"/>
        <v>44083</v>
      </c>
      <c r="CT17" s="111">
        <f t="shared" ca="1" si="2"/>
        <v>44448</v>
      </c>
      <c r="CU17" s="111">
        <f t="shared" ca="1" si="2"/>
        <v>44813</v>
      </c>
      <c r="CV17" s="111">
        <f t="shared" ca="1" si="2"/>
        <v>45180</v>
      </c>
      <c r="CW17" s="111">
        <f t="shared" ca="1" si="2"/>
        <v>45546</v>
      </c>
      <c r="CX17" s="111">
        <f t="shared" ca="1" si="2"/>
        <v>45910</v>
      </c>
      <c r="CZ17" s="10" t="s">
        <v>57</v>
      </c>
      <c r="DA17" s="28">
        <v>11</v>
      </c>
      <c r="DD17" s="97" t="e">
        <f ca="1"/>
        <v>#NUM!</v>
      </c>
      <c r="DE17" s="98" t="e">
        <f ca="1"/>
        <v>#NUM!</v>
      </c>
      <c r="DT17" s="99">
        <v>0</v>
      </c>
      <c r="DU17" s="100">
        <v>0</v>
      </c>
      <c r="DV17" s="100">
        <v>0</v>
      </c>
      <c r="DW17" s="100">
        <v>0</v>
      </c>
      <c r="DX17" s="100">
        <v>0</v>
      </c>
      <c r="DY17" s="100">
        <v>0</v>
      </c>
      <c r="DZ17" s="100">
        <v>0</v>
      </c>
      <c r="EA17" s="100">
        <v>1</v>
      </c>
      <c r="EB17" s="100">
        <v>0</v>
      </c>
      <c r="EC17" s="101">
        <v>0</v>
      </c>
    </row>
    <row r="18" spans="2:133">
      <c r="B18" s="104" t="s">
        <v>67</v>
      </c>
      <c r="C18" s="111">
        <f t="shared" ref="C18:AH18" ca="1" si="3">C$12</f>
        <v>42989</v>
      </c>
      <c r="D18" s="111">
        <f t="shared" ca="1" si="3"/>
        <v>43354</v>
      </c>
      <c r="E18" s="111">
        <f t="shared" ca="1" si="3"/>
        <v>43719</v>
      </c>
      <c r="F18" s="111">
        <f t="shared" ca="1" si="3"/>
        <v>44085</v>
      </c>
      <c r="G18" s="111">
        <f t="shared" ca="1" si="3"/>
        <v>44448</v>
      </c>
      <c r="H18" s="111">
        <f t="shared" ca="1" si="3"/>
        <v>44813</v>
      </c>
      <c r="I18" s="111">
        <f t="shared" ca="1" si="3"/>
        <v>45180</v>
      </c>
      <c r="J18" s="111">
        <f t="shared" ca="1" si="3"/>
        <v>45546</v>
      </c>
      <c r="K18" s="111">
        <f t="shared" ca="1" si="3"/>
        <v>45911</v>
      </c>
      <c r="L18" s="111">
        <f t="shared" ca="1" si="3"/>
        <v>46275</v>
      </c>
      <c r="M18" s="111">
        <f t="shared" ca="1" si="3"/>
        <v>43353</v>
      </c>
      <c r="N18" s="111">
        <f t="shared" ca="1" si="3"/>
        <v>43719</v>
      </c>
      <c r="O18" s="111">
        <f t="shared" ca="1" si="3"/>
        <v>44085</v>
      </c>
      <c r="P18" s="111">
        <f t="shared" ca="1" si="3"/>
        <v>44452</v>
      </c>
      <c r="Q18" s="111">
        <f t="shared" ca="1" si="3"/>
        <v>44813</v>
      </c>
      <c r="R18" s="111">
        <f t="shared" ca="1" si="3"/>
        <v>45180</v>
      </c>
      <c r="S18" s="111">
        <f t="shared" ca="1" si="3"/>
        <v>45544</v>
      </c>
      <c r="T18" s="111">
        <f t="shared" ca="1" si="3"/>
        <v>45911</v>
      </c>
      <c r="U18" s="111">
        <f t="shared" ca="1" si="3"/>
        <v>46276</v>
      </c>
      <c r="V18" s="111">
        <f t="shared" ca="1" si="3"/>
        <v>46640</v>
      </c>
      <c r="W18" s="111">
        <f t="shared" ca="1" si="3"/>
        <v>43717</v>
      </c>
      <c r="X18" s="111">
        <f t="shared" ca="1" si="3"/>
        <v>44085</v>
      </c>
      <c r="Y18" s="111">
        <f t="shared" ca="1" si="3"/>
        <v>44452</v>
      </c>
      <c r="Z18" s="111">
        <f t="shared" ca="1" si="3"/>
        <v>44816</v>
      </c>
      <c r="AA18" s="111">
        <f t="shared" ca="1" si="3"/>
        <v>45180</v>
      </c>
      <c r="AB18" s="111">
        <f t="shared" ca="1" si="3"/>
        <v>45544</v>
      </c>
      <c r="AC18" s="111">
        <f t="shared" ca="1" si="3"/>
        <v>45909</v>
      </c>
      <c r="AD18" s="111">
        <f t="shared" ca="1" si="3"/>
        <v>46276</v>
      </c>
      <c r="AE18" s="111">
        <f t="shared" ca="1" si="3"/>
        <v>46643</v>
      </c>
      <c r="AF18" s="111">
        <f t="shared" ca="1" si="3"/>
        <v>47007</v>
      </c>
      <c r="AG18" s="111">
        <f t="shared" ca="1" si="3"/>
        <v>44083</v>
      </c>
      <c r="AH18" s="111">
        <f t="shared" ca="1" si="3"/>
        <v>44452</v>
      </c>
      <c r="AI18" s="111">
        <f t="shared" ref="AI18:BN18" ca="1" si="4">AI$12</f>
        <v>44816</v>
      </c>
      <c r="AJ18" s="111">
        <f t="shared" ca="1" si="4"/>
        <v>45180</v>
      </c>
      <c r="AK18" s="111">
        <f t="shared" ca="1" si="4"/>
        <v>45544</v>
      </c>
      <c r="AL18" s="111">
        <f t="shared" ca="1" si="4"/>
        <v>45909</v>
      </c>
      <c r="AM18" s="111">
        <f t="shared" ca="1" si="4"/>
        <v>46274</v>
      </c>
      <c r="AN18" s="111">
        <f t="shared" ca="1" si="4"/>
        <v>46643</v>
      </c>
      <c r="AO18" s="111">
        <f t="shared" ca="1" si="4"/>
        <v>47007</v>
      </c>
      <c r="AP18" s="111">
        <f t="shared" ca="1" si="4"/>
        <v>47371</v>
      </c>
      <c r="AQ18" s="111">
        <f t="shared" ca="1" si="4"/>
        <v>44448</v>
      </c>
      <c r="AR18" s="111">
        <f t="shared" ca="1" si="4"/>
        <v>44816</v>
      </c>
      <c r="AS18" s="111">
        <f t="shared" ca="1" si="4"/>
        <v>45180</v>
      </c>
      <c r="AT18" s="111">
        <f t="shared" ca="1" si="4"/>
        <v>45546</v>
      </c>
      <c r="AU18" s="111">
        <f t="shared" ca="1" si="4"/>
        <v>45909</v>
      </c>
      <c r="AV18" s="111">
        <f t="shared" ca="1" si="4"/>
        <v>46274</v>
      </c>
      <c r="AW18" s="111">
        <f t="shared" ca="1" si="4"/>
        <v>46639</v>
      </c>
      <c r="AX18" s="111">
        <f t="shared" ca="1" si="4"/>
        <v>47007</v>
      </c>
      <c r="AY18" s="111">
        <f t="shared" ca="1" si="4"/>
        <v>47372</v>
      </c>
      <c r="AZ18" s="111">
        <f t="shared" ca="1" si="4"/>
        <v>47736</v>
      </c>
      <c r="BA18" s="111">
        <f t="shared" ca="1" si="4"/>
        <v>44813</v>
      </c>
      <c r="BB18" s="111">
        <f t="shared" ca="1" si="4"/>
        <v>45180</v>
      </c>
      <c r="BC18" s="111">
        <f t="shared" ca="1" si="4"/>
        <v>45546</v>
      </c>
      <c r="BD18" s="111">
        <f t="shared" ca="1" si="4"/>
        <v>45911</v>
      </c>
      <c r="BE18" s="111">
        <f t="shared" ca="1" si="4"/>
        <v>46274</v>
      </c>
      <c r="BF18" s="111">
        <f t="shared" ca="1" si="4"/>
        <v>46639</v>
      </c>
      <c r="BG18" s="111">
        <f t="shared" ca="1" si="4"/>
        <v>47007</v>
      </c>
      <c r="BH18" s="111">
        <f t="shared" ca="1" si="4"/>
        <v>47372</v>
      </c>
      <c r="BI18" s="111">
        <f t="shared" ca="1" si="4"/>
        <v>47737</v>
      </c>
      <c r="BJ18" s="111">
        <f t="shared" ca="1" si="4"/>
        <v>48101</v>
      </c>
      <c r="BK18" s="111">
        <f t="shared" ca="1" si="4"/>
        <v>45180</v>
      </c>
      <c r="BL18" s="111">
        <f t="shared" ca="1" si="4"/>
        <v>45546</v>
      </c>
      <c r="BM18" s="111">
        <f t="shared" ca="1" si="4"/>
        <v>45911</v>
      </c>
      <c r="BN18" s="111">
        <f t="shared" ca="1" si="4"/>
        <v>46276</v>
      </c>
      <c r="BO18" s="111">
        <f t="shared" ref="BO18:CX18" ca="1" si="5">BO$12</f>
        <v>46639</v>
      </c>
      <c r="BP18" s="111">
        <f t="shared" ca="1" si="5"/>
        <v>47007</v>
      </c>
      <c r="BQ18" s="111">
        <f t="shared" ca="1" si="5"/>
        <v>47371</v>
      </c>
      <c r="BR18" s="111">
        <f t="shared" ca="1" si="5"/>
        <v>47737</v>
      </c>
      <c r="BS18" s="111">
        <f t="shared" ca="1" si="5"/>
        <v>48102</v>
      </c>
      <c r="BT18" s="111">
        <f t="shared" ca="1" si="5"/>
        <v>48467</v>
      </c>
      <c r="BU18" s="111">
        <f t="shared" ca="1" si="5"/>
        <v>45544</v>
      </c>
      <c r="BV18" s="111">
        <f t="shared" ca="1" si="5"/>
        <v>45911</v>
      </c>
      <c r="BW18" s="111">
        <f t="shared" ca="1" si="5"/>
        <v>46276</v>
      </c>
      <c r="BX18" s="111">
        <f t="shared" ca="1" si="5"/>
        <v>46643</v>
      </c>
      <c r="BY18" s="111">
        <f t="shared" ca="1" si="5"/>
        <v>47007</v>
      </c>
      <c r="BZ18" s="111">
        <f t="shared" ca="1" si="5"/>
        <v>47371</v>
      </c>
      <c r="CA18" s="111">
        <f t="shared" ca="1" si="5"/>
        <v>47735</v>
      </c>
      <c r="CB18" s="111">
        <f t="shared" ca="1" si="5"/>
        <v>48102</v>
      </c>
      <c r="CC18" s="111">
        <f t="shared" ca="1" si="5"/>
        <v>48470</v>
      </c>
      <c r="CD18" s="111">
        <f t="shared" ca="1" si="5"/>
        <v>48834</v>
      </c>
      <c r="CE18" s="111">
        <f t="shared" ca="1" si="5"/>
        <v>45909</v>
      </c>
      <c r="CF18" s="111">
        <f t="shared" ca="1" si="5"/>
        <v>46276</v>
      </c>
      <c r="CG18" s="111">
        <f t="shared" ca="1" si="5"/>
        <v>46643</v>
      </c>
      <c r="CH18" s="111">
        <f t="shared" ca="1" si="5"/>
        <v>47007</v>
      </c>
      <c r="CI18" s="111">
        <f t="shared" ca="1" si="5"/>
        <v>47371</v>
      </c>
      <c r="CJ18" s="111">
        <f t="shared" ca="1" si="5"/>
        <v>47735</v>
      </c>
      <c r="CK18" s="111">
        <f t="shared" ca="1" si="5"/>
        <v>48100</v>
      </c>
      <c r="CL18" s="111">
        <f t="shared" ca="1" si="5"/>
        <v>48470</v>
      </c>
      <c r="CM18" s="111">
        <f t="shared" ca="1" si="5"/>
        <v>48834</v>
      </c>
      <c r="CN18" s="111">
        <f t="shared" ca="1" si="5"/>
        <v>49198</v>
      </c>
      <c r="CO18" s="111">
        <f t="shared" ca="1" si="5"/>
        <v>46274</v>
      </c>
      <c r="CP18" s="111">
        <f t="shared" ca="1" si="5"/>
        <v>46643</v>
      </c>
      <c r="CQ18" s="111">
        <f t="shared" ca="1" si="5"/>
        <v>47007</v>
      </c>
      <c r="CR18" s="111">
        <f t="shared" ca="1" si="5"/>
        <v>47372</v>
      </c>
      <c r="CS18" s="111">
        <f t="shared" ca="1" si="5"/>
        <v>47735</v>
      </c>
      <c r="CT18" s="111">
        <f t="shared" ca="1" si="5"/>
        <v>48100</v>
      </c>
      <c r="CU18" s="111">
        <f t="shared" ca="1" si="5"/>
        <v>48466</v>
      </c>
      <c r="CV18" s="111">
        <f t="shared" ca="1" si="5"/>
        <v>48834</v>
      </c>
      <c r="CW18" s="111">
        <f t="shared" ca="1" si="5"/>
        <v>49198</v>
      </c>
      <c r="CX18" s="111">
        <f t="shared" ca="1" si="5"/>
        <v>49562</v>
      </c>
      <c r="CZ18" s="10" t="s">
        <v>58</v>
      </c>
      <c r="DA18" s="28">
        <v>0.2</v>
      </c>
      <c r="DD18" s="97" t="e">
        <f ca="1"/>
        <v>#NUM!</v>
      </c>
      <c r="DE18" s="98" t="e">
        <f ca="1"/>
        <v>#NUM!</v>
      </c>
      <c r="DT18" s="99">
        <v>0</v>
      </c>
      <c r="DU18" s="100">
        <v>0</v>
      </c>
      <c r="DV18" s="100">
        <v>0</v>
      </c>
      <c r="DW18" s="100">
        <v>0</v>
      </c>
      <c r="DX18" s="100">
        <v>0</v>
      </c>
      <c r="DY18" s="100">
        <v>0</v>
      </c>
      <c r="DZ18" s="100">
        <v>0</v>
      </c>
      <c r="EA18" s="100">
        <v>1</v>
      </c>
      <c r="EB18" s="100">
        <v>0</v>
      </c>
      <c r="EC18" s="101">
        <v>0</v>
      </c>
    </row>
    <row r="19" spans="2:133">
      <c r="B19" s="104" t="s">
        <v>6</v>
      </c>
      <c r="C19" s="116" t="s">
        <v>7</v>
      </c>
      <c r="D19" s="116" t="s">
        <v>7</v>
      </c>
      <c r="E19" s="116" t="s">
        <v>7</v>
      </c>
      <c r="F19" s="116" t="s">
        <v>7</v>
      </c>
      <c r="G19" s="116" t="s">
        <v>7</v>
      </c>
      <c r="H19" s="116" t="s">
        <v>7</v>
      </c>
      <c r="I19" s="116" t="s">
        <v>7</v>
      </c>
      <c r="J19" s="116" t="s">
        <v>7</v>
      </c>
      <c r="K19" s="116" t="s">
        <v>7</v>
      </c>
      <c r="L19" s="116" t="s">
        <v>7</v>
      </c>
      <c r="M19" s="116" t="s">
        <v>7</v>
      </c>
      <c r="N19" s="116" t="s">
        <v>7</v>
      </c>
      <c r="O19" s="116" t="s">
        <v>7</v>
      </c>
      <c r="P19" s="116" t="s">
        <v>7</v>
      </c>
      <c r="Q19" s="116" t="s">
        <v>7</v>
      </c>
      <c r="R19" s="116" t="s">
        <v>7</v>
      </c>
      <c r="S19" s="116" t="s">
        <v>7</v>
      </c>
      <c r="T19" s="116" t="s">
        <v>7</v>
      </c>
      <c r="U19" s="116" t="s">
        <v>7</v>
      </c>
      <c r="V19" s="116" t="s">
        <v>7</v>
      </c>
      <c r="W19" s="116" t="s">
        <v>7</v>
      </c>
      <c r="X19" s="116" t="s">
        <v>7</v>
      </c>
      <c r="Y19" s="116" t="s">
        <v>7</v>
      </c>
      <c r="Z19" s="116" t="s">
        <v>7</v>
      </c>
      <c r="AA19" s="116" t="s">
        <v>7</v>
      </c>
      <c r="AB19" s="116" t="s">
        <v>7</v>
      </c>
      <c r="AC19" s="116" t="s">
        <v>7</v>
      </c>
      <c r="AD19" s="116" t="s">
        <v>7</v>
      </c>
      <c r="AE19" s="116" t="s">
        <v>7</v>
      </c>
      <c r="AF19" s="116" t="s">
        <v>7</v>
      </c>
      <c r="AG19" s="116" t="s">
        <v>7</v>
      </c>
      <c r="AH19" s="116" t="s">
        <v>7</v>
      </c>
      <c r="AI19" s="116" t="s">
        <v>7</v>
      </c>
      <c r="AJ19" s="116" t="s">
        <v>7</v>
      </c>
      <c r="AK19" s="116" t="s">
        <v>7</v>
      </c>
      <c r="AL19" s="116" t="s">
        <v>7</v>
      </c>
      <c r="AM19" s="116" t="s">
        <v>7</v>
      </c>
      <c r="AN19" s="116" t="s">
        <v>7</v>
      </c>
      <c r="AO19" s="116" t="s">
        <v>7</v>
      </c>
      <c r="AP19" s="116" t="s">
        <v>7</v>
      </c>
      <c r="AQ19" s="116" t="s">
        <v>7</v>
      </c>
      <c r="AR19" s="116" t="s">
        <v>7</v>
      </c>
      <c r="AS19" s="116" t="s">
        <v>7</v>
      </c>
      <c r="AT19" s="116" t="s">
        <v>7</v>
      </c>
      <c r="AU19" s="116" t="s">
        <v>7</v>
      </c>
      <c r="AV19" s="116" t="s">
        <v>7</v>
      </c>
      <c r="AW19" s="116" t="s">
        <v>7</v>
      </c>
      <c r="AX19" s="116" t="s">
        <v>7</v>
      </c>
      <c r="AY19" s="116" t="s">
        <v>7</v>
      </c>
      <c r="AZ19" s="116" t="s">
        <v>7</v>
      </c>
      <c r="BA19" s="116" t="s">
        <v>7</v>
      </c>
      <c r="BB19" s="116" t="s">
        <v>7</v>
      </c>
      <c r="BC19" s="116" t="s">
        <v>7</v>
      </c>
      <c r="BD19" s="116" t="s">
        <v>7</v>
      </c>
      <c r="BE19" s="116" t="s">
        <v>7</v>
      </c>
      <c r="BF19" s="116" t="s">
        <v>7</v>
      </c>
      <c r="BG19" s="116" t="s">
        <v>7</v>
      </c>
      <c r="BH19" s="116" t="s">
        <v>7</v>
      </c>
      <c r="BI19" s="116" t="s">
        <v>7</v>
      </c>
      <c r="BJ19" s="116" t="s">
        <v>7</v>
      </c>
      <c r="BK19" s="116" t="s">
        <v>7</v>
      </c>
      <c r="BL19" s="116" t="s">
        <v>7</v>
      </c>
      <c r="BM19" s="116" t="s">
        <v>7</v>
      </c>
      <c r="BN19" s="116" t="s">
        <v>7</v>
      </c>
      <c r="BO19" s="116" t="s">
        <v>7</v>
      </c>
      <c r="BP19" s="116" t="s">
        <v>7</v>
      </c>
      <c r="BQ19" s="116" t="s">
        <v>7</v>
      </c>
      <c r="BR19" s="116" t="s">
        <v>7</v>
      </c>
      <c r="BS19" s="116" t="s">
        <v>7</v>
      </c>
      <c r="BT19" s="116" t="s">
        <v>7</v>
      </c>
      <c r="BU19" s="116" t="s">
        <v>7</v>
      </c>
      <c r="BV19" s="116" t="s">
        <v>7</v>
      </c>
      <c r="BW19" s="116" t="s">
        <v>7</v>
      </c>
      <c r="BX19" s="116" t="s">
        <v>7</v>
      </c>
      <c r="BY19" s="116" t="s">
        <v>7</v>
      </c>
      <c r="BZ19" s="116" t="s">
        <v>7</v>
      </c>
      <c r="CA19" s="116" t="s">
        <v>7</v>
      </c>
      <c r="CB19" s="116" t="s">
        <v>7</v>
      </c>
      <c r="CC19" s="116" t="s">
        <v>7</v>
      </c>
      <c r="CD19" s="116" t="s">
        <v>7</v>
      </c>
      <c r="CE19" s="116" t="s">
        <v>7</v>
      </c>
      <c r="CF19" s="116" t="s">
        <v>7</v>
      </c>
      <c r="CG19" s="116" t="s">
        <v>7</v>
      </c>
      <c r="CH19" s="116" t="s">
        <v>7</v>
      </c>
      <c r="CI19" s="116" t="s">
        <v>7</v>
      </c>
      <c r="CJ19" s="116" t="s">
        <v>7</v>
      </c>
      <c r="CK19" s="116" t="s">
        <v>7</v>
      </c>
      <c r="CL19" s="116" t="s">
        <v>7</v>
      </c>
      <c r="CM19" s="116" t="s">
        <v>7</v>
      </c>
      <c r="CN19" s="116" t="s">
        <v>7</v>
      </c>
      <c r="CO19" s="116" t="s">
        <v>7</v>
      </c>
      <c r="CP19" s="116" t="s">
        <v>7</v>
      </c>
      <c r="CQ19" s="116" t="s">
        <v>7</v>
      </c>
      <c r="CR19" s="116" t="s">
        <v>7</v>
      </c>
      <c r="CS19" s="116" t="s">
        <v>7</v>
      </c>
      <c r="CT19" s="116" t="s">
        <v>7</v>
      </c>
      <c r="CU19" s="116" t="s">
        <v>7</v>
      </c>
      <c r="CV19" s="116" t="s">
        <v>7</v>
      </c>
      <c r="CW19" s="116" t="s">
        <v>7</v>
      </c>
      <c r="CX19" s="116" t="s">
        <v>7</v>
      </c>
      <c r="CZ19" s="10" t="s">
        <v>59</v>
      </c>
      <c r="DA19" s="29">
        <v>0.1</v>
      </c>
      <c r="DD19" s="97" t="e">
        <f ca="1"/>
        <v>#NUM!</v>
      </c>
      <c r="DE19" s="98" t="e">
        <f ca="1"/>
        <v>#NUM!</v>
      </c>
      <c r="DT19" s="99">
        <v>0</v>
      </c>
      <c r="DU19" s="100">
        <v>0</v>
      </c>
      <c r="DV19" s="100">
        <v>0</v>
      </c>
      <c r="DW19" s="100">
        <v>0</v>
      </c>
      <c r="DX19" s="100">
        <v>0</v>
      </c>
      <c r="DY19" s="100">
        <v>0</v>
      </c>
      <c r="DZ19" s="100">
        <v>0</v>
      </c>
      <c r="EA19" s="100">
        <v>0</v>
      </c>
      <c r="EB19" s="100">
        <v>1</v>
      </c>
      <c r="EC19" s="101">
        <v>0</v>
      </c>
    </row>
    <row r="20" spans="2:133">
      <c r="B20" s="104" t="s">
        <v>3</v>
      </c>
      <c r="C20" s="116" t="s">
        <v>20</v>
      </c>
      <c r="D20" s="116" t="s">
        <v>20</v>
      </c>
      <c r="E20" s="116" t="s">
        <v>20</v>
      </c>
      <c r="F20" s="116" t="s">
        <v>20</v>
      </c>
      <c r="G20" s="116" t="s">
        <v>20</v>
      </c>
      <c r="H20" s="116" t="s">
        <v>20</v>
      </c>
      <c r="I20" s="116" t="s">
        <v>20</v>
      </c>
      <c r="J20" s="116" t="s">
        <v>20</v>
      </c>
      <c r="K20" s="116" t="s">
        <v>20</v>
      </c>
      <c r="L20" s="116" t="s">
        <v>20</v>
      </c>
      <c r="M20" s="116" t="s">
        <v>20</v>
      </c>
      <c r="N20" s="116" t="s">
        <v>20</v>
      </c>
      <c r="O20" s="116" t="s">
        <v>20</v>
      </c>
      <c r="P20" s="116" t="s">
        <v>20</v>
      </c>
      <c r="Q20" s="116" t="s">
        <v>20</v>
      </c>
      <c r="R20" s="116" t="s">
        <v>20</v>
      </c>
      <c r="S20" s="116" t="s">
        <v>20</v>
      </c>
      <c r="T20" s="116" t="s">
        <v>20</v>
      </c>
      <c r="U20" s="116" t="s">
        <v>20</v>
      </c>
      <c r="V20" s="116" t="s">
        <v>20</v>
      </c>
      <c r="W20" s="116" t="s">
        <v>20</v>
      </c>
      <c r="X20" s="116" t="s">
        <v>20</v>
      </c>
      <c r="Y20" s="116" t="s">
        <v>20</v>
      </c>
      <c r="Z20" s="116" t="s">
        <v>20</v>
      </c>
      <c r="AA20" s="116" t="s">
        <v>20</v>
      </c>
      <c r="AB20" s="116" t="s">
        <v>20</v>
      </c>
      <c r="AC20" s="116" t="s">
        <v>20</v>
      </c>
      <c r="AD20" s="116" t="s">
        <v>20</v>
      </c>
      <c r="AE20" s="116" t="s">
        <v>20</v>
      </c>
      <c r="AF20" s="116" t="s">
        <v>20</v>
      </c>
      <c r="AG20" s="116" t="s">
        <v>20</v>
      </c>
      <c r="AH20" s="116" t="s">
        <v>20</v>
      </c>
      <c r="AI20" s="116" t="s">
        <v>20</v>
      </c>
      <c r="AJ20" s="116" t="s">
        <v>20</v>
      </c>
      <c r="AK20" s="116" t="s">
        <v>20</v>
      </c>
      <c r="AL20" s="116" t="s">
        <v>20</v>
      </c>
      <c r="AM20" s="116" t="s">
        <v>20</v>
      </c>
      <c r="AN20" s="116" t="s">
        <v>20</v>
      </c>
      <c r="AO20" s="116" t="s">
        <v>20</v>
      </c>
      <c r="AP20" s="116" t="s">
        <v>20</v>
      </c>
      <c r="AQ20" s="116" t="s">
        <v>20</v>
      </c>
      <c r="AR20" s="116" t="s">
        <v>20</v>
      </c>
      <c r="AS20" s="116" t="s">
        <v>20</v>
      </c>
      <c r="AT20" s="116" t="s">
        <v>20</v>
      </c>
      <c r="AU20" s="116" t="s">
        <v>20</v>
      </c>
      <c r="AV20" s="116" t="s">
        <v>20</v>
      </c>
      <c r="AW20" s="116" t="s">
        <v>20</v>
      </c>
      <c r="AX20" s="116" t="s">
        <v>20</v>
      </c>
      <c r="AY20" s="116" t="s">
        <v>20</v>
      </c>
      <c r="AZ20" s="116" t="s">
        <v>20</v>
      </c>
      <c r="BA20" s="116" t="s">
        <v>20</v>
      </c>
      <c r="BB20" s="116" t="s">
        <v>20</v>
      </c>
      <c r="BC20" s="116" t="s">
        <v>20</v>
      </c>
      <c r="BD20" s="116" t="s">
        <v>20</v>
      </c>
      <c r="BE20" s="116" t="s">
        <v>20</v>
      </c>
      <c r="BF20" s="116" t="s">
        <v>20</v>
      </c>
      <c r="BG20" s="116" t="s">
        <v>20</v>
      </c>
      <c r="BH20" s="116" t="s">
        <v>20</v>
      </c>
      <c r="BI20" s="116" t="s">
        <v>20</v>
      </c>
      <c r="BJ20" s="116" t="s">
        <v>20</v>
      </c>
      <c r="BK20" s="116" t="s">
        <v>20</v>
      </c>
      <c r="BL20" s="116" t="s">
        <v>20</v>
      </c>
      <c r="BM20" s="116" t="s">
        <v>20</v>
      </c>
      <c r="BN20" s="116" t="s">
        <v>20</v>
      </c>
      <c r="BO20" s="116" t="s">
        <v>20</v>
      </c>
      <c r="BP20" s="116" t="s">
        <v>20</v>
      </c>
      <c r="BQ20" s="116" t="s">
        <v>20</v>
      </c>
      <c r="BR20" s="116" t="s">
        <v>20</v>
      </c>
      <c r="BS20" s="116" t="s">
        <v>20</v>
      </c>
      <c r="BT20" s="116" t="s">
        <v>20</v>
      </c>
      <c r="BU20" s="116" t="s">
        <v>20</v>
      </c>
      <c r="BV20" s="116" t="s">
        <v>20</v>
      </c>
      <c r="BW20" s="116" t="s">
        <v>20</v>
      </c>
      <c r="BX20" s="116" t="s">
        <v>20</v>
      </c>
      <c r="BY20" s="116" t="s">
        <v>20</v>
      </c>
      <c r="BZ20" s="116" t="s">
        <v>20</v>
      </c>
      <c r="CA20" s="116" t="s">
        <v>20</v>
      </c>
      <c r="CB20" s="116" t="s">
        <v>20</v>
      </c>
      <c r="CC20" s="116" t="s">
        <v>20</v>
      </c>
      <c r="CD20" s="116" t="s">
        <v>20</v>
      </c>
      <c r="CE20" s="116" t="s">
        <v>20</v>
      </c>
      <c r="CF20" s="116" t="s">
        <v>20</v>
      </c>
      <c r="CG20" s="116" t="s">
        <v>20</v>
      </c>
      <c r="CH20" s="116" t="s">
        <v>20</v>
      </c>
      <c r="CI20" s="116" t="s">
        <v>20</v>
      </c>
      <c r="CJ20" s="116" t="s">
        <v>20</v>
      </c>
      <c r="CK20" s="116" t="s">
        <v>20</v>
      </c>
      <c r="CL20" s="116" t="s">
        <v>20</v>
      </c>
      <c r="CM20" s="116" t="s">
        <v>20</v>
      </c>
      <c r="CN20" s="116" t="s">
        <v>20</v>
      </c>
      <c r="CO20" s="116" t="s">
        <v>20</v>
      </c>
      <c r="CP20" s="116" t="s">
        <v>20</v>
      </c>
      <c r="CQ20" s="116" t="s">
        <v>20</v>
      </c>
      <c r="CR20" s="116" t="s">
        <v>20</v>
      </c>
      <c r="CS20" s="116" t="s">
        <v>20</v>
      </c>
      <c r="CT20" s="116" t="s">
        <v>20</v>
      </c>
      <c r="CU20" s="116" t="s">
        <v>20</v>
      </c>
      <c r="CV20" s="116" t="s">
        <v>20</v>
      </c>
      <c r="CW20" s="116" t="s">
        <v>20</v>
      </c>
      <c r="CX20" s="116" t="s">
        <v>20</v>
      </c>
      <c r="CZ20" s="10" t="s">
        <v>30</v>
      </c>
      <c r="DA20" s="11"/>
      <c r="DD20" s="97" t="e">
        <f ca="1"/>
        <v>#NUM!</v>
      </c>
      <c r="DE20" s="98" t="e">
        <f ca="1"/>
        <v>#NUM!</v>
      </c>
      <c r="DT20" s="99">
        <v>0</v>
      </c>
      <c r="DU20" s="100">
        <v>0</v>
      </c>
      <c r="DV20" s="100">
        <v>0</v>
      </c>
      <c r="DW20" s="100">
        <v>0</v>
      </c>
      <c r="DX20" s="100">
        <v>0</v>
      </c>
      <c r="DY20" s="100">
        <v>0</v>
      </c>
      <c r="DZ20" s="100">
        <v>0</v>
      </c>
      <c r="EA20" s="100">
        <v>0</v>
      </c>
      <c r="EB20" s="100">
        <v>1</v>
      </c>
      <c r="EC20" s="101">
        <v>0</v>
      </c>
    </row>
    <row r="21" spans="2:133">
      <c r="B21" s="104" t="s">
        <v>4</v>
      </c>
      <c r="C21" s="116" t="s">
        <v>21</v>
      </c>
      <c r="D21" s="116" t="s">
        <v>21</v>
      </c>
      <c r="E21" s="116" t="s">
        <v>21</v>
      </c>
      <c r="F21" s="116" t="s">
        <v>21</v>
      </c>
      <c r="G21" s="116" t="s">
        <v>21</v>
      </c>
      <c r="H21" s="116" t="s">
        <v>21</v>
      </c>
      <c r="I21" s="116" t="s">
        <v>21</v>
      </c>
      <c r="J21" s="116" t="s">
        <v>21</v>
      </c>
      <c r="K21" s="116" t="s">
        <v>21</v>
      </c>
      <c r="L21" s="116" t="s">
        <v>21</v>
      </c>
      <c r="M21" s="116" t="s">
        <v>21</v>
      </c>
      <c r="N21" s="116" t="s">
        <v>21</v>
      </c>
      <c r="O21" s="116" t="s">
        <v>21</v>
      </c>
      <c r="P21" s="116" t="s">
        <v>21</v>
      </c>
      <c r="Q21" s="116" t="s">
        <v>21</v>
      </c>
      <c r="R21" s="116" t="s">
        <v>21</v>
      </c>
      <c r="S21" s="116" t="s">
        <v>21</v>
      </c>
      <c r="T21" s="116" t="s">
        <v>21</v>
      </c>
      <c r="U21" s="116" t="s">
        <v>21</v>
      </c>
      <c r="V21" s="116" t="s">
        <v>21</v>
      </c>
      <c r="W21" s="116" t="s">
        <v>21</v>
      </c>
      <c r="X21" s="116" t="s">
        <v>21</v>
      </c>
      <c r="Y21" s="116" t="s">
        <v>21</v>
      </c>
      <c r="Z21" s="116" t="s">
        <v>21</v>
      </c>
      <c r="AA21" s="116" t="s">
        <v>21</v>
      </c>
      <c r="AB21" s="116" t="s">
        <v>21</v>
      </c>
      <c r="AC21" s="116" t="s">
        <v>21</v>
      </c>
      <c r="AD21" s="116" t="s">
        <v>21</v>
      </c>
      <c r="AE21" s="116" t="s">
        <v>21</v>
      </c>
      <c r="AF21" s="116" t="s">
        <v>21</v>
      </c>
      <c r="AG21" s="116" t="s">
        <v>21</v>
      </c>
      <c r="AH21" s="116" t="s">
        <v>21</v>
      </c>
      <c r="AI21" s="116" t="s">
        <v>21</v>
      </c>
      <c r="AJ21" s="116" t="s">
        <v>21</v>
      </c>
      <c r="AK21" s="116" t="s">
        <v>21</v>
      </c>
      <c r="AL21" s="116" t="s">
        <v>21</v>
      </c>
      <c r="AM21" s="116" t="s">
        <v>21</v>
      </c>
      <c r="AN21" s="116" t="s">
        <v>21</v>
      </c>
      <c r="AO21" s="116" t="s">
        <v>21</v>
      </c>
      <c r="AP21" s="116" t="s">
        <v>21</v>
      </c>
      <c r="AQ21" s="116" t="s">
        <v>21</v>
      </c>
      <c r="AR21" s="116" t="s">
        <v>21</v>
      </c>
      <c r="AS21" s="116" t="s">
        <v>21</v>
      </c>
      <c r="AT21" s="116" t="s">
        <v>21</v>
      </c>
      <c r="AU21" s="116" t="s">
        <v>21</v>
      </c>
      <c r="AV21" s="116" t="s">
        <v>21</v>
      </c>
      <c r="AW21" s="116" t="s">
        <v>21</v>
      </c>
      <c r="AX21" s="116" t="s">
        <v>21</v>
      </c>
      <c r="AY21" s="116" t="s">
        <v>21</v>
      </c>
      <c r="AZ21" s="116" t="s">
        <v>21</v>
      </c>
      <c r="BA21" s="116" t="s">
        <v>21</v>
      </c>
      <c r="BB21" s="116" t="s">
        <v>21</v>
      </c>
      <c r="BC21" s="116" t="s">
        <v>21</v>
      </c>
      <c r="BD21" s="116" t="s">
        <v>21</v>
      </c>
      <c r="BE21" s="116" t="s">
        <v>21</v>
      </c>
      <c r="BF21" s="116" t="s">
        <v>21</v>
      </c>
      <c r="BG21" s="116" t="s">
        <v>21</v>
      </c>
      <c r="BH21" s="116" t="s">
        <v>21</v>
      </c>
      <c r="BI21" s="116" t="s">
        <v>21</v>
      </c>
      <c r="BJ21" s="116" t="s">
        <v>21</v>
      </c>
      <c r="BK21" s="116" t="s">
        <v>21</v>
      </c>
      <c r="BL21" s="116" t="s">
        <v>21</v>
      </c>
      <c r="BM21" s="116" t="s">
        <v>21</v>
      </c>
      <c r="BN21" s="116" t="s">
        <v>21</v>
      </c>
      <c r="BO21" s="116" t="s">
        <v>21</v>
      </c>
      <c r="BP21" s="116" t="s">
        <v>21</v>
      </c>
      <c r="BQ21" s="116" t="s">
        <v>21</v>
      </c>
      <c r="BR21" s="116" t="s">
        <v>21</v>
      </c>
      <c r="BS21" s="116" t="s">
        <v>21</v>
      </c>
      <c r="BT21" s="116" t="s">
        <v>21</v>
      </c>
      <c r="BU21" s="116" t="s">
        <v>21</v>
      </c>
      <c r="BV21" s="116" t="s">
        <v>21</v>
      </c>
      <c r="BW21" s="116" t="s">
        <v>21</v>
      </c>
      <c r="BX21" s="116" t="s">
        <v>21</v>
      </c>
      <c r="BY21" s="116" t="s">
        <v>21</v>
      </c>
      <c r="BZ21" s="116" t="s">
        <v>21</v>
      </c>
      <c r="CA21" s="116" t="s">
        <v>21</v>
      </c>
      <c r="CB21" s="116" t="s">
        <v>21</v>
      </c>
      <c r="CC21" s="116" t="s">
        <v>21</v>
      </c>
      <c r="CD21" s="116" t="s">
        <v>21</v>
      </c>
      <c r="CE21" s="116" t="s">
        <v>21</v>
      </c>
      <c r="CF21" s="116" t="s">
        <v>21</v>
      </c>
      <c r="CG21" s="116" t="s">
        <v>21</v>
      </c>
      <c r="CH21" s="116" t="s">
        <v>21</v>
      </c>
      <c r="CI21" s="116" t="s">
        <v>21</v>
      </c>
      <c r="CJ21" s="116" t="s">
        <v>21</v>
      </c>
      <c r="CK21" s="116" t="s">
        <v>21</v>
      </c>
      <c r="CL21" s="116" t="s">
        <v>21</v>
      </c>
      <c r="CM21" s="116" t="s">
        <v>21</v>
      </c>
      <c r="CN21" s="116" t="s">
        <v>21</v>
      </c>
      <c r="CO21" s="116" t="s">
        <v>21</v>
      </c>
      <c r="CP21" s="116" t="s">
        <v>21</v>
      </c>
      <c r="CQ21" s="116" t="s">
        <v>21</v>
      </c>
      <c r="CR21" s="116" t="s">
        <v>21</v>
      </c>
      <c r="CS21" s="116" t="s">
        <v>21</v>
      </c>
      <c r="CT21" s="116" t="s">
        <v>21</v>
      </c>
      <c r="CU21" s="116" t="s">
        <v>21</v>
      </c>
      <c r="CV21" s="116" t="s">
        <v>21</v>
      </c>
      <c r="CW21" s="116" t="s">
        <v>21</v>
      </c>
      <c r="CX21" s="116" t="s">
        <v>21</v>
      </c>
      <c r="CZ21" s="10" t="s">
        <v>32</v>
      </c>
      <c r="DA21" s="11"/>
      <c r="DD21" s="97" t="e">
        <f ca="1"/>
        <v>#NUM!</v>
      </c>
      <c r="DE21" s="98" t="e">
        <f ca="1"/>
        <v>#NUM!</v>
      </c>
      <c r="DT21" s="117">
        <v>0</v>
      </c>
      <c r="DU21" s="118">
        <v>0</v>
      </c>
      <c r="DV21" s="118">
        <v>0</v>
      </c>
      <c r="DW21" s="118">
        <v>0</v>
      </c>
      <c r="DX21" s="118">
        <v>0</v>
      </c>
      <c r="DY21" s="118">
        <v>0</v>
      </c>
      <c r="DZ21" s="118">
        <v>0</v>
      </c>
      <c r="EA21" s="118">
        <v>0</v>
      </c>
      <c r="EB21" s="118">
        <v>0</v>
      </c>
      <c r="EC21" s="119">
        <v>1</v>
      </c>
    </row>
    <row r="22" spans="2:133">
      <c r="B22" s="104" t="s">
        <v>68</v>
      </c>
      <c r="C22" s="116" t="s">
        <v>21</v>
      </c>
      <c r="D22" s="116" t="s">
        <v>21</v>
      </c>
      <c r="E22" s="116" t="s">
        <v>21</v>
      </c>
      <c r="F22" s="116" t="s">
        <v>21</v>
      </c>
      <c r="G22" s="116" t="s">
        <v>21</v>
      </c>
      <c r="H22" s="116" t="s">
        <v>21</v>
      </c>
      <c r="I22" s="116" t="s">
        <v>21</v>
      </c>
      <c r="J22" s="116" t="s">
        <v>21</v>
      </c>
      <c r="K22" s="116" t="s">
        <v>21</v>
      </c>
      <c r="L22" s="116" t="s">
        <v>21</v>
      </c>
      <c r="M22" s="116" t="s">
        <v>21</v>
      </c>
      <c r="N22" s="116" t="s">
        <v>21</v>
      </c>
      <c r="O22" s="116" t="s">
        <v>21</v>
      </c>
      <c r="P22" s="116" t="s">
        <v>21</v>
      </c>
      <c r="Q22" s="116" t="s">
        <v>21</v>
      </c>
      <c r="R22" s="116" t="s">
        <v>21</v>
      </c>
      <c r="S22" s="116" t="s">
        <v>21</v>
      </c>
      <c r="T22" s="116" t="s">
        <v>21</v>
      </c>
      <c r="U22" s="116" t="s">
        <v>21</v>
      </c>
      <c r="V22" s="116" t="s">
        <v>21</v>
      </c>
      <c r="W22" s="116" t="s">
        <v>21</v>
      </c>
      <c r="X22" s="116" t="s">
        <v>21</v>
      </c>
      <c r="Y22" s="116" t="s">
        <v>21</v>
      </c>
      <c r="Z22" s="116" t="s">
        <v>21</v>
      </c>
      <c r="AA22" s="116" t="s">
        <v>21</v>
      </c>
      <c r="AB22" s="116" t="s">
        <v>21</v>
      </c>
      <c r="AC22" s="116" t="s">
        <v>21</v>
      </c>
      <c r="AD22" s="116" t="s">
        <v>21</v>
      </c>
      <c r="AE22" s="116" t="s">
        <v>21</v>
      </c>
      <c r="AF22" s="116" t="s">
        <v>21</v>
      </c>
      <c r="AG22" s="116" t="s">
        <v>21</v>
      </c>
      <c r="AH22" s="116" t="s">
        <v>21</v>
      </c>
      <c r="AI22" s="116" t="s">
        <v>21</v>
      </c>
      <c r="AJ22" s="116" t="s">
        <v>21</v>
      </c>
      <c r="AK22" s="116" t="s">
        <v>21</v>
      </c>
      <c r="AL22" s="116" t="s">
        <v>21</v>
      </c>
      <c r="AM22" s="116" t="s">
        <v>21</v>
      </c>
      <c r="AN22" s="116" t="s">
        <v>21</v>
      </c>
      <c r="AO22" s="116" t="s">
        <v>21</v>
      </c>
      <c r="AP22" s="116" t="s">
        <v>21</v>
      </c>
      <c r="AQ22" s="116" t="s">
        <v>21</v>
      </c>
      <c r="AR22" s="116" t="s">
        <v>21</v>
      </c>
      <c r="AS22" s="116" t="s">
        <v>21</v>
      </c>
      <c r="AT22" s="116" t="s">
        <v>21</v>
      </c>
      <c r="AU22" s="116" t="s">
        <v>21</v>
      </c>
      <c r="AV22" s="116" t="s">
        <v>21</v>
      </c>
      <c r="AW22" s="116" t="s">
        <v>21</v>
      </c>
      <c r="AX22" s="116" t="s">
        <v>21</v>
      </c>
      <c r="AY22" s="116" t="s">
        <v>21</v>
      </c>
      <c r="AZ22" s="116" t="s">
        <v>21</v>
      </c>
      <c r="BA22" s="116" t="s">
        <v>21</v>
      </c>
      <c r="BB22" s="116" t="s">
        <v>21</v>
      </c>
      <c r="BC22" s="116" t="s">
        <v>21</v>
      </c>
      <c r="BD22" s="116" t="s">
        <v>21</v>
      </c>
      <c r="BE22" s="116" t="s">
        <v>21</v>
      </c>
      <c r="BF22" s="116" t="s">
        <v>21</v>
      </c>
      <c r="BG22" s="116" t="s">
        <v>21</v>
      </c>
      <c r="BH22" s="116" t="s">
        <v>21</v>
      </c>
      <c r="BI22" s="116" t="s">
        <v>21</v>
      </c>
      <c r="BJ22" s="116" t="s">
        <v>21</v>
      </c>
      <c r="BK22" s="116" t="s">
        <v>21</v>
      </c>
      <c r="BL22" s="116" t="s">
        <v>21</v>
      </c>
      <c r="BM22" s="116" t="s">
        <v>21</v>
      </c>
      <c r="BN22" s="116" t="s">
        <v>21</v>
      </c>
      <c r="BO22" s="116" t="s">
        <v>21</v>
      </c>
      <c r="BP22" s="116" t="s">
        <v>21</v>
      </c>
      <c r="BQ22" s="116" t="s">
        <v>21</v>
      </c>
      <c r="BR22" s="116" t="s">
        <v>21</v>
      </c>
      <c r="BS22" s="116" t="s">
        <v>21</v>
      </c>
      <c r="BT22" s="116" t="s">
        <v>21</v>
      </c>
      <c r="BU22" s="116" t="s">
        <v>21</v>
      </c>
      <c r="BV22" s="116" t="s">
        <v>21</v>
      </c>
      <c r="BW22" s="116" t="s">
        <v>21</v>
      </c>
      <c r="BX22" s="116" t="s">
        <v>21</v>
      </c>
      <c r="BY22" s="116" t="s">
        <v>21</v>
      </c>
      <c r="BZ22" s="116" t="s">
        <v>21</v>
      </c>
      <c r="CA22" s="116" t="s">
        <v>21</v>
      </c>
      <c r="CB22" s="116" t="s">
        <v>21</v>
      </c>
      <c r="CC22" s="116" t="s">
        <v>21</v>
      </c>
      <c r="CD22" s="116" t="s">
        <v>21</v>
      </c>
      <c r="CE22" s="116" t="s">
        <v>21</v>
      </c>
      <c r="CF22" s="116" t="s">
        <v>21</v>
      </c>
      <c r="CG22" s="116" t="s">
        <v>21</v>
      </c>
      <c r="CH22" s="116" t="s">
        <v>21</v>
      </c>
      <c r="CI22" s="116" t="s">
        <v>21</v>
      </c>
      <c r="CJ22" s="116" t="s">
        <v>21</v>
      </c>
      <c r="CK22" s="116" t="s">
        <v>21</v>
      </c>
      <c r="CL22" s="116" t="s">
        <v>21</v>
      </c>
      <c r="CM22" s="116" t="s">
        <v>21</v>
      </c>
      <c r="CN22" s="116" t="s">
        <v>21</v>
      </c>
      <c r="CO22" s="116" t="s">
        <v>21</v>
      </c>
      <c r="CP22" s="116" t="s">
        <v>21</v>
      </c>
      <c r="CQ22" s="116" t="s">
        <v>21</v>
      </c>
      <c r="CR22" s="116" t="s">
        <v>21</v>
      </c>
      <c r="CS22" s="116" t="s">
        <v>21</v>
      </c>
      <c r="CT22" s="116" t="s">
        <v>21</v>
      </c>
      <c r="CU22" s="116" t="s">
        <v>21</v>
      </c>
      <c r="CV22" s="116" t="s">
        <v>21</v>
      </c>
      <c r="CW22" s="116" t="s">
        <v>21</v>
      </c>
      <c r="CX22" s="116" t="s">
        <v>21</v>
      </c>
      <c r="CZ22" s="14" t="s">
        <v>34</v>
      </c>
      <c r="DA22" s="15"/>
      <c r="DD22" s="97" t="e">
        <f ca="1"/>
        <v>#NUM!</v>
      </c>
      <c r="DE22" s="120">
        <f ca="1">DE21</f>
        <v>8.9974062731137758E-3</v>
      </c>
    </row>
    <row r="23" spans="2:133">
      <c r="B23" s="104" t="s">
        <v>69</v>
      </c>
      <c r="C23" s="116" t="s">
        <v>70</v>
      </c>
      <c r="D23" s="116" t="s">
        <v>70</v>
      </c>
      <c r="E23" s="116" t="s">
        <v>70</v>
      </c>
      <c r="F23" s="116" t="s">
        <v>70</v>
      </c>
      <c r="G23" s="116" t="s">
        <v>70</v>
      </c>
      <c r="H23" s="116" t="s">
        <v>70</v>
      </c>
      <c r="I23" s="116" t="s">
        <v>70</v>
      </c>
      <c r="J23" s="116" t="s">
        <v>70</v>
      </c>
      <c r="K23" s="116" t="s">
        <v>70</v>
      </c>
      <c r="L23" s="116" t="s">
        <v>70</v>
      </c>
      <c r="M23" s="116" t="s">
        <v>70</v>
      </c>
      <c r="N23" s="116" t="s">
        <v>70</v>
      </c>
      <c r="O23" s="116" t="s">
        <v>70</v>
      </c>
      <c r="P23" s="116" t="s">
        <v>70</v>
      </c>
      <c r="Q23" s="116" t="s">
        <v>70</v>
      </c>
      <c r="R23" s="116" t="s">
        <v>70</v>
      </c>
      <c r="S23" s="116" t="s">
        <v>70</v>
      </c>
      <c r="T23" s="116" t="s">
        <v>70</v>
      </c>
      <c r="U23" s="116" t="s">
        <v>70</v>
      </c>
      <c r="V23" s="116" t="s">
        <v>70</v>
      </c>
      <c r="W23" s="116" t="s">
        <v>70</v>
      </c>
      <c r="X23" s="116" t="s">
        <v>70</v>
      </c>
      <c r="Y23" s="116" t="s">
        <v>70</v>
      </c>
      <c r="Z23" s="116" t="s">
        <v>70</v>
      </c>
      <c r="AA23" s="116" t="s">
        <v>70</v>
      </c>
      <c r="AB23" s="116" t="s">
        <v>70</v>
      </c>
      <c r="AC23" s="116" t="s">
        <v>70</v>
      </c>
      <c r="AD23" s="116" t="s">
        <v>70</v>
      </c>
      <c r="AE23" s="116" t="s">
        <v>70</v>
      </c>
      <c r="AF23" s="116" t="s">
        <v>70</v>
      </c>
      <c r="AG23" s="116" t="s">
        <v>70</v>
      </c>
      <c r="AH23" s="116" t="s">
        <v>70</v>
      </c>
      <c r="AI23" s="116" t="s">
        <v>70</v>
      </c>
      <c r="AJ23" s="116" t="s">
        <v>70</v>
      </c>
      <c r="AK23" s="116" t="s">
        <v>70</v>
      </c>
      <c r="AL23" s="116" t="s">
        <v>70</v>
      </c>
      <c r="AM23" s="116" t="s">
        <v>70</v>
      </c>
      <c r="AN23" s="116" t="s">
        <v>70</v>
      </c>
      <c r="AO23" s="116" t="s">
        <v>70</v>
      </c>
      <c r="AP23" s="116" t="s">
        <v>70</v>
      </c>
      <c r="AQ23" s="116" t="s">
        <v>70</v>
      </c>
      <c r="AR23" s="116" t="s">
        <v>70</v>
      </c>
      <c r="AS23" s="116" t="s">
        <v>70</v>
      </c>
      <c r="AT23" s="116" t="s">
        <v>70</v>
      </c>
      <c r="AU23" s="116" t="s">
        <v>70</v>
      </c>
      <c r="AV23" s="116" t="s">
        <v>70</v>
      </c>
      <c r="AW23" s="116" t="s">
        <v>70</v>
      </c>
      <c r="AX23" s="116" t="s">
        <v>70</v>
      </c>
      <c r="AY23" s="116" t="s">
        <v>70</v>
      </c>
      <c r="AZ23" s="116" t="s">
        <v>70</v>
      </c>
      <c r="BA23" s="116" t="s">
        <v>70</v>
      </c>
      <c r="BB23" s="116" t="s">
        <v>70</v>
      </c>
      <c r="BC23" s="116" t="s">
        <v>70</v>
      </c>
      <c r="BD23" s="116" t="s">
        <v>70</v>
      </c>
      <c r="BE23" s="116" t="s">
        <v>70</v>
      </c>
      <c r="BF23" s="116" t="s">
        <v>70</v>
      </c>
      <c r="BG23" s="116" t="s">
        <v>70</v>
      </c>
      <c r="BH23" s="116" t="s">
        <v>70</v>
      </c>
      <c r="BI23" s="116" t="s">
        <v>70</v>
      </c>
      <c r="BJ23" s="116" t="s">
        <v>70</v>
      </c>
      <c r="BK23" s="116" t="s">
        <v>70</v>
      </c>
      <c r="BL23" s="116" t="s">
        <v>70</v>
      </c>
      <c r="BM23" s="116" t="s">
        <v>70</v>
      </c>
      <c r="BN23" s="116" t="s">
        <v>70</v>
      </c>
      <c r="BO23" s="116" t="s">
        <v>70</v>
      </c>
      <c r="BP23" s="116" t="s">
        <v>70</v>
      </c>
      <c r="BQ23" s="116" t="s">
        <v>70</v>
      </c>
      <c r="BR23" s="116" t="s">
        <v>70</v>
      </c>
      <c r="BS23" s="116" t="s">
        <v>70</v>
      </c>
      <c r="BT23" s="116" t="s">
        <v>70</v>
      </c>
      <c r="BU23" s="116" t="s">
        <v>70</v>
      </c>
      <c r="BV23" s="116" t="s">
        <v>70</v>
      </c>
      <c r="BW23" s="116" t="s">
        <v>70</v>
      </c>
      <c r="BX23" s="116" t="s">
        <v>70</v>
      </c>
      <c r="BY23" s="116" t="s">
        <v>70</v>
      </c>
      <c r="BZ23" s="116" t="s">
        <v>70</v>
      </c>
      <c r="CA23" s="116" t="s">
        <v>70</v>
      </c>
      <c r="CB23" s="116" t="s">
        <v>70</v>
      </c>
      <c r="CC23" s="116" t="s">
        <v>70</v>
      </c>
      <c r="CD23" s="116" t="s">
        <v>70</v>
      </c>
      <c r="CE23" s="116" t="s">
        <v>70</v>
      </c>
      <c r="CF23" s="116" t="s">
        <v>70</v>
      </c>
      <c r="CG23" s="116" t="s">
        <v>70</v>
      </c>
      <c r="CH23" s="116" t="s">
        <v>70</v>
      </c>
      <c r="CI23" s="116" t="s">
        <v>70</v>
      </c>
      <c r="CJ23" s="116" t="s">
        <v>70</v>
      </c>
      <c r="CK23" s="116" t="s">
        <v>70</v>
      </c>
      <c r="CL23" s="116" t="s">
        <v>70</v>
      </c>
      <c r="CM23" s="116" t="s">
        <v>70</v>
      </c>
      <c r="CN23" s="116" t="s">
        <v>70</v>
      </c>
      <c r="CO23" s="116" t="s">
        <v>70</v>
      </c>
      <c r="CP23" s="116" t="s">
        <v>70</v>
      </c>
      <c r="CQ23" s="116" t="s">
        <v>70</v>
      </c>
      <c r="CR23" s="116" t="s">
        <v>70</v>
      </c>
      <c r="CS23" s="116" t="s">
        <v>70</v>
      </c>
      <c r="CT23" s="116" t="s">
        <v>70</v>
      </c>
      <c r="CU23" s="116" t="s">
        <v>70</v>
      </c>
      <c r="CV23" s="116" t="s">
        <v>70</v>
      </c>
      <c r="CW23" s="116" t="s">
        <v>70</v>
      </c>
      <c r="CX23" s="116" t="s">
        <v>70</v>
      </c>
      <c r="DD23" s="121">
        <v>12</v>
      </c>
      <c r="DE23" s="122">
        <f ca="1">DE22</f>
        <v>8.9974062731137758E-3</v>
      </c>
    </row>
    <row r="24" spans="2:133">
      <c r="B24" s="104" t="s">
        <v>71</v>
      </c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Z24" s="5" t="s">
        <v>96</v>
      </c>
      <c r="DA24" s="6" t="e">
        <f ca="1">_xll.qlBondOptionEngineCalibrateModel(DA27,DA38:DA47,DA29,DA30,DA13)</f>
        <v>#NUM!</v>
      </c>
    </row>
    <row r="25" spans="2:133">
      <c r="B25" s="104" t="s">
        <v>72</v>
      </c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L25" s="124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B25" s="124"/>
      <c r="CC25" s="124"/>
      <c r="CD25" s="124"/>
      <c r="CE25" s="124"/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R25" s="124"/>
      <c r="CS25" s="124"/>
      <c r="CT25" s="124"/>
      <c r="CU25" s="124"/>
      <c r="CV25" s="124"/>
      <c r="CW25" s="124"/>
      <c r="CX25" s="124"/>
      <c r="CZ25" s="7" t="s">
        <v>5</v>
      </c>
      <c r="DA25" s="4" t="e">
        <f ca="1">_xll.ohRangeRetrieveError(DA24)</f>
        <v>#NUM!</v>
      </c>
      <c r="DT25" s="47" t="s">
        <v>284</v>
      </c>
    </row>
    <row r="26" spans="2:133">
      <c r="B26" s="104" t="s">
        <v>73</v>
      </c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24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24"/>
      <c r="BZ26" s="124"/>
      <c r="CA26" s="124"/>
      <c r="CB26" s="124"/>
      <c r="CC26" s="124"/>
      <c r="CD26" s="124"/>
      <c r="CE26" s="124"/>
      <c r="CF26" s="124"/>
      <c r="CG26" s="124"/>
      <c r="CH26" s="124"/>
      <c r="CI26" s="124"/>
      <c r="CJ26" s="124"/>
      <c r="CK26" s="124"/>
      <c r="CL26" s="124"/>
      <c r="CM26" s="124"/>
      <c r="CN26" s="124"/>
      <c r="CO26" s="124"/>
      <c r="CP26" s="124"/>
      <c r="CQ26" s="124"/>
      <c r="CR26" s="124"/>
      <c r="CS26" s="124"/>
      <c r="CT26" s="124"/>
      <c r="CU26" s="124"/>
      <c r="CV26" s="124"/>
      <c r="CW26" s="124"/>
      <c r="CX26" s="124"/>
      <c r="CZ26" s="8" t="s">
        <v>2</v>
      </c>
      <c r="DA26" s="9"/>
      <c r="DD26" s="125" t="s">
        <v>101</v>
      </c>
      <c r="DE26" s="126"/>
    </row>
    <row r="27" spans="2:133">
      <c r="B27" s="104" t="s">
        <v>30</v>
      </c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Z27" s="10" t="s">
        <v>43</v>
      </c>
      <c r="DA27" s="27" t="str">
        <f ca="1">DA13</f>
        <v>obj_009c8#0000</v>
      </c>
      <c r="DD27" s="90" t="s">
        <v>53</v>
      </c>
      <c r="DE27" s="90" t="s">
        <v>54</v>
      </c>
      <c r="DG27" s="155" t="s">
        <v>259</v>
      </c>
      <c r="DH27" s="151" t="s">
        <v>7</v>
      </c>
      <c r="DI27" s="151" t="s">
        <v>8</v>
      </c>
      <c r="DJ27" s="151" t="s">
        <v>9</v>
      </c>
      <c r="DK27" s="151" t="s">
        <v>10</v>
      </c>
      <c r="DL27" s="151" t="s">
        <v>11</v>
      </c>
      <c r="DM27" s="151" t="s">
        <v>12</v>
      </c>
      <c r="DN27" s="151" t="s">
        <v>13</v>
      </c>
      <c r="DO27" s="151" t="s">
        <v>14</v>
      </c>
      <c r="DP27" s="151" t="s">
        <v>15</v>
      </c>
      <c r="DQ27" s="152" t="s">
        <v>16</v>
      </c>
      <c r="DT27" s="47" t="s">
        <v>285</v>
      </c>
      <c r="DW27" s="174" t="e">
        <f ca="1">N97</f>
        <v>#VALUE!</v>
      </c>
    </row>
    <row r="28" spans="2:133" ht="13.5" thickBot="1">
      <c r="B28" s="107" t="s">
        <v>32</v>
      </c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7"/>
      <c r="BS28" s="127"/>
      <c r="BT28" s="127"/>
      <c r="BU28" s="127"/>
      <c r="BV28" s="127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  <c r="CG28" s="127"/>
      <c r="CH28" s="127"/>
      <c r="CI28" s="127"/>
      <c r="CJ28" s="127"/>
      <c r="CK28" s="127"/>
      <c r="CL28" s="127"/>
      <c r="CM28" s="127"/>
      <c r="CN28" s="127"/>
      <c r="CO28" s="127"/>
      <c r="CP28" s="127"/>
      <c r="CQ28" s="127"/>
      <c r="CR28" s="127"/>
      <c r="CS28" s="127"/>
      <c r="CT28" s="127"/>
      <c r="CU28" s="127"/>
      <c r="CV28" s="127"/>
      <c r="CW28" s="127"/>
      <c r="CX28" s="127"/>
      <c r="CZ28" s="10" t="s">
        <v>97</v>
      </c>
      <c r="DA28" s="26"/>
      <c r="DD28" s="128" t="e">
        <f t="array" aca="1" ref="DD28:DD38" ca="1">_xll.qlRealHullWhiteModelVolaTimes(DA2,DA24)</f>
        <v>#NUM!</v>
      </c>
      <c r="DE28" s="129" t="e">
        <f t="array" aca="1" ref="DE28:DE38" ca="1">_xll.qlRealHullWhiteModelVolaValues(DA2,DA24)</f>
        <v>#NUM!</v>
      </c>
      <c r="DG28" s="153" t="s">
        <v>7</v>
      </c>
      <c r="DH28" s="156">
        <f t="array" aca="1" ref="DH28:DH37" ca="1">TRANSPOSE(C113:L113)*10000</f>
        <v>-49.995073866775677</v>
      </c>
      <c r="DI28" s="157">
        <f t="array" aca="1" ref="DI28:DI37" ca="1">TRANSPOSE(M113:V113)*10000</f>
        <v>-45.141835182400307</v>
      </c>
      <c r="DJ28" s="157" t="e">
        <f t="array" aca="1" ref="DJ28:DJ37" ca="1">TRANSPOSE(W113:AF113)*10000</f>
        <v>#VALUE!</v>
      </c>
      <c r="DK28" s="157">
        <f t="array" aca="1" ref="DK28:DK37" ca="1">TRANSPOSE(AG113:AP113)*10000</f>
        <v>-31.573433375660617</v>
      </c>
      <c r="DL28" s="157">
        <f t="array" aca="1" ref="DL28:DL37" ca="1">TRANSPOSE(AQ113:AZ113)*10000</f>
        <v>-25.142017209930358</v>
      </c>
      <c r="DM28" s="157">
        <f t="array" aca="1" ref="DM28:DM37" ca="1">TRANSPOSE(BA113:BJ113)*10000</f>
        <v>-18.910252043517232</v>
      </c>
      <c r="DN28" s="157" t="e">
        <f t="array" aca="1" ref="DN28:DN37">TRANSPOSE(BK113:BT113)*10000</f>
        <v>#VALUE!</v>
      </c>
      <c r="DO28" s="157">
        <f t="array" aca="1" ref="DO28:DO37" ca="1">TRANSPOSE(BU113:CD113)*10000</f>
        <v>-8.2052614710273559</v>
      </c>
      <c r="DP28" s="157">
        <f t="array" aca="1" ref="DP28:DP37" ca="1">TRANSPOSE(CE113:CN113)*10000</f>
        <v>-4.0508466833399748</v>
      </c>
      <c r="DQ28" s="158">
        <f t="array" aca="1" ref="DQ28:DQ37" ca="1">TRANSPOSE(CO113:CX113)*10000</f>
        <v>6.7654215563095477E-13</v>
      </c>
      <c r="DT28" s="47" t="s">
        <v>286</v>
      </c>
      <c r="DW28" s="174">
        <f ca="1">N112</f>
        <v>7.8657431823700302E-3</v>
      </c>
    </row>
    <row r="29" spans="2:133" ht="13.5" thickBot="1">
      <c r="CZ29" s="10" t="s">
        <v>98</v>
      </c>
      <c r="DA29" s="28" t="b">
        <v>0</v>
      </c>
      <c r="DD29" s="130" t="e">
        <f ca="1"/>
        <v>#NUM!</v>
      </c>
      <c r="DE29" s="131" t="e">
        <f ca="1"/>
        <v>#NUM!</v>
      </c>
      <c r="DG29" s="153" t="s">
        <v>8</v>
      </c>
      <c r="DH29" s="159">
        <f ca="1"/>
        <v>-39.255910041213092</v>
      </c>
      <c r="DI29" s="173" t="e">
        <f ca="1"/>
        <v>#VALUE!</v>
      </c>
      <c r="DJ29" s="160">
        <f ca="1"/>
        <v>-27.354496892449433</v>
      </c>
      <c r="DK29" s="160">
        <f ca="1"/>
        <v>-22.542572185245405</v>
      </c>
      <c r="DL29" s="160">
        <f ca="1"/>
        <v>-17.370610062192455</v>
      </c>
      <c r="DM29" s="160">
        <f ca="1"/>
        <v>-13.098674980186455</v>
      </c>
      <c r="DN29" s="160" t="e">
        <f ca="1"/>
        <v>#VALUE!</v>
      </c>
      <c r="DO29" s="160">
        <f ca="1"/>
        <v>-5.6108751928601004</v>
      </c>
      <c r="DP29" s="160">
        <f ca="1"/>
        <v>-2.8538007242599663</v>
      </c>
      <c r="DQ29" s="161">
        <f ca="1"/>
        <v>8.8722432178833799E-11</v>
      </c>
    </row>
    <row r="30" spans="2:133">
      <c r="B30" s="102" t="s">
        <v>94</v>
      </c>
      <c r="C30" s="113" t="str">
        <f ca="1">_xll.qlSchedule(C32,C33,C34,C35,C36,C37,C38,C39,C40,C41,C42,C43,C44)</f>
        <v>obj_0098c#0000</v>
      </c>
      <c r="D30" s="113" t="str">
        <f ca="1">_xll.qlSchedule(D32,D33,D34,D35,D36,D37,D38,D39,D40,D41,D42,D43,D44)</f>
        <v>obj_00a28#0000</v>
      </c>
      <c r="E30" s="113" t="str">
        <f ca="1">_xll.qlSchedule(E32,E33,E34,E35,E36,E37,E38,E39,E40,E41,E42,E43,E44)</f>
        <v>obj_00984#0000</v>
      </c>
      <c r="F30" s="113" t="str">
        <f ca="1">_xll.qlSchedule(F32,F33,F34,F35,F36,F37,F38,F39,F40,F41,F42,F43,F44)</f>
        <v>obj_009b0#0000</v>
      </c>
      <c r="G30" s="113" t="str">
        <f ca="1">_xll.qlSchedule(G32,G33,G34,G35,G36,G37,G38,G39,G40,G41,G42,G43,G44)</f>
        <v>obj_009f3#0000</v>
      </c>
      <c r="H30" s="113" t="str">
        <f ca="1">_xll.qlSchedule(H32,H33,H34,H35,H36,H37,H38,H39,H40,H41,H42,H43,H44)</f>
        <v>obj_00a3b#0000</v>
      </c>
      <c r="I30" s="113" t="str">
        <f ca="1">_xll.qlSchedule(I32,I33,I34,I35,I36,I37,I38,I39,I40,I41,I42,I43,I44)</f>
        <v>obj_00991#0000</v>
      </c>
      <c r="J30" s="113" t="str">
        <f ca="1">_xll.qlSchedule(J32,J33,J34,J35,J36,J37,J38,J39,J40,J41,J42,J43,J44)</f>
        <v>obj_009c5#0000</v>
      </c>
      <c r="K30" s="113" t="str">
        <f ca="1">_xll.qlSchedule(K32,K33,K34,K35,K36,K37,K38,K39,K40,K41,K42,K43,K44)</f>
        <v>obj_00a41#0000</v>
      </c>
      <c r="L30" s="113" t="str">
        <f ca="1">_xll.qlSchedule(L32,L33,L34,L35,L36,L37,L38,L39,L40,L41,L42,L43,L44)</f>
        <v>obj_009b5#0000</v>
      </c>
      <c r="M30" s="113" t="str">
        <f ca="1">_xll.qlSchedule(M32,M33,M34,M35,M36,M37,M38,M39,M40,M41,M42,M43,M44)</f>
        <v>obj_009e5#0000</v>
      </c>
      <c r="N30" s="113" t="str">
        <f ca="1">_xll.qlSchedule(N32,N33,N34,N35,N36,N37,N38,N39,N40,N41,N42,N43,N44)</f>
        <v>obj_00986#0000</v>
      </c>
      <c r="O30" s="113" t="str">
        <f ca="1">_xll.qlSchedule(O32,O33,O34,O35,O36,O37,O38,O39,O40,O41,O42,O43,O44)</f>
        <v>obj_00a11#0000</v>
      </c>
      <c r="P30" s="113" t="str">
        <f ca="1">_xll.qlSchedule(P32,P33,P34,P35,P36,P37,P38,P39,P40,P41,P42,P43,P44)</f>
        <v>obj_00a46#0000</v>
      </c>
      <c r="Q30" s="113" t="str">
        <f ca="1">_xll.qlSchedule(Q32,Q33,Q34,Q35,Q36,Q37,Q38,Q39,Q40,Q41,Q42,Q43,Q44)</f>
        <v>obj_009ae#0000</v>
      </c>
      <c r="R30" s="113" t="str">
        <f ca="1">_xll.qlSchedule(R32,R33,R34,R35,R36,R37,R38,R39,R40,R41,R42,R43,R44)</f>
        <v>obj_009a5#0000</v>
      </c>
      <c r="S30" s="113" t="str">
        <f ca="1">_xll.qlSchedule(S32,S33,S34,S35,S36,S37,S38,S39,S40,S41,S42,S43,S44)</f>
        <v>obj_009bf#0000</v>
      </c>
      <c r="T30" s="113" t="str">
        <f ca="1">_xll.qlSchedule(T32,T33,T34,T35,T36,T37,T38,T39,T40,T41,T42,T43,T44)</f>
        <v>obj_009c2#0000</v>
      </c>
      <c r="U30" s="113" t="str">
        <f ca="1">_xll.qlSchedule(U32,U33,U34,U35,U36,U37,U38,U39,U40,U41,U42,U43,U44)</f>
        <v>obj_00a06#0000</v>
      </c>
      <c r="V30" s="113" t="str">
        <f ca="1">_xll.qlSchedule(V32,V33,V34,V35,V36,V37,V38,V39,V40,V41,V42,V43,V44)</f>
        <v>obj_00a4a#0000</v>
      </c>
      <c r="W30" s="113" t="str">
        <f ca="1">_xll.qlSchedule(W32,W33,W34,W35,W36,W37,W38,W39,W40,W41,W42,W43,W44)</f>
        <v>obj_00a02#0000</v>
      </c>
      <c r="X30" s="113" t="str">
        <f ca="1">_xll.qlSchedule(X32,X33,X34,X35,X36,X37,X38,X39,X40,X41,X42,X43,X44)</f>
        <v>obj_009a8#0000</v>
      </c>
      <c r="Y30" s="113" t="str">
        <f ca="1">_xll.qlSchedule(Y32,Y33,Y34,Y35,Y36,Y37,Y38,Y39,Y40,Y41,Y42,Y43,Y44)</f>
        <v>obj_00a29#0000</v>
      </c>
      <c r="Z30" s="113" t="str">
        <f ca="1">_xll.qlSchedule(Z32,Z33,Z34,Z35,Z36,Z37,Z38,Z39,Z40,Z41,Z42,Z43,Z44)</f>
        <v>obj_00993#0000</v>
      </c>
      <c r="AA30" s="113" t="str">
        <f ca="1">_xll.qlSchedule(AA32,AA33,AA34,AA35,AA36,AA37,AA38,AA39,AA40,AA41,AA42,AA43,AA44)</f>
        <v>obj_009ed#0000</v>
      </c>
      <c r="AB30" s="113" t="str">
        <f ca="1">_xll.qlSchedule(AB32,AB33,AB34,AB35,AB36,AB37,AB38,AB39,AB40,AB41,AB42,AB43,AB44)</f>
        <v>obj_009e8#0000</v>
      </c>
      <c r="AC30" s="113" t="str">
        <f ca="1">_xll.qlSchedule(AC32,AC33,AC34,AC35,AC36,AC37,AC38,AC39,AC40,AC41,AC42,AC43,AC44)</f>
        <v>obj_009a1#0000</v>
      </c>
      <c r="AD30" s="113" t="str">
        <f ca="1">_xll.qlSchedule(AD32,AD33,AD34,AD35,AD36,AD37,AD38,AD39,AD40,AD41,AD42,AD43,AD44)</f>
        <v>obj_009b9#0000</v>
      </c>
      <c r="AE30" s="113" t="str">
        <f ca="1">_xll.qlSchedule(AE32,AE33,AE34,AE35,AE36,AE37,AE38,AE39,AE40,AE41,AE42,AE43,AE44)</f>
        <v>obj_009a2#0000</v>
      </c>
      <c r="AF30" s="113" t="str">
        <f ca="1">_xll.qlSchedule(AF32,AF33,AF34,AF35,AF36,AF37,AF38,AF39,AF40,AF41,AF42,AF43,AF44)</f>
        <v>obj_00a15#0000</v>
      </c>
      <c r="AG30" s="113" t="str">
        <f ca="1">_xll.qlSchedule(AG32,AG33,AG34,AG35,AG36,AG37,AG38,AG39,AG40,AG41,AG42,AG43,AG44)</f>
        <v>obj_00a20#0000</v>
      </c>
      <c r="AH30" s="113" t="str">
        <f ca="1">_xll.qlSchedule(AH32,AH33,AH34,AH35,AH36,AH37,AH38,AH39,AH40,AH41,AH42,AH43,AH44)</f>
        <v>obj_009d8#0000</v>
      </c>
      <c r="AI30" s="113" t="str">
        <f ca="1">_xll.qlSchedule(AI32,AI33,AI34,AI35,AI36,AI37,AI38,AI39,AI40,AI41,AI42,AI43,AI44)</f>
        <v>obj_0098d#0000</v>
      </c>
      <c r="AJ30" s="113" t="str">
        <f ca="1">_xll.qlSchedule(AJ32,AJ33,AJ34,AJ35,AJ36,AJ37,AJ38,AJ39,AJ40,AJ41,AJ42,AJ43,AJ44)</f>
        <v>obj_00a35#0000</v>
      </c>
      <c r="AK30" s="113" t="str">
        <f ca="1">_xll.qlSchedule(AK32,AK33,AK34,AK35,AK36,AK37,AK38,AK39,AK40,AK41,AK42,AK43,AK44)</f>
        <v>obj_009dc#0000</v>
      </c>
      <c r="AL30" s="113" t="str">
        <f ca="1">_xll.qlSchedule(AL32,AL33,AL34,AL35,AL36,AL37,AL38,AL39,AL40,AL41,AL42,AL43,AL44)</f>
        <v>obj_0099f#0000</v>
      </c>
      <c r="AM30" s="113" t="str">
        <f ca="1">_xll.qlSchedule(AM32,AM33,AM34,AM35,AM36,AM37,AM38,AM39,AM40,AM41,AM42,AM43,AM44)</f>
        <v>obj_00a0f#0000</v>
      </c>
      <c r="AN30" s="113" t="str">
        <f ca="1">_xll.qlSchedule(AN32,AN33,AN34,AN35,AN36,AN37,AN38,AN39,AN40,AN41,AN42,AN43,AN44)</f>
        <v>obj_00a48#0000</v>
      </c>
      <c r="AO30" s="113" t="str">
        <f ca="1">_xll.qlSchedule(AO32,AO33,AO34,AO35,AO36,AO37,AO38,AO39,AO40,AO41,AO42,AO43,AO44)</f>
        <v>obj_009c4#0000</v>
      </c>
      <c r="AP30" s="113" t="str">
        <f ca="1">_xll.qlSchedule(AP32,AP33,AP34,AP35,AP36,AP37,AP38,AP39,AP40,AP41,AP42,AP43,AP44)</f>
        <v>obj_009c6#0000</v>
      </c>
      <c r="AQ30" s="113" t="str">
        <f ca="1">_xll.qlSchedule(AQ32,AQ33,AQ34,AQ35,AQ36,AQ37,AQ38,AQ39,AQ40,AQ41,AQ42,AQ43,AQ44)</f>
        <v>obj_00a27#0000</v>
      </c>
      <c r="AR30" s="113" t="str">
        <f ca="1">_xll.qlSchedule(AR32,AR33,AR34,AR35,AR36,AR37,AR38,AR39,AR40,AR41,AR42,AR43,AR44)</f>
        <v>obj_00983#0000</v>
      </c>
      <c r="AS30" s="113" t="str">
        <f ca="1">_xll.qlSchedule(AS32,AS33,AS34,AS35,AS36,AS37,AS38,AS39,AS40,AS41,AS42,AS43,AS44)</f>
        <v>obj_00a00#0000</v>
      </c>
      <c r="AT30" s="113" t="str">
        <f ca="1">_xll.qlSchedule(AT32,AT33,AT34,AT35,AT36,AT37,AT38,AT39,AT40,AT41,AT42,AT43,AT44)</f>
        <v>obj_00987#0000</v>
      </c>
      <c r="AU30" s="113" t="str">
        <f ca="1">_xll.qlSchedule(AU32,AU33,AU34,AU35,AU36,AU37,AU38,AU39,AU40,AU41,AU42,AU43,AU44)</f>
        <v>obj_00a1d#0000</v>
      </c>
      <c r="AV30" s="113" t="str">
        <f ca="1">_xll.qlSchedule(AV32,AV33,AV34,AV35,AV36,AV37,AV38,AV39,AV40,AV41,AV42,AV43,AV44)</f>
        <v>obj_009d3#0000</v>
      </c>
      <c r="AW30" s="113" t="str">
        <f ca="1">_xll.qlSchedule(AW32,AW33,AW34,AW35,AW36,AW37,AW38,AW39,AW40,AW41,AW42,AW43,AW44)</f>
        <v>obj_009e1#0000</v>
      </c>
      <c r="AX30" s="113" t="str">
        <f ca="1">_xll.qlSchedule(AX32,AX33,AX34,AX35,AX36,AX37,AX38,AX39,AX40,AX41,AX42,AX43,AX44)</f>
        <v>obj_009a6#0000</v>
      </c>
      <c r="AY30" s="113" t="str">
        <f ca="1">_xll.qlSchedule(AY32,AY33,AY34,AY35,AY36,AY37,AY38,AY39,AY40,AY41,AY42,AY43,AY44)</f>
        <v>obj_009c0#0000</v>
      </c>
      <c r="AZ30" s="113" t="str">
        <f ca="1">_xll.qlSchedule(AZ32,AZ33,AZ34,AZ35,AZ36,AZ37,AZ38,AZ39,AZ40,AZ41,AZ42,AZ43,AZ44)</f>
        <v>obj_00990#0000</v>
      </c>
      <c r="BA30" s="113" t="str">
        <f ca="1">_xll.qlSchedule(BA32,BA33,BA34,BA35,BA36,BA37,BA38,BA39,BA40,BA41,BA42,BA43,BA44)</f>
        <v>obj_00a13#0000</v>
      </c>
      <c r="BB30" s="113" t="str">
        <f ca="1">_xll.qlSchedule(BB32,BB33,BB34,BB35,BB36,BB37,BB38,BB39,BB40,BB41,BB42,BB43,BB44)</f>
        <v>obj_00a2d#0000</v>
      </c>
      <c r="BC30" s="113" t="str">
        <f ca="1">_xll.qlSchedule(BC32,BC33,BC34,BC35,BC36,BC37,BC38,BC39,BC40,BC41,BC42,BC43,BC44)</f>
        <v>obj_00a1b#0000</v>
      </c>
      <c r="BD30" s="113" t="str">
        <f ca="1">_xll.qlSchedule(BD32,BD33,BD34,BD35,BD36,BD37,BD38,BD39,BD40,BD41,BD42,BD43,BD44)</f>
        <v>obj_009db#0000</v>
      </c>
      <c r="BE30" s="113" t="str">
        <f ca="1">_xll.qlSchedule(BE32,BE33,BE34,BE35,BE36,BE37,BE38,BE39,BE40,BE41,BE42,BE43,BE44)</f>
        <v>obj_00a0d#0000</v>
      </c>
      <c r="BF30" s="113" t="str">
        <f ca="1">_xll.qlSchedule(BF32,BF33,BF34,BF35,BF36,BF37,BF38,BF39,BF40,BF41,BF42,BF43,BF44)</f>
        <v>obj_00994#0000</v>
      </c>
      <c r="BG30" s="113" t="str">
        <f ca="1">_xll.qlSchedule(BG32,BG33,BG34,BG35,BG36,BG37,BG38,BG39,BG40,BG41,BG42,BG43,BG44)</f>
        <v>obj_00a0c#0000</v>
      </c>
      <c r="BH30" s="113" t="str">
        <f ca="1">_xll.qlSchedule(BH32,BH33,BH34,BH35,BH36,BH37,BH38,BH39,BH40,BH41,BH42,BH43,BH44)</f>
        <v>obj_00a22#0000</v>
      </c>
      <c r="BI30" s="113" t="str">
        <f ca="1">_xll.qlSchedule(BI32,BI33,BI34,BI35,BI36,BI37,BI38,BI39,BI40,BI41,BI42,BI43,BI44)</f>
        <v>obj_00a04#0000</v>
      </c>
      <c r="BJ30" s="113" t="str">
        <f ca="1">_xll.qlSchedule(BJ32,BJ33,BJ34,BJ35,BJ36,BJ37,BJ38,BJ39,BJ40,BJ41,BJ42,BJ43,BJ44)</f>
        <v>obj_009ba#0000</v>
      </c>
      <c r="BK30" s="113" t="str">
        <f ca="1">_xll.qlSchedule(BK32,BK33,BK34,BK35,BK36,BK37,BK38,BK39,BK40,BK41,BK42,BK43,BK44)</f>
        <v>obj_009d5#0000</v>
      </c>
      <c r="BL30" s="113" t="str">
        <f ca="1">_xll.qlSchedule(BL32,BL33,BL34,BL35,BL36,BL37,BL38,BL39,BL40,BL41,BL42,BL43,BL44)</f>
        <v>obj_009b2#0000</v>
      </c>
      <c r="BM30" s="113" t="str">
        <f ca="1">_xll.qlSchedule(BM32,BM33,BM34,BM35,BM36,BM37,BM38,BM39,BM40,BM41,BM42,BM43,BM44)</f>
        <v>obj_009d0#0000</v>
      </c>
      <c r="BN30" s="113" t="str">
        <f ca="1">_xll.qlSchedule(BN32,BN33,BN34,BN35,BN36,BN37,BN38,BN39,BN40,BN41,BN42,BN43,BN44)</f>
        <v>obj_009d9#0000</v>
      </c>
      <c r="BO30" s="113" t="str">
        <f ca="1">_xll.qlSchedule(BO32,BO33,BO34,BO35,BO36,BO37,BO38,BO39,BO40,BO41,BO42,BO43,BO44)</f>
        <v>obj_0098e#0000</v>
      </c>
      <c r="BP30" s="113" t="str">
        <f ca="1">_xll.qlSchedule(BP32,BP33,BP34,BP35,BP36,BP37,BP38,BP39,BP40,BP41,BP42,BP43,BP44)</f>
        <v>obj_00a42#0000</v>
      </c>
      <c r="BQ30" s="113" t="str">
        <f ca="1">_xll.qlSchedule(BQ32,BQ33,BQ34,BQ35,BQ36,BQ37,BQ38,BQ39,BQ40,BQ41,BQ42,BQ43,BQ44)</f>
        <v>obj_009aa#0000</v>
      </c>
      <c r="BR30" s="113" t="str">
        <f ca="1">_xll.qlSchedule(BR32,BR33,BR34,BR35,BR36,BR37,BR38,BR39,BR40,BR41,BR42,BR43,BR44)</f>
        <v>obj_00a31#0000</v>
      </c>
      <c r="BS30" s="113" t="str">
        <f ca="1">_xll.qlSchedule(BS32,BS33,BS34,BS35,BS36,BS37,BS38,BS39,BS40,BS41,BS42,BS43,BS44)</f>
        <v>obj_009f4#0000</v>
      </c>
      <c r="BT30" s="113" t="str">
        <f ca="1">_xll.qlSchedule(BT32,BT33,BT34,BT35,BT36,BT37,BT38,BT39,BT40,BT41,BT42,BT43,BT44)</f>
        <v>obj_009fb#0000</v>
      </c>
      <c r="BU30" s="113" t="str">
        <f ca="1">_xll.qlSchedule(BU32,BU33,BU34,BU35,BU36,BU37,BU38,BU39,BU40,BU41,BU42,BU43,BU44)</f>
        <v>obj_009b3#0000</v>
      </c>
      <c r="BV30" s="113" t="str">
        <f ca="1">_xll.qlSchedule(BV32,BV33,BV34,BV35,BV36,BV37,BV38,BV39,BV40,BV41,BV42,BV43,BV44)</f>
        <v>obj_009c7#0000</v>
      </c>
      <c r="BW30" s="113" t="str">
        <f ca="1">_xll.qlSchedule(BW32,BW33,BW34,BW35,BW36,BW37,BW38,BW39,BW40,BW41,BW42,BW43,BW44)</f>
        <v>obj_00a18#0000</v>
      </c>
      <c r="BX30" s="113" t="str">
        <f ca="1">_xll.qlSchedule(BX32,BX33,BX34,BX35,BX36,BX37,BX38,BX39,BX40,BX41,BX42,BX43,BX44)</f>
        <v>obj_009b6#0000</v>
      </c>
      <c r="BY30" s="113" t="str">
        <f ca="1">_xll.qlSchedule(BY32,BY33,BY34,BY35,BY36,BY37,BY38,BY39,BY40,BY41,BY42,BY43,BY44)</f>
        <v>obj_00992#0000</v>
      </c>
      <c r="BZ30" s="113" t="str">
        <f ca="1">_xll.qlSchedule(BZ32,BZ33,BZ34,BZ35,BZ36,BZ37,BZ38,BZ39,BZ40,BZ41,BZ42,BZ43,BZ44)</f>
        <v>obj_00988#0000</v>
      </c>
      <c r="CA30" s="113" t="str">
        <f ca="1">_xll.qlSchedule(CA32,CA33,CA34,CA35,CA36,CA37,CA38,CA39,CA40,CA41,CA42,CA43,CA44)</f>
        <v>obj_00a4b#0000</v>
      </c>
      <c r="CB30" s="113" t="str">
        <f ca="1">_xll.qlSchedule(CB32,CB33,CB34,CB35,CB36,CB37,CB38,CB39,CB40,CB41,CB42,CB43,CB44)</f>
        <v>obj_009f7#0000</v>
      </c>
      <c r="CC30" s="113" t="str">
        <f ca="1">_xll.qlSchedule(CC32,CC33,CC34,CC35,CC36,CC37,CC38,CC39,CC40,CC41,CC42,CC43,CC44)</f>
        <v>obj_009fe#0000</v>
      </c>
      <c r="CD30" s="113" t="str">
        <f ca="1">_xll.qlSchedule(CD32,CD33,CD34,CD35,CD36,CD37,CD38,CD39,CD40,CD41,CD42,CD43,CD44)</f>
        <v>obj_009a7#0000</v>
      </c>
      <c r="CE30" s="113" t="str">
        <f ca="1">_xll.qlSchedule(CE32,CE33,CE34,CE35,CE36,CE37,CE38,CE39,CE40,CE41,CE42,CE43,CE44)</f>
        <v>obj_009c1#0000</v>
      </c>
      <c r="CF30" s="113" t="str">
        <f ca="1">_xll.qlSchedule(CF32,CF33,CF34,CF35,CF36,CF37,CF38,CF39,CF40,CF41,CF42,CF43,CF44)</f>
        <v>obj_009c3#0000</v>
      </c>
      <c r="CG30" s="113" t="str">
        <f ca="1">_xll.qlSchedule(CG32,CG33,CG34,CG35,CG36,CG37,CG38,CG39,CG40,CG41,CG42,CG43,CG44)</f>
        <v>obj_00a1f#0000</v>
      </c>
      <c r="CH30" s="113" t="str">
        <f ca="1">_xll.qlSchedule(CH32,CH33,CH34,CH35,CH36,CH37,CH38,CH39,CH40,CH41,CH42,CH43,CH44)</f>
        <v>obj_00a39#0000</v>
      </c>
      <c r="CI30" s="113" t="str">
        <f ca="1">_xll.qlSchedule(CI32,CI33,CI34,CI35,CI36,CI37,CI38,CI39,CI40,CI41,CI42,CI43,CI44)</f>
        <v>obj_00a2c#0000</v>
      </c>
      <c r="CJ30" s="113" t="str">
        <f ca="1">_xll.qlSchedule(CJ32,CJ33,CJ34,CJ35,CJ36,CJ37,CJ38,CJ39,CJ40,CJ41,CJ42,CJ43,CJ44)</f>
        <v>obj_009a9#0000</v>
      </c>
      <c r="CK30" s="113" t="str">
        <f ca="1">_xll.qlSchedule(CK32,CK33,CK34,CK35,CK36,CK37,CK38,CK39,CK40,CK41,CK42,CK43,CK44)</f>
        <v>obj_00a19#0000</v>
      </c>
      <c r="CL30" s="113" t="str">
        <f ca="1">_xll.qlSchedule(CL32,CL33,CL34,CL35,CL36,CL37,CL38,CL39,CL40,CL41,CL42,CL43,CL44)</f>
        <v>obj_00995#0000</v>
      </c>
      <c r="CM30" s="113" t="str">
        <f ca="1">_xll.qlSchedule(CM32,CM33,CM34,CM35,CM36,CM37,CM38,CM39,CM40,CM41,CM42,CM43,CM44)</f>
        <v>obj_009ee#0000</v>
      </c>
      <c r="CN30" s="113" t="str">
        <f ca="1">_xll.qlSchedule(CN32,CN33,CN34,CN35,CN36,CN37,CN38,CN39,CN40,CN41,CN42,CN43,CN44)</f>
        <v>obj_00a32#0000</v>
      </c>
      <c r="CO30" s="113" t="str">
        <f ca="1">_xll.qlSchedule(CO32,CO33,CO34,CO35,CO36,CO37,CO38,CO39,CO40,CO41,CO42,CO43,CO44)</f>
        <v>obj_009d4#0000</v>
      </c>
      <c r="CP30" s="113" t="str">
        <f ca="1">_xll.qlSchedule(CP32,CP33,CP34,CP35,CP36,CP37,CP38,CP39,CP40,CP41,CP42,CP43,CP44)</f>
        <v>obj_009bb#0000</v>
      </c>
      <c r="CQ30" s="113" t="str">
        <f ca="1">_xll.qlSchedule(CQ32,CQ33,CQ34,CQ35,CQ36,CQ37,CQ38,CQ39,CQ40,CQ41,CQ42,CQ43,CQ44)</f>
        <v>obj_009e7#0000</v>
      </c>
      <c r="CR30" s="113" t="str">
        <f ca="1">_xll.qlSchedule(CR32,CR33,CR34,CR35,CR36,CR37,CR38,CR39,CR40,CR41,CR42,CR43,CR44)</f>
        <v>obj_00a21#0000</v>
      </c>
      <c r="CS30" s="113" t="str">
        <f ca="1">_xll.qlSchedule(CS32,CS33,CS34,CS35,CS36,CS37,CS38,CS39,CS40,CS41,CS42,CS43,CS44)</f>
        <v>obj_009af#0000</v>
      </c>
      <c r="CT30" s="113" t="str">
        <f ca="1">_xll.qlSchedule(CT32,CT33,CT34,CT35,CT36,CT37,CT38,CT39,CT40,CT41,CT42,CT43,CT44)</f>
        <v>obj_009da#0000</v>
      </c>
      <c r="CU30" s="113" t="str">
        <f ca="1">_xll.qlSchedule(CU32,CU33,CU34,CU35,CU36,CU37,CU38,CU39,CU40,CU41,CU42,CU43,CU44)</f>
        <v>obj_0098f#0000</v>
      </c>
      <c r="CV30" s="113" t="str">
        <f ca="1">_xll.qlSchedule(CV32,CV33,CV34,CV35,CV36,CV37,CV38,CV39,CV40,CV41,CV42,CV43,CV44)</f>
        <v>obj_009ef#0000</v>
      </c>
      <c r="CW30" s="113" t="str">
        <f ca="1">_xll.qlSchedule(CW32,CW33,CW34,CW35,CW36,CW37,CW38,CW39,CW40,CW41,CW42,CW43,CW44)</f>
        <v>obj_009dd#0000</v>
      </c>
      <c r="CX30" s="113" t="str">
        <f ca="1">_xll.qlSchedule(CX32,CX33,CX34,CX35,CX36,CX37,CX38,CX39,CX40,CX41,CX42,CX43,CX44)</f>
        <v>obj_009a0#0000</v>
      </c>
      <c r="CZ30" s="10" t="s">
        <v>99</v>
      </c>
      <c r="DA30" s="29">
        <v>1E-8</v>
      </c>
      <c r="DD30" s="130" t="e">
        <f ca="1"/>
        <v>#NUM!</v>
      </c>
      <c r="DE30" s="131" t="e">
        <f ca="1"/>
        <v>#NUM!</v>
      </c>
      <c r="DG30" s="153" t="s">
        <v>9</v>
      </c>
      <c r="DH30" s="159">
        <f ca="1"/>
        <v>-27.19936896908937</v>
      </c>
      <c r="DI30" s="160">
        <f ca="1"/>
        <v>-23.138247064030011</v>
      </c>
      <c r="DJ30" s="160">
        <f ca="1"/>
        <v>-18.859304259550733</v>
      </c>
      <c r="DK30" s="160" t="e">
        <f ca="1"/>
        <v>#VALUE!</v>
      </c>
      <c r="DL30" s="160" t="e">
        <v>#VALUE!</v>
      </c>
      <c r="DM30" s="160">
        <f ca="1"/>
        <v>-9.0095965902925279</v>
      </c>
      <c r="DN30" s="160">
        <f ca="1"/>
        <v>-6.6802868327790579</v>
      </c>
      <c r="DO30" s="160">
        <f ca="1"/>
        <v>-4.4411508217213553</v>
      </c>
      <c r="DP30" s="160">
        <f ca="1"/>
        <v>-2.237856799253684</v>
      </c>
      <c r="DQ30" s="161" t="e">
        <f ca="1"/>
        <v>#VALUE!</v>
      </c>
      <c r="DT30" s="47" t="s">
        <v>283</v>
      </c>
      <c r="DV30" s="47" t="s">
        <v>287</v>
      </c>
      <c r="DW30" s="47" t="s">
        <v>288</v>
      </c>
    </row>
    <row r="31" spans="2:133" ht="13.5" thickBot="1">
      <c r="B31" s="107" t="s">
        <v>5</v>
      </c>
      <c r="C31" s="114" t="str">
        <f ca="1">_xll.ohRangeRetrieveError(C30)</f>
        <v/>
      </c>
      <c r="D31" s="114" t="str">
        <f ca="1">_xll.ohRangeRetrieveError(D30)</f>
        <v/>
      </c>
      <c r="E31" s="114" t="str">
        <f ca="1">_xll.ohRangeRetrieveError(E30)</f>
        <v/>
      </c>
      <c r="F31" s="114" t="str">
        <f ca="1">_xll.ohRangeRetrieveError(F30)</f>
        <v/>
      </c>
      <c r="G31" s="114" t="str">
        <f ca="1">_xll.ohRangeRetrieveError(G30)</f>
        <v/>
      </c>
      <c r="H31" s="114" t="str">
        <f ca="1">_xll.ohRangeRetrieveError(H30)</f>
        <v/>
      </c>
      <c r="I31" s="114" t="str">
        <f ca="1">_xll.ohRangeRetrieveError(I30)</f>
        <v/>
      </c>
      <c r="J31" s="114" t="str">
        <f ca="1">_xll.ohRangeRetrieveError(J30)</f>
        <v/>
      </c>
      <c r="K31" s="114" t="str">
        <f ca="1">_xll.ohRangeRetrieveError(K30)</f>
        <v/>
      </c>
      <c r="L31" s="114" t="str">
        <f ca="1">_xll.ohRangeRetrieveError(L30)</f>
        <v/>
      </c>
      <c r="M31" s="114" t="str">
        <f ca="1">_xll.ohRangeRetrieveError(M30)</f>
        <v/>
      </c>
      <c r="N31" s="114" t="str">
        <f ca="1">_xll.ohRangeRetrieveError(N30)</f>
        <v/>
      </c>
      <c r="O31" s="114" t="str">
        <f ca="1">_xll.ohRangeRetrieveError(O30)</f>
        <v/>
      </c>
      <c r="P31" s="114" t="str">
        <f ca="1">_xll.ohRangeRetrieveError(P30)</f>
        <v/>
      </c>
      <c r="Q31" s="114" t="str">
        <f ca="1">_xll.ohRangeRetrieveError(Q30)</f>
        <v/>
      </c>
      <c r="R31" s="114" t="str">
        <f ca="1">_xll.ohRangeRetrieveError(R30)</f>
        <v/>
      </c>
      <c r="S31" s="114" t="str">
        <f ca="1">_xll.ohRangeRetrieveError(S30)</f>
        <v/>
      </c>
      <c r="T31" s="114" t="str">
        <f ca="1">_xll.ohRangeRetrieveError(T30)</f>
        <v/>
      </c>
      <c r="U31" s="114" t="str">
        <f ca="1">_xll.ohRangeRetrieveError(U30)</f>
        <v/>
      </c>
      <c r="V31" s="114" t="str">
        <f ca="1">_xll.ohRangeRetrieveError(V30)</f>
        <v/>
      </c>
      <c r="W31" s="114" t="str">
        <f ca="1">_xll.ohRangeRetrieveError(W30)</f>
        <v/>
      </c>
      <c r="X31" s="114" t="str">
        <f ca="1">_xll.ohRangeRetrieveError(X30)</f>
        <v/>
      </c>
      <c r="Y31" s="114" t="str">
        <f ca="1">_xll.ohRangeRetrieveError(Y30)</f>
        <v/>
      </c>
      <c r="Z31" s="114" t="str">
        <f ca="1">_xll.ohRangeRetrieveError(Z30)</f>
        <v/>
      </c>
      <c r="AA31" s="114" t="str">
        <f ca="1">_xll.ohRangeRetrieveError(AA30)</f>
        <v/>
      </c>
      <c r="AB31" s="114" t="str">
        <f ca="1">_xll.ohRangeRetrieveError(AB30)</f>
        <v/>
      </c>
      <c r="AC31" s="114" t="str">
        <f ca="1">_xll.ohRangeRetrieveError(AC30)</f>
        <v/>
      </c>
      <c r="AD31" s="114" t="str">
        <f ca="1">_xll.ohRangeRetrieveError(AD30)</f>
        <v/>
      </c>
      <c r="AE31" s="114" t="str">
        <f ca="1">_xll.ohRangeRetrieveError(AE30)</f>
        <v/>
      </c>
      <c r="AF31" s="114" t="str">
        <f ca="1">_xll.ohRangeRetrieveError(AF30)</f>
        <v/>
      </c>
      <c r="AG31" s="114" t="str">
        <f ca="1">_xll.ohRangeRetrieveError(AG30)</f>
        <v/>
      </c>
      <c r="AH31" s="114" t="str">
        <f ca="1">_xll.ohRangeRetrieveError(AH30)</f>
        <v/>
      </c>
      <c r="AI31" s="114" t="str">
        <f ca="1">_xll.ohRangeRetrieveError(AI30)</f>
        <v/>
      </c>
      <c r="AJ31" s="114" t="str">
        <f ca="1">_xll.ohRangeRetrieveError(AJ30)</f>
        <v/>
      </c>
      <c r="AK31" s="114" t="str">
        <f ca="1">_xll.ohRangeRetrieveError(AK30)</f>
        <v/>
      </c>
      <c r="AL31" s="114" t="str">
        <f ca="1">_xll.ohRangeRetrieveError(AL30)</f>
        <v/>
      </c>
      <c r="AM31" s="114" t="str">
        <f ca="1">_xll.ohRangeRetrieveError(AM30)</f>
        <v/>
      </c>
      <c r="AN31" s="114" t="str">
        <f ca="1">_xll.ohRangeRetrieveError(AN30)</f>
        <v/>
      </c>
      <c r="AO31" s="114" t="str">
        <f ca="1">_xll.ohRangeRetrieveError(AO30)</f>
        <v/>
      </c>
      <c r="AP31" s="114" t="str">
        <f ca="1">_xll.ohRangeRetrieveError(AP30)</f>
        <v/>
      </c>
      <c r="AQ31" s="114" t="str">
        <f ca="1">_xll.ohRangeRetrieveError(AQ30)</f>
        <v/>
      </c>
      <c r="AR31" s="114" t="str">
        <f ca="1">_xll.ohRangeRetrieveError(AR30)</f>
        <v/>
      </c>
      <c r="AS31" s="114" t="str">
        <f ca="1">_xll.ohRangeRetrieveError(AS30)</f>
        <v/>
      </c>
      <c r="AT31" s="114" t="str">
        <f ca="1">_xll.ohRangeRetrieveError(AT30)</f>
        <v/>
      </c>
      <c r="AU31" s="114" t="str">
        <f ca="1">_xll.ohRangeRetrieveError(AU30)</f>
        <v/>
      </c>
      <c r="AV31" s="114" t="str">
        <f ca="1">_xll.ohRangeRetrieveError(AV30)</f>
        <v/>
      </c>
      <c r="AW31" s="114" t="str">
        <f ca="1">_xll.ohRangeRetrieveError(AW30)</f>
        <v/>
      </c>
      <c r="AX31" s="114" t="str">
        <f ca="1">_xll.ohRangeRetrieveError(AX30)</f>
        <v/>
      </c>
      <c r="AY31" s="114" t="str">
        <f ca="1">_xll.ohRangeRetrieveError(AY30)</f>
        <v/>
      </c>
      <c r="AZ31" s="114" t="str">
        <f ca="1">_xll.ohRangeRetrieveError(AZ30)</f>
        <v/>
      </c>
      <c r="BA31" s="114" t="str">
        <f ca="1">_xll.ohRangeRetrieveError(BA30)</f>
        <v/>
      </c>
      <c r="BB31" s="114" t="str">
        <f ca="1">_xll.ohRangeRetrieveError(BB30)</f>
        <v/>
      </c>
      <c r="BC31" s="114" t="str">
        <f ca="1">_xll.ohRangeRetrieveError(BC30)</f>
        <v/>
      </c>
      <c r="BD31" s="114" t="str">
        <f ca="1">_xll.ohRangeRetrieveError(BD30)</f>
        <v/>
      </c>
      <c r="BE31" s="114" t="str">
        <f ca="1">_xll.ohRangeRetrieveError(BE30)</f>
        <v/>
      </c>
      <c r="BF31" s="114" t="str">
        <f ca="1">_xll.ohRangeRetrieveError(BF30)</f>
        <v/>
      </c>
      <c r="BG31" s="114" t="str">
        <f ca="1">_xll.ohRangeRetrieveError(BG30)</f>
        <v/>
      </c>
      <c r="BH31" s="114" t="str">
        <f ca="1">_xll.ohRangeRetrieveError(BH30)</f>
        <v/>
      </c>
      <c r="BI31" s="114" t="str">
        <f ca="1">_xll.ohRangeRetrieveError(BI30)</f>
        <v/>
      </c>
      <c r="BJ31" s="114" t="str">
        <f ca="1">_xll.ohRangeRetrieveError(BJ30)</f>
        <v/>
      </c>
      <c r="BK31" s="114" t="str">
        <f ca="1">_xll.ohRangeRetrieveError(BK30)</f>
        <v/>
      </c>
      <c r="BL31" s="114" t="str">
        <f ca="1">_xll.ohRangeRetrieveError(BL30)</f>
        <v/>
      </c>
      <c r="BM31" s="114" t="str">
        <f ca="1">_xll.ohRangeRetrieveError(BM30)</f>
        <v/>
      </c>
      <c r="BN31" s="114" t="str">
        <f ca="1">_xll.ohRangeRetrieveError(BN30)</f>
        <v/>
      </c>
      <c r="BO31" s="114" t="str">
        <f ca="1">_xll.ohRangeRetrieveError(BO30)</f>
        <v/>
      </c>
      <c r="BP31" s="114" t="str">
        <f ca="1">_xll.ohRangeRetrieveError(BP30)</f>
        <v/>
      </c>
      <c r="BQ31" s="114" t="str">
        <f ca="1">_xll.ohRangeRetrieveError(BQ30)</f>
        <v/>
      </c>
      <c r="BR31" s="114" t="str">
        <f ca="1">_xll.ohRangeRetrieveError(BR30)</f>
        <v/>
      </c>
      <c r="BS31" s="114" t="str">
        <f ca="1">_xll.ohRangeRetrieveError(BS30)</f>
        <v/>
      </c>
      <c r="BT31" s="114" t="str">
        <f ca="1">_xll.ohRangeRetrieveError(BT30)</f>
        <v/>
      </c>
      <c r="BU31" s="114" t="str">
        <f ca="1">_xll.ohRangeRetrieveError(BU30)</f>
        <v/>
      </c>
      <c r="BV31" s="114" t="str">
        <f ca="1">_xll.ohRangeRetrieveError(BV30)</f>
        <v/>
      </c>
      <c r="BW31" s="114" t="str">
        <f ca="1">_xll.ohRangeRetrieveError(BW30)</f>
        <v/>
      </c>
      <c r="BX31" s="114" t="str">
        <f ca="1">_xll.ohRangeRetrieveError(BX30)</f>
        <v/>
      </c>
      <c r="BY31" s="114" t="str">
        <f ca="1">_xll.ohRangeRetrieveError(BY30)</f>
        <v/>
      </c>
      <c r="BZ31" s="114" t="str">
        <f ca="1">_xll.ohRangeRetrieveError(BZ30)</f>
        <v/>
      </c>
      <c r="CA31" s="114" t="str">
        <f ca="1">_xll.ohRangeRetrieveError(CA30)</f>
        <v/>
      </c>
      <c r="CB31" s="114" t="str">
        <f ca="1">_xll.ohRangeRetrieveError(CB30)</f>
        <v/>
      </c>
      <c r="CC31" s="114" t="str">
        <f ca="1">_xll.ohRangeRetrieveError(CC30)</f>
        <v/>
      </c>
      <c r="CD31" s="114" t="str">
        <f ca="1">_xll.ohRangeRetrieveError(CD30)</f>
        <v/>
      </c>
      <c r="CE31" s="114" t="str">
        <f ca="1">_xll.ohRangeRetrieveError(CE30)</f>
        <v/>
      </c>
      <c r="CF31" s="114" t="str">
        <f ca="1">_xll.ohRangeRetrieveError(CF30)</f>
        <v/>
      </c>
      <c r="CG31" s="114" t="str">
        <f ca="1">_xll.ohRangeRetrieveError(CG30)</f>
        <v/>
      </c>
      <c r="CH31" s="114" t="str">
        <f ca="1">_xll.ohRangeRetrieveError(CH30)</f>
        <v/>
      </c>
      <c r="CI31" s="114" t="str">
        <f ca="1">_xll.ohRangeRetrieveError(CI30)</f>
        <v/>
      </c>
      <c r="CJ31" s="114" t="str">
        <f ca="1">_xll.ohRangeRetrieveError(CJ30)</f>
        <v/>
      </c>
      <c r="CK31" s="114" t="str">
        <f ca="1">_xll.ohRangeRetrieveError(CK30)</f>
        <v/>
      </c>
      <c r="CL31" s="114" t="str">
        <f ca="1">_xll.ohRangeRetrieveError(CL30)</f>
        <v/>
      </c>
      <c r="CM31" s="114" t="str">
        <f ca="1">_xll.ohRangeRetrieveError(CM30)</f>
        <v/>
      </c>
      <c r="CN31" s="114" t="str">
        <f ca="1">_xll.ohRangeRetrieveError(CN30)</f>
        <v/>
      </c>
      <c r="CO31" s="114" t="str">
        <f ca="1">_xll.ohRangeRetrieveError(CO30)</f>
        <v/>
      </c>
      <c r="CP31" s="114" t="str">
        <f ca="1">_xll.ohRangeRetrieveError(CP30)</f>
        <v/>
      </c>
      <c r="CQ31" s="114" t="str">
        <f ca="1">_xll.ohRangeRetrieveError(CQ30)</f>
        <v/>
      </c>
      <c r="CR31" s="114" t="str">
        <f ca="1">_xll.ohRangeRetrieveError(CR30)</f>
        <v/>
      </c>
      <c r="CS31" s="114" t="str">
        <f ca="1">_xll.ohRangeRetrieveError(CS30)</f>
        <v/>
      </c>
      <c r="CT31" s="114" t="str">
        <f ca="1">_xll.ohRangeRetrieveError(CT30)</f>
        <v/>
      </c>
      <c r="CU31" s="114" t="str">
        <f ca="1">_xll.ohRangeRetrieveError(CU30)</f>
        <v/>
      </c>
      <c r="CV31" s="114" t="str">
        <f ca="1">_xll.ohRangeRetrieveError(CV30)</f>
        <v/>
      </c>
      <c r="CW31" s="114" t="str">
        <f ca="1">_xll.ohRangeRetrieveError(CW30)</f>
        <v/>
      </c>
      <c r="CX31" s="114" t="str">
        <f ca="1">_xll.ohRangeRetrieveError(CX30)</f>
        <v/>
      </c>
      <c r="CZ31" s="10" t="s">
        <v>30</v>
      </c>
      <c r="DA31" s="11"/>
      <c r="DD31" s="130" t="e">
        <f ca="1"/>
        <v>#NUM!</v>
      </c>
      <c r="DE31" s="131" t="e">
        <f ca="1"/>
        <v>#NUM!</v>
      </c>
      <c r="DG31" s="153" t="s">
        <v>10</v>
      </c>
      <c r="DH31" s="159" t="e">
        <f ca="1"/>
        <v>#NUM!</v>
      </c>
      <c r="DI31" s="160" t="e">
        <f ca="1"/>
        <v>#VALUE!</v>
      </c>
      <c r="DJ31" s="160" t="e">
        <f ca="1"/>
        <v>#NUM!</v>
      </c>
      <c r="DK31" s="160">
        <f ca="1"/>
        <v>-11.029492912286374</v>
      </c>
      <c r="DL31" s="160" t="e">
        <f ca="1"/>
        <v>#VALUE!</v>
      </c>
      <c r="DM31" s="160">
        <f ca="1"/>
        <v>-6.3767099421179783</v>
      </c>
      <c r="DN31" s="160">
        <f ca="1"/>
        <v>-4.4153436975070353</v>
      </c>
      <c r="DO31" s="160">
        <f ca="1"/>
        <v>-2.715904802433073</v>
      </c>
      <c r="DP31" s="160" t="e">
        <f ca="1"/>
        <v>#VALUE!</v>
      </c>
      <c r="DQ31" s="161">
        <f ca="1"/>
        <v>2.7564756033271465E-11</v>
      </c>
      <c r="DT31" s="65">
        <v>1E-4</v>
      </c>
      <c r="DV31" s="174">
        <v>4.45E-3</v>
      </c>
      <c r="DW31" s="176">
        <v>6.6947480327595593E-3</v>
      </c>
    </row>
    <row r="32" spans="2:133">
      <c r="B32" s="102" t="s">
        <v>2</v>
      </c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5"/>
      <c r="CL32" s="115"/>
      <c r="CM32" s="115"/>
      <c r="CN32" s="115"/>
      <c r="CO32" s="115"/>
      <c r="CP32" s="115"/>
      <c r="CQ32" s="115"/>
      <c r="CR32" s="115"/>
      <c r="CS32" s="115"/>
      <c r="CT32" s="115"/>
      <c r="CU32" s="115"/>
      <c r="CV32" s="115"/>
      <c r="CW32" s="115"/>
      <c r="CX32" s="115"/>
      <c r="CZ32" s="10" t="s">
        <v>32</v>
      </c>
      <c r="DA32" s="11"/>
      <c r="DD32" s="130" t="e">
        <f ca="1"/>
        <v>#NUM!</v>
      </c>
      <c r="DE32" s="131" t="e">
        <f ca="1"/>
        <v>#NUM!</v>
      </c>
      <c r="DG32" s="153" t="s">
        <v>11</v>
      </c>
      <c r="DH32" s="159" t="e">
        <f ca="1"/>
        <v>#VALUE!</v>
      </c>
      <c r="DI32" s="160" t="e">
        <f ca="1"/>
        <v>#NUM!</v>
      </c>
      <c r="DJ32" s="160" t="e">
        <f ca="1"/>
        <v>#NUM!</v>
      </c>
      <c r="DK32" s="160" t="e">
        <f ca="1"/>
        <v>#NUM!</v>
      </c>
      <c r="DL32" s="160">
        <f ca="1"/>
        <v>-5.2664410930542553</v>
      </c>
      <c r="DM32" s="160">
        <f ca="1"/>
        <v>-4.022640935360724</v>
      </c>
      <c r="DN32" s="160" t="e">
        <f ca="1"/>
        <v>#VALUE!</v>
      </c>
      <c r="DO32" s="160">
        <f ca="1"/>
        <v>-1.9114798502780674</v>
      </c>
      <c r="DP32" s="160" t="e">
        <f ca="1"/>
        <v>#VALUE!</v>
      </c>
      <c r="DQ32" s="161">
        <f ca="1"/>
        <v>2.6124935548210715E-11</v>
      </c>
      <c r="DT32" s="175">
        <v>0.01</v>
      </c>
      <c r="DV32" s="174">
        <v>4.45E-3</v>
      </c>
      <c r="DW32" s="176">
        <v>6.9244734917392123E-3</v>
      </c>
    </row>
    <row r="33" spans="2:127">
      <c r="B33" s="104" t="s">
        <v>66</v>
      </c>
      <c r="C33" s="111">
        <f t="shared" ref="C33:AH33" ca="1" si="6">C$11</f>
        <v>42622</v>
      </c>
      <c r="D33" s="111">
        <f t="shared" ca="1" si="6"/>
        <v>42989</v>
      </c>
      <c r="E33" s="111">
        <f t="shared" ca="1" si="6"/>
        <v>43354</v>
      </c>
      <c r="F33" s="111">
        <f t="shared" ca="1" si="6"/>
        <v>43719</v>
      </c>
      <c r="G33" s="111">
        <f t="shared" ca="1" si="6"/>
        <v>44083</v>
      </c>
      <c r="H33" s="111">
        <f t="shared" ca="1" si="6"/>
        <v>44448</v>
      </c>
      <c r="I33" s="111">
        <f t="shared" ca="1" si="6"/>
        <v>44813</v>
      </c>
      <c r="J33" s="111">
        <f t="shared" ca="1" si="6"/>
        <v>45180</v>
      </c>
      <c r="K33" s="111">
        <f t="shared" ca="1" si="6"/>
        <v>45546</v>
      </c>
      <c r="L33" s="111">
        <f t="shared" ca="1" si="6"/>
        <v>45910</v>
      </c>
      <c r="M33" s="111">
        <f t="shared" ca="1" si="6"/>
        <v>42622</v>
      </c>
      <c r="N33" s="111">
        <f t="shared" ca="1" si="6"/>
        <v>42989</v>
      </c>
      <c r="O33" s="111">
        <f t="shared" ca="1" si="6"/>
        <v>43354</v>
      </c>
      <c r="P33" s="111">
        <f t="shared" ca="1" si="6"/>
        <v>43719</v>
      </c>
      <c r="Q33" s="111">
        <f t="shared" ca="1" si="6"/>
        <v>44083</v>
      </c>
      <c r="R33" s="111">
        <f t="shared" ca="1" si="6"/>
        <v>44448</v>
      </c>
      <c r="S33" s="111">
        <f t="shared" ca="1" si="6"/>
        <v>44813</v>
      </c>
      <c r="T33" s="111">
        <f t="shared" ca="1" si="6"/>
        <v>45180</v>
      </c>
      <c r="U33" s="111">
        <f t="shared" ca="1" si="6"/>
        <v>45546</v>
      </c>
      <c r="V33" s="111">
        <f t="shared" ca="1" si="6"/>
        <v>45910</v>
      </c>
      <c r="W33" s="111">
        <f t="shared" ca="1" si="6"/>
        <v>42622</v>
      </c>
      <c r="X33" s="111">
        <f t="shared" ca="1" si="6"/>
        <v>42989</v>
      </c>
      <c r="Y33" s="111">
        <f t="shared" ca="1" si="6"/>
        <v>43354</v>
      </c>
      <c r="Z33" s="111">
        <f t="shared" ca="1" si="6"/>
        <v>43719</v>
      </c>
      <c r="AA33" s="111">
        <f t="shared" ca="1" si="6"/>
        <v>44083</v>
      </c>
      <c r="AB33" s="111">
        <f t="shared" ca="1" si="6"/>
        <v>44448</v>
      </c>
      <c r="AC33" s="111">
        <f t="shared" ca="1" si="6"/>
        <v>44813</v>
      </c>
      <c r="AD33" s="111">
        <f t="shared" ca="1" si="6"/>
        <v>45180</v>
      </c>
      <c r="AE33" s="111">
        <f t="shared" ca="1" si="6"/>
        <v>45546</v>
      </c>
      <c r="AF33" s="111">
        <f t="shared" ca="1" si="6"/>
        <v>45910</v>
      </c>
      <c r="AG33" s="111">
        <f t="shared" ca="1" si="6"/>
        <v>42622</v>
      </c>
      <c r="AH33" s="111">
        <f t="shared" ca="1" si="6"/>
        <v>42989</v>
      </c>
      <c r="AI33" s="111">
        <f t="shared" ref="AI33:BN33" ca="1" si="7">AI$11</f>
        <v>43354</v>
      </c>
      <c r="AJ33" s="111">
        <f t="shared" ca="1" si="7"/>
        <v>43719</v>
      </c>
      <c r="AK33" s="111">
        <f t="shared" ca="1" si="7"/>
        <v>44083</v>
      </c>
      <c r="AL33" s="111">
        <f t="shared" ca="1" si="7"/>
        <v>44448</v>
      </c>
      <c r="AM33" s="111">
        <f t="shared" ca="1" si="7"/>
        <v>44813</v>
      </c>
      <c r="AN33" s="111">
        <f t="shared" ca="1" si="7"/>
        <v>45180</v>
      </c>
      <c r="AO33" s="111">
        <f t="shared" ca="1" si="7"/>
        <v>45546</v>
      </c>
      <c r="AP33" s="111">
        <f t="shared" ca="1" si="7"/>
        <v>45910</v>
      </c>
      <c r="AQ33" s="111">
        <f t="shared" ca="1" si="7"/>
        <v>42622</v>
      </c>
      <c r="AR33" s="111">
        <f t="shared" ca="1" si="7"/>
        <v>42989</v>
      </c>
      <c r="AS33" s="111">
        <f t="shared" ca="1" si="7"/>
        <v>43354</v>
      </c>
      <c r="AT33" s="111">
        <f t="shared" ca="1" si="7"/>
        <v>43719</v>
      </c>
      <c r="AU33" s="111">
        <f t="shared" ca="1" si="7"/>
        <v>44083</v>
      </c>
      <c r="AV33" s="111">
        <f t="shared" ca="1" si="7"/>
        <v>44448</v>
      </c>
      <c r="AW33" s="111">
        <f t="shared" ca="1" si="7"/>
        <v>44813</v>
      </c>
      <c r="AX33" s="111">
        <f t="shared" ca="1" si="7"/>
        <v>45180</v>
      </c>
      <c r="AY33" s="111">
        <f t="shared" ca="1" si="7"/>
        <v>45546</v>
      </c>
      <c r="AZ33" s="111">
        <f t="shared" ca="1" si="7"/>
        <v>45910</v>
      </c>
      <c r="BA33" s="111">
        <f t="shared" ca="1" si="7"/>
        <v>42622</v>
      </c>
      <c r="BB33" s="111">
        <f t="shared" ca="1" si="7"/>
        <v>42989</v>
      </c>
      <c r="BC33" s="111">
        <f t="shared" ca="1" si="7"/>
        <v>43354</v>
      </c>
      <c r="BD33" s="111">
        <f t="shared" ca="1" si="7"/>
        <v>43719</v>
      </c>
      <c r="BE33" s="111">
        <f t="shared" ca="1" si="7"/>
        <v>44083</v>
      </c>
      <c r="BF33" s="111">
        <f t="shared" ca="1" si="7"/>
        <v>44448</v>
      </c>
      <c r="BG33" s="111">
        <f t="shared" ca="1" si="7"/>
        <v>44813</v>
      </c>
      <c r="BH33" s="111">
        <f t="shared" ca="1" si="7"/>
        <v>45180</v>
      </c>
      <c r="BI33" s="111">
        <f t="shared" ca="1" si="7"/>
        <v>45546</v>
      </c>
      <c r="BJ33" s="111">
        <f t="shared" ca="1" si="7"/>
        <v>45910</v>
      </c>
      <c r="BK33" s="111">
        <f t="shared" ca="1" si="7"/>
        <v>42622</v>
      </c>
      <c r="BL33" s="111">
        <f t="shared" ca="1" si="7"/>
        <v>42989</v>
      </c>
      <c r="BM33" s="111">
        <f t="shared" ca="1" si="7"/>
        <v>43354</v>
      </c>
      <c r="BN33" s="111">
        <f t="shared" ca="1" si="7"/>
        <v>43719</v>
      </c>
      <c r="BO33" s="111">
        <f t="shared" ref="BO33:CX33" ca="1" si="8">BO$11</f>
        <v>44083</v>
      </c>
      <c r="BP33" s="111">
        <f t="shared" ca="1" si="8"/>
        <v>44448</v>
      </c>
      <c r="BQ33" s="111">
        <f t="shared" ca="1" si="8"/>
        <v>44813</v>
      </c>
      <c r="BR33" s="111">
        <f t="shared" ca="1" si="8"/>
        <v>45180</v>
      </c>
      <c r="BS33" s="111">
        <f t="shared" ca="1" si="8"/>
        <v>45546</v>
      </c>
      <c r="BT33" s="111">
        <f t="shared" ca="1" si="8"/>
        <v>45910</v>
      </c>
      <c r="BU33" s="111">
        <f t="shared" ca="1" si="8"/>
        <v>42622</v>
      </c>
      <c r="BV33" s="111">
        <f t="shared" ca="1" si="8"/>
        <v>42989</v>
      </c>
      <c r="BW33" s="111">
        <f t="shared" ca="1" si="8"/>
        <v>43354</v>
      </c>
      <c r="BX33" s="111">
        <f t="shared" ca="1" si="8"/>
        <v>43719</v>
      </c>
      <c r="BY33" s="111">
        <f t="shared" ca="1" si="8"/>
        <v>44083</v>
      </c>
      <c r="BZ33" s="111">
        <f t="shared" ca="1" si="8"/>
        <v>44448</v>
      </c>
      <c r="CA33" s="111">
        <f t="shared" ca="1" si="8"/>
        <v>44813</v>
      </c>
      <c r="CB33" s="111">
        <f t="shared" ca="1" si="8"/>
        <v>45180</v>
      </c>
      <c r="CC33" s="111">
        <f t="shared" ca="1" si="8"/>
        <v>45546</v>
      </c>
      <c r="CD33" s="111">
        <f t="shared" ca="1" si="8"/>
        <v>45910</v>
      </c>
      <c r="CE33" s="111">
        <f t="shared" ca="1" si="8"/>
        <v>42622</v>
      </c>
      <c r="CF33" s="111">
        <f t="shared" ca="1" si="8"/>
        <v>42989</v>
      </c>
      <c r="CG33" s="111">
        <f t="shared" ca="1" si="8"/>
        <v>43354</v>
      </c>
      <c r="CH33" s="111">
        <f t="shared" ca="1" si="8"/>
        <v>43719</v>
      </c>
      <c r="CI33" s="111">
        <f t="shared" ca="1" si="8"/>
        <v>44083</v>
      </c>
      <c r="CJ33" s="111">
        <f t="shared" ca="1" si="8"/>
        <v>44448</v>
      </c>
      <c r="CK33" s="111">
        <f t="shared" ca="1" si="8"/>
        <v>44813</v>
      </c>
      <c r="CL33" s="111">
        <f t="shared" ca="1" si="8"/>
        <v>45180</v>
      </c>
      <c r="CM33" s="111">
        <f t="shared" ca="1" si="8"/>
        <v>45546</v>
      </c>
      <c r="CN33" s="111">
        <f t="shared" ca="1" si="8"/>
        <v>45910</v>
      </c>
      <c r="CO33" s="111">
        <f t="shared" ca="1" si="8"/>
        <v>42622</v>
      </c>
      <c r="CP33" s="111">
        <f t="shared" ca="1" si="8"/>
        <v>42989</v>
      </c>
      <c r="CQ33" s="111">
        <f t="shared" ca="1" si="8"/>
        <v>43354</v>
      </c>
      <c r="CR33" s="111">
        <f t="shared" ca="1" si="8"/>
        <v>43719</v>
      </c>
      <c r="CS33" s="111">
        <f t="shared" ca="1" si="8"/>
        <v>44083</v>
      </c>
      <c r="CT33" s="111">
        <f t="shared" ca="1" si="8"/>
        <v>44448</v>
      </c>
      <c r="CU33" s="111">
        <f t="shared" ca="1" si="8"/>
        <v>44813</v>
      </c>
      <c r="CV33" s="111">
        <f t="shared" ca="1" si="8"/>
        <v>45180</v>
      </c>
      <c r="CW33" s="111">
        <f t="shared" ca="1" si="8"/>
        <v>45546</v>
      </c>
      <c r="CX33" s="111">
        <f t="shared" ca="1" si="8"/>
        <v>45910</v>
      </c>
      <c r="CZ33" s="14" t="s">
        <v>34</v>
      </c>
      <c r="DA33" s="15"/>
      <c r="DD33" s="130" t="e">
        <f ca="1"/>
        <v>#NUM!</v>
      </c>
      <c r="DE33" s="131" t="e">
        <f ca="1"/>
        <v>#NUM!</v>
      </c>
      <c r="DG33" s="153" t="s">
        <v>12</v>
      </c>
      <c r="DH33" s="159">
        <f ca="1"/>
        <v>-10.501986973220998</v>
      </c>
      <c r="DI33" s="160">
        <f ca="1"/>
        <v>-8.2394130756053592</v>
      </c>
      <c r="DJ33" s="160" t="e">
        <f ca="1"/>
        <v>#VALUE!</v>
      </c>
      <c r="DK33" s="160">
        <f ca="1"/>
        <v>-5.302619341676432</v>
      </c>
      <c r="DL33" s="160" t="e">
        <f ca="1"/>
        <v>#VALUE!</v>
      </c>
      <c r="DM33" s="160">
        <f ca="1"/>
        <v>-2.9445247266492345</v>
      </c>
      <c r="DN33" s="160">
        <f ca="1"/>
        <v>-2.0593896671203606</v>
      </c>
      <c r="DO33" s="160" t="e">
        <f ca="1"/>
        <v>#VALUE!</v>
      </c>
      <c r="DP33" s="160">
        <f ca="1"/>
        <v>-0.71783614771192894</v>
      </c>
      <c r="DQ33" s="161">
        <f ca="1"/>
        <v>3.6116942769837124E-11</v>
      </c>
      <c r="DT33" s="175">
        <v>0.02</v>
      </c>
      <c r="DV33" s="174">
        <v>4.45E-3</v>
      </c>
      <c r="DW33" s="176">
        <v>7.1599456062766799E-3</v>
      </c>
    </row>
    <row r="34" spans="2:127">
      <c r="B34" s="104" t="s">
        <v>67</v>
      </c>
      <c r="C34" s="111">
        <f t="shared" ref="C34:AH34" ca="1" si="9">C$12</f>
        <v>42989</v>
      </c>
      <c r="D34" s="111">
        <f t="shared" ca="1" si="9"/>
        <v>43354</v>
      </c>
      <c r="E34" s="111">
        <f t="shared" ca="1" si="9"/>
        <v>43719</v>
      </c>
      <c r="F34" s="111">
        <f t="shared" ca="1" si="9"/>
        <v>44085</v>
      </c>
      <c r="G34" s="111">
        <f t="shared" ca="1" si="9"/>
        <v>44448</v>
      </c>
      <c r="H34" s="111">
        <f t="shared" ca="1" si="9"/>
        <v>44813</v>
      </c>
      <c r="I34" s="111">
        <f t="shared" ca="1" si="9"/>
        <v>45180</v>
      </c>
      <c r="J34" s="111">
        <f t="shared" ca="1" si="9"/>
        <v>45546</v>
      </c>
      <c r="K34" s="111">
        <f t="shared" ca="1" si="9"/>
        <v>45911</v>
      </c>
      <c r="L34" s="111">
        <f t="shared" ca="1" si="9"/>
        <v>46275</v>
      </c>
      <c r="M34" s="111">
        <f t="shared" ca="1" si="9"/>
        <v>43353</v>
      </c>
      <c r="N34" s="111">
        <f t="shared" ca="1" si="9"/>
        <v>43719</v>
      </c>
      <c r="O34" s="111">
        <f t="shared" ca="1" si="9"/>
        <v>44085</v>
      </c>
      <c r="P34" s="111">
        <f t="shared" ca="1" si="9"/>
        <v>44452</v>
      </c>
      <c r="Q34" s="111">
        <f t="shared" ca="1" si="9"/>
        <v>44813</v>
      </c>
      <c r="R34" s="111">
        <f t="shared" ca="1" si="9"/>
        <v>45180</v>
      </c>
      <c r="S34" s="111">
        <f t="shared" ca="1" si="9"/>
        <v>45544</v>
      </c>
      <c r="T34" s="111">
        <f t="shared" ca="1" si="9"/>
        <v>45911</v>
      </c>
      <c r="U34" s="111">
        <f t="shared" ca="1" si="9"/>
        <v>46276</v>
      </c>
      <c r="V34" s="111">
        <f t="shared" ca="1" si="9"/>
        <v>46640</v>
      </c>
      <c r="W34" s="111">
        <f t="shared" ca="1" si="9"/>
        <v>43717</v>
      </c>
      <c r="X34" s="111">
        <f t="shared" ca="1" si="9"/>
        <v>44085</v>
      </c>
      <c r="Y34" s="111">
        <f t="shared" ca="1" si="9"/>
        <v>44452</v>
      </c>
      <c r="Z34" s="111">
        <f t="shared" ca="1" si="9"/>
        <v>44816</v>
      </c>
      <c r="AA34" s="111">
        <f t="shared" ca="1" si="9"/>
        <v>45180</v>
      </c>
      <c r="AB34" s="111">
        <f t="shared" ca="1" si="9"/>
        <v>45544</v>
      </c>
      <c r="AC34" s="111">
        <f t="shared" ca="1" si="9"/>
        <v>45909</v>
      </c>
      <c r="AD34" s="111">
        <f t="shared" ca="1" si="9"/>
        <v>46276</v>
      </c>
      <c r="AE34" s="111">
        <f t="shared" ca="1" si="9"/>
        <v>46643</v>
      </c>
      <c r="AF34" s="111">
        <f t="shared" ca="1" si="9"/>
        <v>47007</v>
      </c>
      <c r="AG34" s="111">
        <f t="shared" ca="1" si="9"/>
        <v>44083</v>
      </c>
      <c r="AH34" s="111">
        <f t="shared" ca="1" si="9"/>
        <v>44452</v>
      </c>
      <c r="AI34" s="111">
        <f t="shared" ref="AI34:BN34" ca="1" si="10">AI$12</f>
        <v>44816</v>
      </c>
      <c r="AJ34" s="111">
        <f t="shared" ca="1" si="10"/>
        <v>45180</v>
      </c>
      <c r="AK34" s="111">
        <f t="shared" ca="1" si="10"/>
        <v>45544</v>
      </c>
      <c r="AL34" s="111">
        <f t="shared" ca="1" si="10"/>
        <v>45909</v>
      </c>
      <c r="AM34" s="111">
        <f t="shared" ca="1" si="10"/>
        <v>46274</v>
      </c>
      <c r="AN34" s="111">
        <f t="shared" ca="1" si="10"/>
        <v>46643</v>
      </c>
      <c r="AO34" s="111">
        <f t="shared" ca="1" si="10"/>
        <v>47007</v>
      </c>
      <c r="AP34" s="111">
        <f t="shared" ca="1" si="10"/>
        <v>47371</v>
      </c>
      <c r="AQ34" s="111">
        <f t="shared" ca="1" si="10"/>
        <v>44448</v>
      </c>
      <c r="AR34" s="111">
        <f t="shared" ca="1" si="10"/>
        <v>44816</v>
      </c>
      <c r="AS34" s="111">
        <f t="shared" ca="1" si="10"/>
        <v>45180</v>
      </c>
      <c r="AT34" s="111">
        <f t="shared" ca="1" si="10"/>
        <v>45546</v>
      </c>
      <c r="AU34" s="111">
        <f t="shared" ca="1" si="10"/>
        <v>45909</v>
      </c>
      <c r="AV34" s="111">
        <f t="shared" ca="1" si="10"/>
        <v>46274</v>
      </c>
      <c r="AW34" s="111">
        <f t="shared" ca="1" si="10"/>
        <v>46639</v>
      </c>
      <c r="AX34" s="111">
        <f t="shared" ca="1" si="10"/>
        <v>47007</v>
      </c>
      <c r="AY34" s="111">
        <f t="shared" ca="1" si="10"/>
        <v>47372</v>
      </c>
      <c r="AZ34" s="111">
        <f t="shared" ca="1" si="10"/>
        <v>47736</v>
      </c>
      <c r="BA34" s="111">
        <f t="shared" ca="1" si="10"/>
        <v>44813</v>
      </c>
      <c r="BB34" s="111">
        <f t="shared" ca="1" si="10"/>
        <v>45180</v>
      </c>
      <c r="BC34" s="111">
        <f t="shared" ca="1" si="10"/>
        <v>45546</v>
      </c>
      <c r="BD34" s="111">
        <f t="shared" ca="1" si="10"/>
        <v>45911</v>
      </c>
      <c r="BE34" s="111">
        <f t="shared" ca="1" si="10"/>
        <v>46274</v>
      </c>
      <c r="BF34" s="111">
        <f t="shared" ca="1" si="10"/>
        <v>46639</v>
      </c>
      <c r="BG34" s="111">
        <f t="shared" ca="1" si="10"/>
        <v>47007</v>
      </c>
      <c r="BH34" s="111">
        <f t="shared" ca="1" si="10"/>
        <v>47372</v>
      </c>
      <c r="BI34" s="111">
        <f t="shared" ca="1" si="10"/>
        <v>47737</v>
      </c>
      <c r="BJ34" s="111">
        <f t="shared" ca="1" si="10"/>
        <v>48101</v>
      </c>
      <c r="BK34" s="111">
        <f t="shared" ca="1" si="10"/>
        <v>45180</v>
      </c>
      <c r="BL34" s="111">
        <f t="shared" ca="1" si="10"/>
        <v>45546</v>
      </c>
      <c r="BM34" s="111">
        <f t="shared" ca="1" si="10"/>
        <v>45911</v>
      </c>
      <c r="BN34" s="111">
        <f t="shared" ca="1" si="10"/>
        <v>46276</v>
      </c>
      <c r="BO34" s="111">
        <f t="shared" ref="BO34:CX34" ca="1" si="11">BO$12</f>
        <v>46639</v>
      </c>
      <c r="BP34" s="111">
        <f t="shared" ca="1" si="11"/>
        <v>47007</v>
      </c>
      <c r="BQ34" s="111">
        <f t="shared" ca="1" si="11"/>
        <v>47371</v>
      </c>
      <c r="BR34" s="111">
        <f t="shared" ca="1" si="11"/>
        <v>47737</v>
      </c>
      <c r="BS34" s="111">
        <f t="shared" ca="1" si="11"/>
        <v>48102</v>
      </c>
      <c r="BT34" s="111">
        <f t="shared" ca="1" si="11"/>
        <v>48467</v>
      </c>
      <c r="BU34" s="111">
        <f t="shared" ca="1" si="11"/>
        <v>45544</v>
      </c>
      <c r="BV34" s="111">
        <f t="shared" ca="1" si="11"/>
        <v>45911</v>
      </c>
      <c r="BW34" s="111">
        <f t="shared" ca="1" si="11"/>
        <v>46276</v>
      </c>
      <c r="BX34" s="111">
        <f t="shared" ca="1" si="11"/>
        <v>46643</v>
      </c>
      <c r="BY34" s="111">
        <f t="shared" ca="1" si="11"/>
        <v>47007</v>
      </c>
      <c r="BZ34" s="111">
        <f t="shared" ca="1" si="11"/>
        <v>47371</v>
      </c>
      <c r="CA34" s="111">
        <f t="shared" ca="1" si="11"/>
        <v>47735</v>
      </c>
      <c r="CB34" s="111">
        <f t="shared" ca="1" si="11"/>
        <v>48102</v>
      </c>
      <c r="CC34" s="111">
        <f t="shared" ca="1" si="11"/>
        <v>48470</v>
      </c>
      <c r="CD34" s="111">
        <f t="shared" ca="1" si="11"/>
        <v>48834</v>
      </c>
      <c r="CE34" s="111">
        <f t="shared" ca="1" si="11"/>
        <v>45909</v>
      </c>
      <c r="CF34" s="111">
        <f t="shared" ca="1" si="11"/>
        <v>46276</v>
      </c>
      <c r="CG34" s="111">
        <f t="shared" ca="1" si="11"/>
        <v>46643</v>
      </c>
      <c r="CH34" s="111">
        <f t="shared" ca="1" si="11"/>
        <v>47007</v>
      </c>
      <c r="CI34" s="111">
        <f t="shared" ca="1" si="11"/>
        <v>47371</v>
      </c>
      <c r="CJ34" s="111">
        <f t="shared" ca="1" si="11"/>
        <v>47735</v>
      </c>
      <c r="CK34" s="111">
        <f t="shared" ca="1" si="11"/>
        <v>48100</v>
      </c>
      <c r="CL34" s="111">
        <f t="shared" ca="1" si="11"/>
        <v>48470</v>
      </c>
      <c r="CM34" s="111">
        <f t="shared" ca="1" si="11"/>
        <v>48834</v>
      </c>
      <c r="CN34" s="111">
        <f t="shared" ca="1" si="11"/>
        <v>49198</v>
      </c>
      <c r="CO34" s="111">
        <f t="shared" ca="1" si="11"/>
        <v>46274</v>
      </c>
      <c r="CP34" s="111">
        <f t="shared" ca="1" si="11"/>
        <v>46643</v>
      </c>
      <c r="CQ34" s="111">
        <f t="shared" ca="1" si="11"/>
        <v>47007</v>
      </c>
      <c r="CR34" s="111">
        <f t="shared" ca="1" si="11"/>
        <v>47372</v>
      </c>
      <c r="CS34" s="111">
        <f t="shared" ca="1" si="11"/>
        <v>47735</v>
      </c>
      <c r="CT34" s="111">
        <f t="shared" ca="1" si="11"/>
        <v>48100</v>
      </c>
      <c r="CU34" s="111">
        <f t="shared" ca="1" si="11"/>
        <v>48466</v>
      </c>
      <c r="CV34" s="111">
        <f t="shared" ca="1" si="11"/>
        <v>48834</v>
      </c>
      <c r="CW34" s="111">
        <f t="shared" ca="1" si="11"/>
        <v>49198</v>
      </c>
      <c r="CX34" s="111">
        <f t="shared" ca="1" si="11"/>
        <v>49562</v>
      </c>
      <c r="DD34" s="130" t="e">
        <f ca="1"/>
        <v>#NUM!</v>
      </c>
      <c r="DE34" s="131" t="e">
        <f ca="1"/>
        <v>#NUM!</v>
      </c>
      <c r="DG34" s="153" t="s">
        <v>13</v>
      </c>
      <c r="DH34" s="159" t="e">
        <f ca="1"/>
        <v>#VALUE!</v>
      </c>
      <c r="DI34" s="160">
        <f ca="1"/>
        <v>-6.157771304616082</v>
      </c>
      <c r="DJ34" s="160">
        <f ca="1"/>
        <v>-4.7465375620679708</v>
      </c>
      <c r="DK34" s="160" t="e">
        <f ca="1"/>
        <v>#VALUE!</v>
      </c>
      <c r="DL34" s="160">
        <f ca="1"/>
        <v>-2.5668315460222053</v>
      </c>
      <c r="DM34" s="160" t="e">
        <f ca="1"/>
        <v>#NUM!</v>
      </c>
      <c r="DN34" s="160">
        <f ca="1"/>
        <v>-1.2781772009897232</v>
      </c>
      <c r="DO34" s="160">
        <f ca="1"/>
        <v>-0.76378097698566461</v>
      </c>
      <c r="DP34" s="160">
        <f ca="1"/>
        <v>-0.34282863142521058</v>
      </c>
      <c r="DQ34" s="161">
        <f ca="1"/>
        <v>3.7470027081099033E-12</v>
      </c>
      <c r="DT34" s="175">
        <v>0.03</v>
      </c>
      <c r="DV34" s="174">
        <v>4.45E-3</v>
      </c>
      <c r="DW34" s="176">
        <v>7.3986812224092289E-3</v>
      </c>
    </row>
    <row r="35" spans="2:127">
      <c r="B35" s="104" t="s">
        <v>6</v>
      </c>
      <c r="C35" s="116" t="s">
        <v>19</v>
      </c>
      <c r="D35" s="116" t="s">
        <v>19</v>
      </c>
      <c r="E35" s="116" t="s">
        <v>19</v>
      </c>
      <c r="F35" s="116" t="s">
        <v>19</v>
      </c>
      <c r="G35" s="116" t="s">
        <v>19</v>
      </c>
      <c r="H35" s="116" t="s">
        <v>19</v>
      </c>
      <c r="I35" s="116" t="s">
        <v>19</v>
      </c>
      <c r="J35" s="116" t="s">
        <v>19</v>
      </c>
      <c r="K35" s="116" t="s">
        <v>19</v>
      </c>
      <c r="L35" s="116" t="s">
        <v>19</v>
      </c>
      <c r="M35" s="116" t="s">
        <v>19</v>
      </c>
      <c r="N35" s="116" t="s">
        <v>19</v>
      </c>
      <c r="O35" s="116" t="s">
        <v>19</v>
      </c>
      <c r="P35" s="116" t="s">
        <v>19</v>
      </c>
      <c r="Q35" s="116" t="s">
        <v>19</v>
      </c>
      <c r="R35" s="116" t="s">
        <v>19</v>
      </c>
      <c r="S35" s="116" t="s">
        <v>19</v>
      </c>
      <c r="T35" s="116" t="s">
        <v>19</v>
      </c>
      <c r="U35" s="116" t="s">
        <v>19</v>
      </c>
      <c r="V35" s="116" t="s">
        <v>19</v>
      </c>
      <c r="W35" s="116" t="s">
        <v>19</v>
      </c>
      <c r="X35" s="116" t="s">
        <v>19</v>
      </c>
      <c r="Y35" s="116" t="s">
        <v>19</v>
      </c>
      <c r="Z35" s="116" t="s">
        <v>19</v>
      </c>
      <c r="AA35" s="116" t="s">
        <v>19</v>
      </c>
      <c r="AB35" s="116" t="s">
        <v>19</v>
      </c>
      <c r="AC35" s="116" t="s">
        <v>19</v>
      </c>
      <c r="AD35" s="116" t="s">
        <v>19</v>
      </c>
      <c r="AE35" s="116" t="s">
        <v>19</v>
      </c>
      <c r="AF35" s="116" t="s">
        <v>19</v>
      </c>
      <c r="AG35" s="116" t="s">
        <v>19</v>
      </c>
      <c r="AH35" s="116" t="s">
        <v>19</v>
      </c>
      <c r="AI35" s="116" t="s">
        <v>19</v>
      </c>
      <c r="AJ35" s="116" t="s">
        <v>19</v>
      </c>
      <c r="AK35" s="116" t="s">
        <v>19</v>
      </c>
      <c r="AL35" s="116" t="s">
        <v>19</v>
      </c>
      <c r="AM35" s="116" t="s">
        <v>19</v>
      </c>
      <c r="AN35" s="116" t="s">
        <v>19</v>
      </c>
      <c r="AO35" s="116" t="s">
        <v>19</v>
      </c>
      <c r="AP35" s="116" t="s">
        <v>19</v>
      </c>
      <c r="AQ35" s="116" t="s">
        <v>19</v>
      </c>
      <c r="AR35" s="116" t="s">
        <v>19</v>
      </c>
      <c r="AS35" s="116" t="s">
        <v>19</v>
      </c>
      <c r="AT35" s="116" t="s">
        <v>19</v>
      </c>
      <c r="AU35" s="116" t="s">
        <v>19</v>
      </c>
      <c r="AV35" s="116" t="s">
        <v>19</v>
      </c>
      <c r="AW35" s="116" t="s">
        <v>19</v>
      </c>
      <c r="AX35" s="116" t="s">
        <v>19</v>
      </c>
      <c r="AY35" s="116" t="s">
        <v>19</v>
      </c>
      <c r="AZ35" s="116" t="s">
        <v>19</v>
      </c>
      <c r="BA35" s="116" t="s">
        <v>19</v>
      </c>
      <c r="BB35" s="116" t="s">
        <v>19</v>
      </c>
      <c r="BC35" s="116" t="s">
        <v>19</v>
      </c>
      <c r="BD35" s="116" t="s">
        <v>19</v>
      </c>
      <c r="BE35" s="116" t="s">
        <v>19</v>
      </c>
      <c r="BF35" s="116" t="s">
        <v>19</v>
      </c>
      <c r="BG35" s="116" t="s">
        <v>19</v>
      </c>
      <c r="BH35" s="116" t="s">
        <v>19</v>
      </c>
      <c r="BI35" s="116" t="s">
        <v>19</v>
      </c>
      <c r="BJ35" s="116" t="s">
        <v>19</v>
      </c>
      <c r="BK35" s="116" t="s">
        <v>19</v>
      </c>
      <c r="BL35" s="116" t="s">
        <v>19</v>
      </c>
      <c r="BM35" s="116" t="s">
        <v>19</v>
      </c>
      <c r="BN35" s="116" t="s">
        <v>19</v>
      </c>
      <c r="BO35" s="116" t="s">
        <v>19</v>
      </c>
      <c r="BP35" s="116" t="s">
        <v>19</v>
      </c>
      <c r="BQ35" s="116" t="s">
        <v>19</v>
      </c>
      <c r="BR35" s="116" t="s">
        <v>19</v>
      </c>
      <c r="BS35" s="116" t="s">
        <v>19</v>
      </c>
      <c r="BT35" s="116" t="s">
        <v>19</v>
      </c>
      <c r="BU35" s="116" t="s">
        <v>19</v>
      </c>
      <c r="BV35" s="116" t="s">
        <v>19</v>
      </c>
      <c r="BW35" s="116" t="s">
        <v>19</v>
      </c>
      <c r="BX35" s="116" t="s">
        <v>19</v>
      </c>
      <c r="BY35" s="116" t="s">
        <v>19</v>
      </c>
      <c r="BZ35" s="116" t="s">
        <v>19</v>
      </c>
      <c r="CA35" s="116" t="s">
        <v>19</v>
      </c>
      <c r="CB35" s="116" t="s">
        <v>19</v>
      </c>
      <c r="CC35" s="116" t="s">
        <v>19</v>
      </c>
      <c r="CD35" s="116" t="s">
        <v>19</v>
      </c>
      <c r="CE35" s="116" t="s">
        <v>19</v>
      </c>
      <c r="CF35" s="116" t="s">
        <v>19</v>
      </c>
      <c r="CG35" s="116" t="s">
        <v>19</v>
      </c>
      <c r="CH35" s="116" t="s">
        <v>19</v>
      </c>
      <c r="CI35" s="116" t="s">
        <v>19</v>
      </c>
      <c r="CJ35" s="116" t="s">
        <v>19</v>
      </c>
      <c r="CK35" s="116" t="s">
        <v>19</v>
      </c>
      <c r="CL35" s="116" t="s">
        <v>19</v>
      </c>
      <c r="CM35" s="116" t="s">
        <v>19</v>
      </c>
      <c r="CN35" s="116" t="s">
        <v>19</v>
      </c>
      <c r="CO35" s="116" t="s">
        <v>19</v>
      </c>
      <c r="CP35" s="116" t="s">
        <v>19</v>
      </c>
      <c r="CQ35" s="116" t="s">
        <v>19</v>
      </c>
      <c r="CR35" s="116" t="s">
        <v>19</v>
      </c>
      <c r="CS35" s="116" t="s">
        <v>19</v>
      </c>
      <c r="CT35" s="116" t="s">
        <v>19</v>
      </c>
      <c r="CU35" s="116" t="s">
        <v>19</v>
      </c>
      <c r="CV35" s="116" t="s">
        <v>19</v>
      </c>
      <c r="CW35" s="116" t="s">
        <v>19</v>
      </c>
      <c r="CX35" s="116" t="s">
        <v>19</v>
      </c>
      <c r="DD35" s="130" t="e">
        <f ca="1"/>
        <v>#NUM!</v>
      </c>
      <c r="DE35" s="131" t="e">
        <f ca="1"/>
        <v>#NUM!</v>
      </c>
      <c r="DG35" s="153" t="s">
        <v>14</v>
      </c>
      <c r="DH35" s="159" t="e">
        <f ca="1"/>
        <v>#VALUE!</v>
      </c>
      <c r="DI35" s="160">
        <f ca="1"/>
        <v>-4.877634429400687</v>
      </c>
      <c r="DJ35" s="160" t="e">
        <f ca="1"/>
        <v>#VALUE!</v>
      </c>
      <c r="DK35" s="160" t="e">
        <f ca="1"/>
        <v>#VALUE!</v>
      </c>
      <c r="DL35" s="160" t="e">
        <f ca="1"/>
        <v>#VALUE!</v>
      </c>
      <c r="DM35" s="160" t="e">
        <f ca="1"/>
        <v>#VALUE!</v>
      </c>
      <c r="DN35" s="160" t="e">
        <f ca="1"/>
        <v>#VALUE!</v>
      </c>
      <c r="DO35" s="160">
        <f ca="1"/>
        <v>-0.49338431764208923</v>
      </c>
      <c r="DP35" s="160" t="e">
        <f ca="1"/>
        <v>#VALUE!</v>
      </c>
      <c r="DQ35" s="161">
        <f ca="1"/>
        <v>8.6279941524658454E-10</v>
      </c>
      <c r="DT35" s="175">
        <v>0.04</v>
      </c>
      <c r="DV35" s="174">
        <v>4.45E-3</v>
      </c>
      <c r="DW35" s="176">
        <v>7.6404924806931264E-3</v>
      </c>
    </row>
    <row r="36" spans="2:127">
      <c r="B36" s="104" t="s">
        <v>3</v>
      </c>
      <c r="C36" s="116" t="s">
        <v>20</v>
      </c>
      <c r="D36" s="116" t="s">
        <v>20</v>
      </c>
      <c r="E36" s="116" t="s">
        <v>20</v>
      </c>
      <c r="F36" s="116" t="s">
        <v>20</v>
      </c>
      <c r="G36" s="116" t="s">
        <v>20</v>
      </c>
      <c r="H36" s="116" t="s">
        <v>20</v>
      </c>
      <c r="I36" s="116" t="s">
        <v>20</v>
      </c>
      <c r="J36" s="116" t="s">
        <v>20</v>
      </c>
      <c r="K36" s="116" t="s">
        <v>20</v>
      </c>
      <c r="L36" s="116" t="s">
        <v>20</v>
      </c>
      <c r="M36" s="116" t="s">
        <v>20</v>
      </c>
      <c r="N36" s="116" t="s">
        <v>20</v>
      </c>
      <c r="O36" s="116" t="s">
        <v>20</v>
      </c>
      <c r="P36" s="116" t="s">
        <v>20</v>
      </c>
      <c r="Q36" s="116" t="s">
        <v>20</v>
      </c>
      <c r="R36" s="116" t="s">
        <v>20</v>
      </c>
      <c r="S36" s="116" t="s">
        <v>20</v>
      </c>
      <c r="T36" s="116" t="s">
        <v>20</v>
      </c>
      <c r="U36" s="116" t="s">
        <v>20</v>
      </c>
      <c r="V36" s="116" t="s">
        <v>20</v>
      </c>
      <c r="W36" s="116" t="s">
        <v>20</v>
      </c>
      <c r="X36" s="116" t="s">
        <v>20</v>
      </c>
      <c r="Y36" s="116" t="s">
        <v>20</v>
      </c>
      <c r="Z36" s="116" t="s">
        <v>20</v>
      </c>
      <c r="AA36" s="116" t="s">
        <v>20</v>
      </c>
      <c r="AB36" s="116" t="s">
        <v>20</v>
      </c>
      <c r="AC36" s="116" t="s">
        <v>20</v>
      </c>
      <c r="AD36" s="116" t="s">
        <v>20</v>
      </c>
      <c r="AE36" s="116" t="s">
        <v>20</v>
      </c>
      <c r="AF36" s="116" t="s">
        <v>20</v>
      </c>
      <c r="AG36" s="116" t="s">
        <v>20</v>
      </c>
      <c r="AH36" s="116" t="s">
        <v>20</v>
      </c>
      <c r="AI36" s="116" t="s">
        <v>20</v>
      </c>
      <c r="AJ36" s="116" t="s">
        <v>20</v>
      </c>
      <c r="AK36" s="116" t="s">
        <v>20</v>
      </c>
      <c r="AL36" s="116" t="s">
        <v>20</v>
      </c>
      <c r="AM36" s="116" t="s">
        <v>20</v>
      </c>
      <c r="AN36" s="116" t="s">
        <v>20</v>
      </c>
      <c r="AO36" s="116" t="s">
        <v>20</v>
      </c>
      <c r="AP36" s="116" t="s">
        <v>20</v>
      </c>
      <c r="AQ36" s="116" t="s">
        <v>20</v>
      </c>
      <c r="AR36" s="116" t="s">
        <v>20</v>
      </c>
      <c r="AS36" s="116" t="s">
        <v>20</v>
      </c>
      <c r="AT36" s="116" t="s">
        <v>20</v>
      </c>
      <c r="AU36" s="116" t="s">
        <v>20</v>
      </c>
      <c r="AV36" s="116" t="s">
        <v>20</v>
      </c>
      <c r="AW36" s="116" t="s">
        <v>20</v>
      </c>
      <c r="AX36" s="116" t="s">
        <v>20</v>
      </c>
      <c r="AY36" s="116" t="s">
        <v>20</v>
      </c>
      <c r="AZ36" s="116" t="s">
        <v>20</v>
      </c>
      <c r="BA36" s="116" t="s">
        <v>20</v>
      </c>
      <c r="BB36" s="116" t="s">
        <v>20</v>
      </c>
      <c r="BC36" s="116" t="s">
        <v>20</v>
      </c>
      <c r="BD36" s="116" t="s">
        <v>20</v>
      </c>
      <c r="BE36" s="116" t="s">
        <v>20</v>
      </c>
      <c r="BF36" s="116" t="s">
        <v>20</v>
      </c>
      <c r="BG36" s="116" t="s">
        <v>20</v>
      </c>
      <c r="BH36" s="116" t="s">
        <v>20</v>
      </c>
      <c r="BI36" s="116" t="s">
        <v>20</v>
      </c>
      <c r="BJ36" s="116" t="s">
        <v>20</v>
      </c>
      <c r="BK36" s="116" t="s">
        <v>20</v>
      </c>
      <c r="BL36" s="116" t="s">
        <v>20</v>
      </c>
      <c r="BM36" s="116" t="s">
        <v>20</v>
      </c>
      <c r="BN36" s="116" t="s">
        <v>20</v>
      </c>
      <c r="BO36" s="116" t="s">
        <v>20</v>
      </c>
      <c r="BP36" s="116" t="s">
        <v>20</v>
      </c>
      <c r="BQ36" s="116" t="s">
        <v>20</v>
      </c>
      <c r="BR36" s="116" t="s">
        <v>20</v>
      </c>
      <c r="BS36" s="116" t="s">
        <v>20</v>
      </c>
      <c r="BT36" s="116" t="s">
        <v>20</v>
      </c>
      <c r="BU36" s="116" t="s">
        <v>20</v>
      </c>
      <c r="BV36" s="116" t="s">
        <v>20</v>
      </c>
      <c r="BW36" s="116" t="s">
        <v>20</v>
      </c>
      <c r="BX36" s="116" t="s">
        <v>20</v>
      </c>
      <c r="BY36" s="116" t="s">
        <v>20</v>
      </c>
      <c r="BZ36" s="116" t="s">
        <v>20</v>
      </c>
      <c r="CA36" s="116" t="s">
        <v>20</v>
      </c>
      <c r="CB36" s="116" t="s">
        <v>20</v>
      </c>
      <c r="CC36" s="116" t="s">
        <v>20</v>
      </c>
      <c r="CD36" s="116" t="s">
        <v>20</v>
      </c>
      <c r="CE36" s="116" t="s">
        <v>20</v>
      </c>
      <c r="CF36" s="116" t="s">
        <v>20</v>
      </c>
      <c r="CG36" s="116" t="s">
        <v>20</v>
      </c>
      <c r="CH36" s="116" t="s">
        <v>20</v>
      </c>
      <c r="CI36" s="116" t="s">
        <v>20</v>
      </c>
      <c r="CJ36" s="116" t="s">
        <v>20</v>
      </c>
      <c r="CK36" s="116" t="s">
        <v>20</v>
      </c>
      <c r="CL36" s="116" t="s">
        <v>20</v>
      </c>
      <c r="CM36" s="116" t="s">
        <v>20</v>
      </c>
      <c r="CN36" s="116" t="s">
        <v>20</v>
      </c>
      <c r="CO36" s="116" t="s">
        <v>20</v>
      </c>
      <c r="CP36" s="116" t="s">
        <v>20</v>
      </c>
      <c r="CQ36" s="116" t="s">
        <v>20</v>
      </c>
      <c r="CR36" s="116" t="s">
        <v>20</v>
      </c>
      <c r="CS36" s="116" t="s">
        <v>20</v>
      </c>
      <c r="CT36" s="116" t="s">
        <v>20</v>
      </c>
      <c r="CU36" s="116" t="s">
        <v>20</v>
      </c>
      <c r="CV36" s="116" t="s">
        <v>20</v>
      </c>
      <c r="CW36" s="116" t="s">
        <v>20</v>
      </c>
      <c r="CX36" s="116" t="s">
        <v>20</v>
      </c>
      <c r="DD36" s="130" t="e">
        <f ca="1"/>
        <v>#NUM!</v>
      </c>
      <c r="DE36" s="131" t="e">
        <f ca="1"/>
        <v>#NUM!</v>
      </c>
      <c r="DG36" s="153" t="s">
        <v>15</v>
      </c>
      <c r="DH36" s="159">
        <f ca="1"/>
        <v>-5.0163699427169073</v>
      </c>
      <c r="DI36" s="160">
        <f ca="1"/>
        <v>-3.1144739695912818</v>
      </c>
      <c r="DJ36" s="160" t="e">
        <f ca="1"/>
        <v>#VALUE!</v>
      </c>
      <c r="DK36" s="160" t="e">
        <f ca="1"/>
        <v>#VALUE!</v>
      </c>
      <c r="DL36" s="160">
        <f ca="1"/>
        <v>-1.0535977374658347</v>
      </c>
      <c r="DM36" s="160" t="e">
        <f ca="1"/>
        <v>#NUM!</v>
      </c>
      <c r="DN36" s="160" t="e">
        <f ca="1"/>
        <v>#NUM!</v>
      </c>
      <c r="DO36" s="160">
        <f ca="1"/>
        <v>-0.20894491290793238</v>
      </c>
      <c r="DP36" s="160">
        <f ca="1"/>
        <v>-0.10329372239331266</v>
      </c>
      <c r="DQ36" s="161">
        <f ca="1"/>
        <v>2.6889948601116487E-10</v>
      </c>
      <c r="DT36" s="175">
        <v>0.05</v>
      </c>
      <c r="DV36" s="174">
        <v>4.45E-3</v>
      </c>
      <c r="DW36" s="176">
        <v>7.885184896024227E-3</v>
      </c>
    </row>
    <row r="37" spans="2:127">
      <c r="B37" s="104" t="s">
        <v>4</v>
      </c>
      <c r="C37" s="116" t="s">
        <v>21</v>
      </c>
      <c r="D37" s="116" t="s">
        <v>21</v>
      </c>
      <c r="E37" s="116" t="s">
        <v>21</v>
      </c>
      <c r="F37" s="116" t="s">
        <v>21</v>
      </c>
      <c r="G37" s="116" t="s">
        <v>21</v>
      </c>
      <c r="H37" s="116" t="s">
        <v>21</v>
      </c>
      <c r="I37" s="116" t="s">
        <v>21</v>
      </c>
      <c r="J37" s="116" t="s">
        <v>21</v>
      </c>
      <c r="K37" s="116" t="s">
        <v>21</v>
      </c>
      <c r="L37" s="116" t="s">
        <v>21</v>
      </c>
      <c r="M37" s="116" t="s">
        <v>21</v>
      </c>
      <c r="N37" s="116" t="s">
        <v>21</v>
      </c>
      <c r="O37" s="116" t="s">
        <v>21</v>
      </c>
      <c r="P37" s="116" t="s">
        <v>21</v>
      </c>
      <c r="Q37" s="116" t="s">
        <v>21</v>
      </c>
      <c r="R37" s="116" t="s">
        <v>21</v>
      </c>
      <c r="S37" s="116" t="s">
        <v>21</v>
      </c>
      <c r="T37" s="116" t="s">
        <v>21</v>
      </c>
      <c r="U37" s="116" t="s">
        <v>21</v>
      </c>
      <c r="V37" s="116" t="s">
        <v>21</v>
      </c>
      <c r="W37" s="116" t="s">
        <v>21</v>
      </c>
      <c r="X37" s="116" t="s">
        <v>21</v>
      </c>
      <c r="Y37" s="116" t="s">
        <v>21</v>
      </c>
      <c r="Z37" s="116" t="s">
        <v>21</v>
      </c>
      <c r="AA37" s="116" t="s">
        <v>21</v>
      </c>
      <c r="AB37" s="116" t="s">
        <v>21</v>
      </c>
      <c r="AC37" s="116" t="s">
        <v>21</v>
      </c>
      <c r="AD37" s="116" t="s">
        <v>21</v>
      </c>
      <c r="AE37" s="116" t="s">
        <v>21</v>
      </c>
      <c r="AF37" s="116" t="s">
        <v>21</v>
      </c>
      <c r="AG37" s="116" t="s">
        <v>21</v>
      </c>
      <c r="AH37" s="116" t="s">
        <v>21</v>
      </c>
      <c r="AI37" s="116" t="s">
        <v>21</v>
      </c>
      <c r="AJ37" s="116" t="s">
        <v>21</v>
      </c>
      <c r="AK37" s="116" t="s">
        <v>21</v>
      </c>
      <c r="AL37" s="116" t="s">
        <v>21</v>
      </c>
      <c r="AM37" s="116" t="s">
        <v>21</v>
      </c>
      <c r="AN37" s="116" t="s">
        <v>21</v>
      </c>
      <c r="AO37" s="116" t="s">
        <v>21</v>
      </c>
      <c r="AP37" s="116" t="s">
        <v>21</v>
      </c>
      <c r="AQ37" s="116" t="s">
        <v>21</v>
      </c>
      <c r="AR37" s="116" t="s">
        <v>21</v>
      </c>
      <c r="AS37" s="116" t="s">
        <v>21</v>
      </c>
      <c r="AT37" s="116" t="s">
        <v>21</v>
      </c>
      <c r="AU37" s="116" t="s">
        <v>21</v>
      </c>
      <c r="AV37" s="116" t="s">
        <v>21</v>
      </c>
      <c r="AW37" s="116" t="s">
        <v>21</v>
      </c>
      <c r="AX37" s="116" t="s">
        <v>21</v>
      </c>
      <c r="AY37" s="116" t="s">
        <v>21</v>
      </c>
      <c r="AZ37" s="116" t="s">
        <v>21</v>
      </c>
      <c r="BA37" s="116" t="s">
        <v>21</v>
      </c>
      <c r="BB37" s="116" t="s">
        <v>21</v>
      </c>
      <c r="BC37" s="116" t="s">
        <v>21</v>
      </c>
      <c r="BD37" s="116" t="s">
        <v>21</v>
      </c>
      <c r="BE37" s="116" t="s">
        <v>21</v>
      </c>
      <c r="BF37" s="116" t="s">
        <v>21</v>
      </c>
      <c r="BG37" s="116" t="s">
        <v>21</v>
      </c>
      <c r="BH37" s="116" t="s">
        <v>21</v>
      </c>
      <c r="BI37" s="116" t="s">
        <v>21</v>
      </c>
      <c r="BJ37" s="116" t="s">
        <v>21</v>
      </c>
      <c r="BK37" s="116" t="s">
        <v>21</v>
      </c>
      <c r="BL37" s="116" t="s">
        <v>21</v>
      </c>
      <c r="BM37" s="116" t="s">
        <v>21</v>
      </c>
      <c r="BN37" s="116" t="s">
        <v>21</v>
      </c>
      <c r="BO37" s="116" t="s">
        <v>21</v>
      </c>
      <c r="BP37" s="116" t="s">
        <v>21</v>
      </c>
      <c r="BQ37" s="116" t="s">
        <v>21</v>
      </c>
      <c r="BR37" s="116" t="s">
        <v>21</v>
      </c>
      <c r="BS37" s="116" t="s">
        <v>21</v>
      </c>
      <c r="BT37" s="116" t="s">
        <v>21</v>
      </c>
      <c r="BU37" s="116" t="s">
        <v>21</v>
      </c>
      <c r="BV37" s="116" t="s">
        <v>21</v>
      </c>
      <c r="BW37" s="116" t="s">
        <v>21</v>
      </c>
      <c r="BX37" s="116" t="s">
        <v>21</v>
      </c>
      <c r="BY37" s="116" t="s">
        <v>21</v>
      </c>
      <c r="BZ37" s="116" t="s">
        <v>21</v>
      </c>
      <c r="CA37" s="116" t="s">
        <v>21</v>
      </c>
      <c r="CB37" s="116" t="s">
        <v>21</v>
      </c>
      <c r="CC37" s="116" t="s">
        <v>21</v>
      </c>
      <c r="CD37" s="116" t="s">
        <v>21</v>
      </c>
      <c r="CE37" s="116" t="s">
        <v>21</v>
      </c>
      <c r="CF37" s="116" t="s">
        <v>21</v>
      </c>
      <c r="CG37" s="116" t="s">
        <v>21</v>
      </c>
      <c r="CH37" s="116" t="s">
        <v>21</v>
      </c>
      <c r="CI37" s="116" t="s">
        <v>21</v>
      </c>
      <c r="CJ37" s="116" t="s">
        <v>21</v>
      </c>
      <c r="CK37" s="116" t="s">
        <v>21</v>
      </c>
      <c r="CL37" s="116" t="s">
        <v>21</v>
      </c>
      <c r="CM37" s="116" t="s">
        <v>21</v>
      </c>
      <c r="CN37" s="116" t="s">
        <v>21</v>
      </c>
      <c r="CO37" s="116" t="s">
        <v>21</v>
      </c>
      <c r="CP37" s="116" t="s">
        <v>21</v>
      </c>
      <c r="CQ37" s="116" t="s">
        <v>21</v>
      </c>
      <c r="CR37" s="116" t="s">
        <v>21</v>
      </c>
      <c r="CS37" s="116" t="s">
        <v>21</v>
      </c>
      <c r="CT37" s="116" t="s">
        <v>21</v>
      </c>
      <c r="CU37" s="116" t="s">
        <v>21</v>
      </c>
      <c r="CV37" s="116" t="s">
        <v>21</v>
      </c>
      <c r="CW37" s="116" t="s">
        <v>21</v>
      </c>
      <c r="CX37" s="116" t="s">
        <v>21</v>
      </c>
      <c r="CZ37" s="165" t="s">
        <v>280</v>
      </c>
      <c r="DA37" s="165" t="s">
        <v>97</v>
      </c>
      <c r="DD37" s="130" t="e">
        <f ca="1"/>
        <v>#NUM!</v>
      </c>
      <c r="DE37" s="131" t="e">
        <f ca="1"/>
        <v>#NUM!</v>
      </c>
      <c r="DG37" s="154" t="s">
        <v>16</v>
      </c>
      <c r="DH37" s="162">
        <f ca="1"/>
        <v>-3.3618930674007319</v>
      </c>
      <c r="DI37" s="163" t="e">
        <f ca="1"/>
        <v>#VALUE!</v>
      </c>
      <c r="DJ37" s="163">
        <f ca="1"/>
        <v>-0.69961481555363625</v>
      </c>
      <c r="DK37" s="163">
        <f ca="1"/>
        <v>-0.34612313242103965</v>
      </c>
      <c r="DL37" s="163">
        <f ca="1"/>
        <v>-0.30855487559310402</v>
      </c>
      <c r="DM37" s="163" t="e">
        <f ca="1"/>
        <v>#VALUE!</v>
      </c>
      <c r="DN37" s="163">
        <f ca="1"/>
        <v>0.14529808211417167</v>
      </c>
      <c r="DO37" s="163">
        <f ca="1"/>
        <v>7.2007727368542801E-2</v>
      </c>
      <c r="DP37" s="163">
        <f ca="1"/>
        <v>-58.067051035610127</v>
      </c>
      <c r="DQ37" s="164">
        <f ca="1"/>
        <v>3.0551949858903527E-10</v>
      </c>
      <c r="DT37" s="175">
        <v>0.06</v>
      </c>
      <c r="DV37" s="174">
        <v>4.45E-3</v>
      </c>
      <c r="DW37" s="176">
        <v>8.1325581409048709E-3</v>
      </c>
    </row>
    <row r="38" spans="2:127">
      <c r="B38" s="104" t="s">
        <v>68</v>
      </c>
      <c r="C38" s="116" t="s">
        <v>21</v>
      </c>
      <c r="D38" s="116" t="s">
        <v>21</v>
      </c>
      <c r="E38" s="116" t="s">
        <v>21</v>
      </c>
      <c r="F38" s="116" t="s">
        <v>21</v>
      </c>
      <c r="G38" s="116" t="s">
        <v>21</v>
      </c>
      <c r="H38" s="116" t="s">
        <v>21</v>
      </c>
      <c r="I38" s="116" t="s">
        <v>21</v>
      </c>
      <c r="J38" s="116" t="s">
        <v>21</v>
      </c>
      <c r="K38" s="116" t="s">
        <v>21</v>
      </c>
      <c r="L38" s="116" t="s">
        <v>21</v>
      </c>
      <c r="M38" s="116" t="s">
        <v>21</v>
      </c>
      <c r="N38" s="116" t="s">
        <v>21</v>
      </c>
      <c r="O38" s="116" t="s">
        <v>21</v>
      </c>
      <c r="P38" s="116" t="s">
        <v>21</v>
      </c>
      <c r="Q38" s="116" t="s">
        <v>21</v>
      </c>
      <c r="R38" s="116" t="s">
        <v>21</v>
      </c>
      <c r="S38" s="116" t="s">
        <v>21</v>
      </c>
      <c r="T38" s="116" t="s">
        <v>21</v>
      </c>
      <c r="U38" s="116" t="s">
        <v>21</v>
      </c>
      <c r="V38" s="116" t="s">
        <v>21</v>
      </c>
      <c r="W38" s="116" t="s">
        <v>21</v>
      </c>
      <c r="X38" s="116" t="s">
        <v>21</v>
      </c>
      <c r="Y38" s="116" t="s">
        <v>21</v>
      </c>
      <c r="Z38" s="116" t="s">
        <v>21</v>
      </c>
      <c r="AA38" s="116" t="s">
        <v>21</v>
      </c>
      <c r="AB38" s="116" t="s">
        <v>21</v>
      </c>
      <c r="AC38" s="116" t="s">
        <v>21</v>
      </c>
      <c r="AD38" s="116" t="s">
        <v>21</v>
      </c>
      <c r="AE38" s="116" t="s">
        <v>21</v>
      </c>
      <c r="AF38" s="116" t="s">
        <v>21</v>
      </c>
      <c r="AG38" s="116" t="s">
        <v>21</v>
      </c>
      <c r="AH38" s="116" t="s">
        <v>21</v>
      </c>
      <c r="AI38" s="116" t="s">
        <v>21</v>
      </c>
      <c r="AJ38" s="116" t="s">
        <v>21</v>
      </c>
      <c r="AK38" s="116" t="s">
        <v>21</v>
      </c>
      <c r="AL38" s="116" t="s">
        <v>21</v>
      </c>
      <c r="AM38" s="116" t="s">
        <v>21</v>
      </c>
      <c r="AN38" s="116" t="s">
        <v>21</v>
      </c>
      <c r="AO38" s="116" t="s">
        <v>21</v>
      </c>
      <c r="AP38" s="116" t="s">
        <v>21</v>
      </c>
      <c r="AQ38" s="116" t="s">
        <v>21</v>
      </c>
      <c r="AR38" s="116" t="s">
        <v>21</v>
      </c>
      <c r="AS38" s="116" t="s">
        <v>21</v>
      </c>
      <c r="AT38" s="116" t="s">
        <v>21</v>
      </c>
      <c r="AU38" s="116" t="s">
        <v>21</v>
      </c>
      <c r="AV38" s="116" t="s">
        <v>21</v>
      </c>
      <c r="AW38" s="116" t="s">
        <v>21</v>
      </c>
      <c r="AX38" s="116" t="s">
        <v>21</v>
      </c>
      <c r="AY38" s="116" t="s">
        <v>21</v>
      </c>
      <c r="AZ38" s="116" t="s">
        <v>21</v>
      </c>
      <c r="BA38" s="116" t="s">
        <v>21</v>
      </c>
      <c r="BB38" s="116" t="s">
        <v>21</v>
      </c>
      <c r="BC38" s="116" t="s">
        <v>21</v>
      </c>
      <c r="BD38" s="116" t="s">
        <v>21</v>
      </c>
      <c r="BE38" s="116" t="s">
        <v>21</v>
      </c>
      <c r="BF38" s="116" t="s">
        <v>21</v>
      </c>
      <c r="BG38" s="116" t="s">
        <v>21</v>
      </c>
      <c r="BH38" s="116" t="s">
        <v>21</v>
      </c>
      <c r="BI38" s="116" t="s">
        <v>21</v>
      </c>
      <c r="BJ38" s="116" t="s">
        <v>21</v>
      </c>
      <c r="BK38" s="116" t="s">
        <v>21</v>
      </c>
      <c r="BL38" s="116" t="s">
        <v>21</v>
      </c>
      <c r="BM38" s="116" t="s">
        <v>21</v>
      </c>
      <c r="BN38" s="116" t="s">
        <v>21</v>
      </c>
      <c r="BO38" s="116" t="s">
        <v>21</v>
      </c>
      <c r="BP38" s="116" t="s">
        <v>21</v>
      </c>
      <c r="BQ38" s="116" t="s">
        <v>21</v>
      </c>
      <c r="BR38" s="116" t="s">
        <v>21</v>
      </c>
      <c r="BS38" s="116" t="s">
        <v>21</v>
      </c>
      <c r="BT38" s="116" t="s">
        <v>21</v>
      </c>
      <c r="BU38" s="116" t="s">
        <v>21</v>
      </c>
      <c r="BV38" s="116" t="s">
        <v>21</v>
      </c>
      <c r="BW38" s="116" t="s">
        <v>21</v>
      </c>
      <c r="BX38" s="116" t="s">
        <v>21</v>
      </c>
      <c r="BY38" s="116" t="s">
        <v>21</v>
      </c>
      <c r="BZ38" s="116" t="s">
        <v>21</v>
      </c>
      <c r="CA38" s="116" t="s">
        <v>21</v>
      </c>
      <c r="CB38" s="116" t="s">
        <v>21</v>
      </c>
      <c r="CC38" s="116" t="s">
        <v>21</v>
      </c>
      <c r="CD38" s="116" t="s">
        <v>21</v>
      </c>
      <c r="CE38" s="116" t="s">
        <v>21</v>
      </c>
      <c r="CF38" s="116" t="s">
        <v>21</v>
      </c>
      <c r="CG38" s="116" t="s">
        <v>21</v>
      </c>
      <c r="CH38" s="116" t="s">
        <v>21</v>
      </c>
      <c r="CI38" s="116" t="s">
        <v>21</v>
      </c>
      <c r="CJ38" s="116" t="s">
        <v>21</v>
      </c>
      <c r="CK38" s="116" t="s">
        <v>21</v>
      </c>
      <c r="CL38" s="116" t="s">
        <v>21</v>
      </c>
      <c r="CM38" s="116" t="s">
        <v>21</v>
      </c>
      <c r="CN38" s="116" t="s">
        <v>21</v>
      </c>
      <c r="CO38" s="116" t="s">
        <v>21</v>
      </c>
      <c r="CP38" s="116" t="s">
        <v>21</v>
      </c>
      <c r="CQ38" s="116" t="s">
        <v>21</v>
      </c>
      <c r="CR38" s="116" t="s">
        <v>21</v>
      </c>
      <c r="CS38" s="116" t="s">
        <v>21</v>
      </c>
      <c r="CT38" s="116" t="s">
        <v>21</v>
      </c>
      <c r="CU38" s="116" t="s">
        <v>21</v>
      </c>
      <c r="CV38" s="116" t="s">
        <v>21</v>
      </c>
      <c r="CW38" s="116" t="s">
        <v>21</v>
      </c>
      <c r="CX38" s="116" t="s">
        <v>21</v>
      </c>
      <c r="CZ38" s="166" t="s">
        <v>261</v>
      </c>
      <c r="DA38" s="170" t="str">
        <f t="array" aca="1" ref="DA38">INDEX($C$74:$CX$74,1,MATCH(CZ38,$C$7:$CX$7&amp;"x"&amp;$C$8:$CX$8,0))</f>
        <v>obj_00aef#0000</v>
      </c>
      <c r="DD38" s="132" t="e">
        <f ca="1"/>
        <v>#NUM!</v>
      </c>
      <c r="DE38" s="133" t="e">
        <f ca="1"/>
        <v>#NUM!</v>
      </c>
      <c r="DT38" s="175">
        <v>7.0000000000000007E-2</v>
      </c>
      <c r="DV38" s="174">
        <v>4.45E-3</v>
      </c>
      <c r="DW38" s="176">
        <v>8.3824068488996626E-3</v>
      </c>
    </row>
    <row r="39" spans="2:127">
      <c r="B39" s="104" t="s">
        <v>69</v>
      </c>
      <c r="C39" s="116" t="s">
        <v>70</v>
      </c>
      <c r="D39" s="116" t="s">
        <v>70</v>
      </c>
      <c r="E39" s="116" t="s">
        <v>70</v>
      </c>
      <c r="F39" s="116" t="s">
        <v>70</v>
      </c>
      <c r="G39" s="116" t="s">
        <v>70</v>
      </c>
      <c r="H39" s="116" t="s">
        <v>70</v>
      </c>
      <c r="I39" s="116" t="s">
        <v>70</v>
      </c>
      <c r="J39" s="116" t="s">
        <v>70</v>
      </c>
      <c r="K39" s="116" t="s">
        <v>70</v>
      </c>
      <c r="L39" s="116" t="s">
        <v>70</v>
      </c>
      <c r="M39" s="116" t="s">
        <v>70</v>
      </c>
      <c r="N39" s="116" t="s">
        <v>70</v>
      </c>
      <c r="O39" s="116" t="s">
        <v>70</v>
      </c>
      <c r="P39" s="116" t="s">
        <v>70</v>
      </c>
      <c r="Q39" s="116" t="s">
        <v>70</v>
      </c>
      <c r="R39" s="116" t="s">
        <v>70</v>
      </c>
      <c r="S39" s="116" t="s">
        <v>70</v>
      </c>
      <c r="T39" s="116" t="s">
        <v>70</v>
      </c>
      <c r="U39" s="116" t="s">
        <v>70</v>
      </c>
      <c r="V39" s="116" t="s">
        <v>70</v>
      </c>
      <c r="W39" s="116" t="s">
        <v>70</v>
      </c>
      <c r="X39" s="116" t="s">
        <v>70</v>
      </c>
      <c r="Y39" s="116" t="s">
        <v>70</v>
      </c>
      <c r="Z39" s="116" t="s">
        <v>70</v>
      </c>
      <c r="AA39" s="116" t="s">
        <v>70</v>
      </c>
      <c r="AB39" s="116" t="s">
        <v>70</v>
      </c>
      <c r="AC39" s="116" t="s">
        <v>70</v>
      </c>
      <c r="AD39" s="116" t="s">
        <v>70</v>
      </c>
      <c r="AE39" s="116" t="s">
        <v>70</v>
      </c>
      <c r="AF39" s="116" t="s">
        <v>70</v>
      </c>
      <c r="AG39" s="116" t="s">
        <v>70</v>
      </c>
      <c r="AH39" s="116" t="s">
        <v>70</v>
      </c>
      <c r="AI39" s="116" t="s">
        <v>70</v>
      </c>
      <c r="AJ39" s="116" t="s">
        <v>70</v>
      </c>
      <c r="AK39" s="116" t="s">
        <v>70</v>
      </c>
      <c r="AL39" s="116" t="s">
        <v>70</v>
      </c>
      <c r="AM39" s="116" t="s">
        <v>70</v>
      </c>
      <c r="AN39" s="116" t="s">
        <v>70</v>
      </c>
      <c r="AO39" s="116" t="s">
        <v>70</v>
      </c>
      <c r="AP39" s="116" t="s">
        <v>70</v>
      </c>
      <c r="AQ39" s="116" t="s">
        <v>70</v>
      </c>
      <c r="AR39" s="116" t="s">
        <v>70</v>
      </c>
      <c r="AS39" s="116" t="s">
        <v>70</v>
      </c>
      <c r="AT39" s="116" t="s">
        <v>70</v>
      </c>
      <c r="AU39" s="116" t="s">
        <v>70</v>
      </c>
      <c r="AV39" s="116" t="s">
        <v>70</v>
      </c>
      <c r="AW39" s="116" t="s">
        <v>70</v>
      </c>
      <c r="AX39" s="116" t="s">
        <v>70</v>
      </c>
      <c r="AY39" s="116" t="s">
        <v>70</v>
      </c>
      <c r="AZ39" s="116" t="s">
        <v>70</v>
      </c>
      <c r="BA39" s="116" t="s">
        <v>70</v>
      </c>
      <c r="BB39" s="116" t="s">
        <v>70</v>
      </c>
      <c r="BC39" s="116" t="s">
        <v>70</v>
      </c>
      <c r="BD39" s="116" t="s">
        <v>70</v>
      </c>
      <c r="BE39" s="116" t="s">
        <v>70</v>
      </c>
      <c r="BF39" s="116" t="s">
        <v>70</v>
      </c>
      <c r="BG39" s="116" t="s">
        <v>70</v>
      </c>
      <c r="BH39" s="116" t="s">
        <v>70</v>
      </c>
      <c r="BI39" s="116" t="s">
        <v>70</v>
      </c>
      <c r="BJ39" s="116" t="s">
        <v>70</v>
      </c>
      <c r="BK39" s="116" t="s">
        <v>70</v>
      </c>
      <c r="BL39" s="116" t="s">
        <v>70</v>
      </c>
      <c r="BM39" s="116" t="s">
        <v>70</v>
      </c>
      <c r="BN39" s="116" t="s">
        <v>70</v>
      </c>
      <c r="BO39" s="116" t="s">
        <v>70</v>
      </c>
      <c r="BP39" s="116" t="s">
        <v>70</v>
      </c>
      <c r="BQ39" s="116" t="s">
        <v>70</v>
      </c>
      <c r="BR39" s="116" t="s">
        <v>70</v>
      </c>
      <c r="BS39" s="116" t="s">
        <v>70</v>
      </c>
      <c r="BT39" s="116" t="s">
        <v>70</v>
      </c>
      <c r="BU39" s="116" t="s">
        <v>70</v>
      </c>
      <c r="BV39" s="116" t="s">
        <v>70</v>
      </c>
      <c r="BW39" s="116" t="s">
        <v>70</v>
      </c>
      <c r="BX39" s="116" t="s">
        <v>70</v>
      </c>
      <c r="BY39" s="116" t="s">
        <v>70</v>
      </c>
      <c r="BZ39" s="116" t="s">
        <v>70</v>
      </c>
      <c r="CA39" s="116" t="s">
        <v>70</v>
      </c>
      <c r="CB39" s="116" t="s">
        <v>70</v>
      </c>
      <c r="CC39" s="116" t="s">
        <v>70</v>
      </c>
      <c r="CD39" s="116" t="s">
        <v>70</v>
      </c>
      <c r="CE39" s="116" t="s">
        <v>70</v>
      </c>
      <c r="CF39" s="116" t="s">
        <v>70</v>
      </c>
      <c r="CG39" s="116" t="s">
        <v>70</v>
      </c>
      <c r="CH39" s="116" t="s">
        <v>70</v>
      </c>
      <c r="CI39" s="116" t="s">
        <v>70</v>
      </c>
      <c r="CJ39" s="116" t="s">
        <v>70</v>
      </c>
      <c r="CK39" s="116" t="s">
        <v>70</v>
      </c>
      <c r="CL39" s="116" t="s">
        <v>70</v>
      </c>
      <c r="CM39" s="116" t="s">
        <v>70</v>
      </c>
      <c r="CN39" s="116" t="s">
        <v>70</v>
      </c>
      <c r="CO39" s="116" t="s">
        <v>70</v>
      </c>
      <c r="CP39" s="116" t="s">
        <v>70</v>
      </c>
      <c r="CQ39" s="116" t="s">
        <v>70</v>
      </c>
      <c r="CR39" s="116" t="s">
        <v>70</v>
      </c>
      <c r="CS39" s="116" t="s">
        <v>70</v>
      </c>
      <c r="CT39" s="116" t="s">
        <v>70</v>
      </c>
      <c r="CU39" s="116" t="s">
        <v>70</v>
      </c>
      <c r="CV39" s="116" t="s">
        <v>70</v>
      </c>
      <c r="CW39" s="116" t="s">
        <v>70</v>
      </c>
      <c r="CX39" s="116" t="s">
        <v>70</v>
      </c>
      <c r="CZ39" s="167" t="s">
        <v>316</v>
      </c>
      <c r="DA39" s="171" t="str">
        <f t="array" aca="1" ref="DA39">INDEX($C$74:$CX$74,1,MATCH(CZ39,$C$7:$CX$7&amp;"x"&amp;$C$8:$CX$8,0))</f>
        <v>obj_00b11#0000</v>
      </c>
      <c r="DT39" s="175">
        <v>0.08</v>
      </c>
      <c r="DV39" s="174">
        <v>4.45E-3</v>
      </c>
      <c r="DW39" s="176">
        <v>8.6345214397108398E-3</v>
      </c>
    </row>
    <row r="40" spans="2:127">
      <c r="B40" s="104" t="s">
        <v>71</v>
      </c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Z40" s="167" t="s">
        <v>317</v>
      </c>
      <c r="DA40" s="171" t="e">
        <f t="array" aca="1" ref="DA40">INDEX($C$74:$CX$74,1,MATCH(CZ40,$C$7:$CX$7&amp;"x"&amp;$C$8:$CX$8,0))</f>
        <v>#NUM!</v>
      </c>
      <c r="DT40" s="175">
        <v>0.09</v>
      </c>
      <c r="DV40" s="174">
        <v>4.45E-3</v>
      </c>
      <c r="DW40" s="176">
        <v>8.888688956478737E-3</v>
      </c>
    </row>
    <row r="41" spans="2:127">
      <c r="B41" s="104" t="s">
        <v>72</v>
      </c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  <c r="BX41" s="124"/>
      <c r="BY41" s="124"/>
      <c r="BZ41" s="124"/>
      <c r="CA41" s="124"/>
      <c r="CB41" s="124"/>
      <c r="CC41" s="124"/>
      <c r="CD41" s="124"/>
      <c r="CE41" s="124"/>
      <c r="CF41" s="124"/>
      <c r="CG41" s="124"/>
      <c r="CH41" s="124"/>
      <c r="CI41" s="124"/>
      <c r="CJ41" s="124"/>
      <c r="CK41" s="124"/>
      <c r="CL41" s="124"/>
      <c r="CM41" s="124"/>
      <c r="CN41" s="124"/>
      <c r="CO41" s="124"/>
      <c r="CP41" s="124"/>
      <c r="CQ41" s="124"/>
      <c r="CR41" s="124"/>
      <c r="CS41" s="124"/>
      <c r="CT41" s="124"/>
      <c r="CU41" s="124"/>
      <c r="CV41" s="124"/>
      <c r="CW41" s="124"/>
      <c r="CX41" s="124"/>
      <c r="CZ41" s="167" t="s">
        <v>318</v>
      </c>
      <c r="DA41" s="171" t="str">
        <f t="array" aca="1" ref="DA41">INDEX($C$74:$CX$74,1,MATCH(CZ41,$C$7:$CX$7&amp;"x"&amp;$C$8:$CX$8,0))</f>
        <v>obj_00ab4#0000</v>
      </c>
      <c r="DT41" s="175">
        <v>0.1</v>
      </c>
      <c r="DV41" s="174">
        <v>4.45E-3</v>
      </c>
      <c r="DW41" s="176">
        <v>9.1446939082015181E-3</v>
      </c>
    </row>
    <row r="42" spans="2:127">
      <c r="B42" s="104" t="s">
        <v>73</v>
      </c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24"/>
      <c r="BY42" s="124"/>
      <c r="BZ42" s="124"/>
      <c r="CA42" s="124"/>
      <c r="CB42" s="124"/>
      <c r="CC42" s="124"/>
      <c r="CD42" s="124"/>
      <c r="CE42" s="124"/>
      <c r="CF42" s="124"/>
      <c r="CG42" s="124"/>
      <c r="CH42" s="124"/>
      <c r="CI42" s="124"/>
      <c r="CJ42" s="124"/>
      <c r="CK42" s="124"/>
      <c r="CL42" s="124"/>
      <c r="CM42" s="124"/>
      <c r="CN42" s="124"/>
      <c r="CO42" s="124"/>
      <c r="CP42" s="124"/>
      <c r="CQ42" s="124"/>
      <c r="CR42" s="124"/>
      <c r="CS42" s="124"/>
      <c r="CT42" s="124"/>
      <c r="CU42" s="124"/>
      <c r="CV42" s="124"/>
      <c r="CW42" s="124"/>
      <c r="CX42" s="124"/>
      <c r="CZ42" s="167" t="s">
        <v>319</v>
      </c>
      <c r="DA42" s="171" t="str">
        <f t="array" aca="1" ref="DA42">INDEX($C$74:$CX$74,1,MATCH(CZ42,$C$7:$CX$7&amp;"x"&amp;$C$8:$CX$8,0))</f>
        <v>obj_00abe#0000</v>
      </c>
    </row>
    <row r="43" spans="2:127">
      <c r="B43" s="104" t="s">
        <v>30</v>
      </c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Z43" s="167" t="s">
        <v>320</v>
      </c>
      <c r="DA43" s="171" t="str">
        <f t="array" aca="1" ref="DA43">INDEX($C$74:$CX$74,1,MATCH(CZ43,$C$7:$CX$7&amp;"x"&amp;$C$8:$CX$8,0))</f>
        <v>obj_00aee#0000</v>
      </c>
    </row>
    <row r="44" spans="2:127" ht="13.5" thickBot="1">
      <c r="B44" s="107" t="s">
        <v>32</v>
      </c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7"/>
      <c r="AB44" s="127"/>
      <c r="AC44" s="127"/>
      <c r="AD44" s="127"/>
      <c r="AE44" s="127"/>
      <c r="AF44" s="127"/>
      <c r="AG44" s="127"/>
      <c r="AH44" s="127"/>
      <c r="AI44" s="127"/>
      <c r="AJ44" s="127"/>
      <c r="AK44" s="127"/>
      <c r="AL44" s="127"/>
      <c r="AM44" s="127"/>
      <c r="AN44" s="127"/>
      <c r="AO44" s="127"/>
      <c r="AP44" s="127"/>
      <c r="AQ44" s="127"/>
      <c r="AR44" s="127"/>
      <c r="AS44" s="127"/>
      <c r="AT44" s="127"/>
      <c r="AU44" s="127"/>
      <c r="AV44" s="127"/>
      <c r="AW44" s="127"/>
      <c r="AX44" s="127"/>
      <c r="AY44" s="127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  <c r="CG44" s="127"/>
      <c r="CH44" s="127"/>
      <c r="CI44" s="127"/>
      <c r="CJ44" s="127"/>
      <c r="CK44" s="127"/>
      <c r="CL44" s="127"/>
      <c r="CM44" s="127"/>
      <c r="CN44" s="127"/>
      <c r="CO44" s="127"/>
      <c r="CP44" s="127"/>
      <c r="CQ44" s="127"/>
      <c r="CR44" s="127"/>
      <c r="CS44" s="127"/>
      <c r="CT44" s="127"/>
      <c r="CU44" s="127"/>
      <c r="CV44" s="127"/>
      <c r="CW44" s="127"/>
      <c r="CX44" s="127"/>
      <c r="CZ44" s="167" t="s">
        <v>321</v>
      </c>
      <c r="DA44" s="171" t="str">
        <f t="array" aca="1" ref="DA44">INDEX($C$74:$CX$74,1,MATCH(CZ44,$C$7:$CX$7&amp;"x"&amp;$C$8:$CX$8,0))</f>
        <v>obj_00b13#0000</v>
      </c>
    </row>
    <row r="45" spans="2:127">
      <c r="CZ45" s="167" t="s">
        <v>322</v>
      </c>
      <c r="DA45" s="171" t="str">
        <f t="array" aca="1" ref="DA45">INDEX($C$74:$CX$74,1,MATCH(CZ45,$C$7:$CX$7&amp;"x"&amp;$C$8:$CX$8,0))</f>
        <v>obj_00acf#0000</v>
      </c>
      <c r="DT45" s="47" t="s">
        <v>61</v>
      </c>
      <c r="DU45" s="47" t="s">
        <v>289</v>
      </c>
      <c r="DV45" s="47" t="s">
        <v>290</v>
      </c>
    </row>
    <row r="46" spans="2:127">
      <c r="B46" s="48" t="s">
        <v>74</v>
      </c>
      <c r="CZ46" s="167" t="s">
        <v>323</v>
      </c>
      <c r="DA46" s="171" t="str">
        <f t="array" aca="1" ref="DA46">INDEX($C$74:$CX$74,1,MATCH(CZ46,$C$7:$CX$7&amp;"x"&amp;$C$8:$CX$8,0))</f>
        <v>obj_00ae6#0000</v>
      </c>
      <c r="DT46" s="177">
        <v>0</v>
      </c>
      <c r="DU46" s="65">
        <v>7.1470633746922247E-3</v>
      </c>
      <c r="DV46" s="65">
        <v>8.7937194993142152E-3</v>
      </c>
    </row>
    <row r="47" spans="2:127" ht="13.5" thickBot="1">
      <c r="CZ47" s="169" t="s">
        <v>302</v>
      </c>
      <c r="DA47" s="172" t="str">
        <f t="array" aca="1" ref="DA47">INDEX($C$74:$CX$74,1,MATCH(CZ47,$C$7:$CX$7&amp;"x"&amp;$C$8:$CX$8,0))</f>
        <v>obj_00ab5#0000</v>
      </c>
      <c r="DT47" s="177">
        <v>1.0054794520547945</v>
      </c>
      <c r="DU47" s="65">
        <v>7.1470633746922247E-3</v>
      </c>
      <c r="DV47" s="65">
        <v>8.7937194993142152E-3</v>
      </c>
    </row>
    <row r="48" spans="2:127">
      <c r="B48" s="102" t="s">
        <v>40</v>
      </c>
      <c r="C48" s="134" t="str">
        <f ca="1">_xll.qlVanillaSwap(C50,C51,C52,C53,C54,C55,C56,C57,C58,C59,C60,C61)</f>
        <v>obj_00a8d#0000</v>
      </c>
      <c r="D48" s="134" t="str">
        <f ca="1">_xll.qlVanillaSwap(D50,D51,D52,D53,D54,D55,D56,D57,D58,D59,D60,D61)</f>
        <v>obj_00a9f#0000</v>
      </c>
      <c r="E48" s="134" t="str">
        <f ca="1">_xll.qlVanillaSwap(E50,E51,E52,E53,E54,E55,E56,E57,E58,E59,E60,E61)</f>
        <v>obj_00a79#0000</v>
      </c>
      <c r="F48" s="134" t="str">
        <f ca="1">_xll.qlVanillaSwap(F50,F51,F52,F53,F54,F55,F56,F57,F58,F59,F60,F61)</f>
        <v>obj_00a71#0000</v>
      </c>
      <c r="G48" s="134" t="str">
        <f ca="1">_xll.qlVanillaSwap(G50,G51,G52,G53,G54,G55,G56,G57,G58,G59,G60,G61)</f>
        <v>obj_00a69#0000</v>
      </c>
      <c r="H48" s="134" t="str">
        <f ca="1">_xll.qlVanillaSwap(H50,H51,H52,H53,H54,H55,H56,H57,H58,H59,H60,H61)</f>
        <v>obj_00aa2#0000</v>
      </c>
      <c r="I48" s="134" t="str">
        <f ca="1">_xll.qlVanillaSwap(I50,I51,I52,I53,I54,I55,I56,I57,I58,I59,I60,I61)</f>
        <v>obj_00aac#0000</v>
      </c>
      <c r="J48" s="134" t="str">
        <f ca="1">_xll.qlVanillaSwap(J50,J51,J52,J53,J54,J55,J56,J57,J58,J59,J60,J61)</f>
        <v>obj_00a70#0000</v>
      </c>
      <c r="K48" s="134" t="str">
        <f ca="1">_xll.qlVanillaSwap(K50,K51,K52,K53,K54,K55,K56,K57,K58,K59,K60,K61)</f>
        <v>obj_00a90#0000</v>
      </c>
      <c r="L48" s="134" t="str">
        <f ca="1">_xll.qlVanillaSwap(L50,L51,L52,L53,L54,L55,L56,L57,L58,L59,L60,L61)</f>
        <v>obj_00aa9#0000</v>
      </c>
      <c r="M48" s="134" t="str">
        <f ca="1">_xll.qlVanillaSwap(M50,M51,M52,M53,M54,M55,M56,M57,M58,M59,M60,M61)</f>
        <v>obj_00a89#0000</v>
      </c>
      <c r="N48" s="134" t="str">
        <f ca="1">_xll.qlVanillaSwap(N50,N51,N52,N53,N54,N55,N56,N57,N58,N59,N60,N61)</f>
        <v>obj_00a53#0000</v>
      </c>
      <c r="O48" s="134" t="str">
        <f ca="1">_xll.qlVanillaSwap(O50,O51,O52,O53,O54,O55,O56,O57,O58,O59,O60,O61)</f>
        <v>obj_00a92#0000</v>
      </c>
      <c r="P48" s="134" t="str">
        <f ca="1">_xll.qlVanillaSwap(P50,P51,P52,P53,P54,P55,P56,P57,P58,P59,P60,P61)</f>
        <v>obj_00aa3#0000</v>
      </c>
      <c r="Q48" s="134" t="str">
        <f ca="1">_xll.qlVanillaSwap(Q50,Q51,Q52,Q53,Q54,Q55,Q56,Q57,Q58,Q59,Q60,Q61)</f>
        <v>obj_00a8c#0000</v>
      </c>
      <c r="R48" s="134" t="str">
        <f ca="1">_xll.qlVanillaSwap(R50,R51,R52,R53,R54,R55,R56,R57,R58,R59,R60,R61)</f>
        <v>obj_00ab0#0000</v>
      </c>
      <c r="S48" s="134" t="str">
        <f ca="1">_xll.qlVanillaSwap(S50,S51,S52,S53,S54,S55,S56,S57,S58,S59,S60,S61)</f>
        <v>obj_00a9b#0000</v>
      </c>
      <c r="T48" s="134" t="str">
        <f ca="1">_xll.qlVanillaSwap(T50,T51,T52,T53,T54,T55,T56,T57,T58,T59,T60,T61)</f>
        <v>obj_00aa8#0000</v>
      </c>
      <c r="U48" s="134" t="str">
        <f ca="1">_xll.qlVanillaSwap(U50,U51,U52,U53,U54,U55,U56,U57,U58,U59,U60,U61)</f>
        <v>obj_00a99#0000</v>
      </c>
      <c r="V48" s="134" t="str">
        <f ca="1">_xll.qlVanillaSwap(V50,V51,V52,V53,V54,V55,V56,V57,V58,V59,V60,V61)</f>
        <v>obj_00a9e#0000</v>
      </c>
      <c r="W48" s="134" t="str">
        <f ca="1">_xll.qlVanillaSwap(W50,W51,W52,W53,W54,W55,W56,W57,W58,W59,W60,W61)</f>
        <v>obj_00aa4#0000</v>
      </c>
      <c r="X48" s="134" t="str">
        <f ca="1">_xll.qlVanillaSwap(X50,X51,X52,X53,X54,X55,X56,X57,X58,X59,X60,X61)</f>
        <v>obj_00a78#0000</v>
      </c>
      <c r="Y48" s="134" t="str">
        <f ca="1">_xll.qlVanillaSwap(Y50,Y51,Y52,Y53,Y54,Y55,Y56,Y57,Y58,Y59,Y60,Y61)</f>
        <v>obj_00a60#0000</v>
      </c>
      <c r="Z48" s="134" t="str">
        <f ca="1">_xll.qlVanillaSwap(Z50,Z51,Z52,Z53,Z54,Z55,Z56,Z57,Z58,Z59,Z60,Z61)</f>
        <v>obj_00a56#0000</v>
      </c>
      <c r="AA48" s="134" t="str">
        <f ca="1">_xll.qlVanillaSwap(AA50,AA51,AA52,AA53,AA54,AA55,AA56,AA57,AA58,AA59,AA60,AA61)</f>
        <v>obj_00a4e#0000</v>
      </c>
      <c r="AB48" s="134" t="str">
        <f ca="1">_xll.qlVanillaSwap(AB50,AB51,AB52,AB53,AB54,AB55,AB56,AB57,AB58,AB59,AB60,AB61)</f>
        <v>obj_00aa5#0000</v>
      </c>
      <c r="AC48" s="134" t="str">
        <f ca="1">_xll.qlVanillaSwap(AC50,AC51,AC52,AC53,AC54,AC55,AC56,AC57,AC58,AC59,AC60,AC61)</f>
        <v>obj_00aa6#0000</v>
      </c>
      <c r="AD48" s="134" t="str">
        <f ca="1">_xll.qlVanillaSwap(AD50,AD51,AD52,AD53,AD54,AD55,AD56,AD57,AD58,AD59,AD60,AD61)</f>
        <v>obj_00a4d#0000</v>
      </c>
      <c r="AE48" s="134" t="str">
        <f ca="1">_xll.qlVanillaSwap(AE50,AE51,AE52,AE53,AE54,AE55,AE56,AE57,AE58,AE59,AE60,AE61)</f>
        <v>obj_00a50#0000</v>
      </c>
      <c r="AF48" s="134" t="str">
        <f ca="1">_xll.qlVanillaSwap(AF50,AF51,AF52,AF53,AF54,AF55,AF56,AF57,AF58,AF59,AF60,AF61)</f>
        <v>obj_00a7c#0000</v>
      </c>
      <c r="AG48" s="134" t="str">
        <f ca="1">_xll.qlVanillaSwap(AG50,AG51,AG52,AG53,AG54,AG55,AG56,AG57,AG58,AG59,AG60,AG61)</f>
        <v>obj_00a52#0000</v>
      </c>
      <c r="AH48" s="134" t="str">
        <f ca="1">_xll.qlVanillaSwap(AH50,AH51,AH52,AH53,AH54,AH55,AH56,AH57,AH58,AH59,AH60,AH61)</f>
        <v>obj_00a8a#0000</v>
      </c>
      <c r="AI48" s="134" t="str">
        <f ca="1">_xll.qlVanillaSwap(AI50,AI51,AI52,AI53,AI54,AI55,AI56,AI57,AI58,AI59,AI60,AI61)</f>
        <v>obj_00aa7#0000</v>
      </c>
      <c r="AJ48" s="134" t="str">
        <f ca="1">_xll.qlVanillaSwap(AJ50,AJ51,AJ52,AJ53,AJ54,AJ55,AJ56,AJ57,AJ58,AJ59,AJ60,AJ61)</f>
        <v>obj_00a7b#0000</v>
      </c>
      <c r="AK48" s="134" t="str">
        <f ca="1">_xll.qlVanillaSwap(AK50,AK51,AK52,AK53,AK54,AK55,AK56,AK57,AK58,AK59,AK60,AK61)</f>
        <v>obj_00a5d#0000</v>
      </c>
      <c r="AL48" s="134" t="str">
        <f ca="1">_xll.qlVanillaSwap(AL50,AL51,AL52,AL53,AL54,AL55,AL56,AL57,AL58,AL59,AL60,AL61)</f>
        <v>obj_00a54#0000</v>
      </c>
      <c r="AM48" s="134" t="str">
        <f ca="1">_xll.qlVanillaSwap(AM50,AM51,AM52,AM53,AM54,AM55,AM56,AM57,AM58,AM59,AM60,AM61)</f>
        <v>obj_00a5b#0000</v>
      </c>
      <c r="AN48" s="134" t="str">
        <f ca="1">_xll.qlVanillaSwap(AN50,AN51,AN52,AN53,AN54,AN55,AN56,AN57,AN58,AN59,AN60,AN61)</f>
        <v>obj_00a74#0000</v>
      </c>
      <c r="AO48" s="134" t="str">
        <f ca="1">_xll.qlVanillaSwap(AO50,AO51,AO52,AO53,AO54,AO55,AO56,AO57,AO58,AO59,AO60,AO61)</f>
        <v>obj_00a6a#0000</v>
      </c>
      <c r="AP48" s="134" t="str">
        <f ca="1">_xll.qlVanillaSwap(AP50,AP51,AP52,AP53,AP54,AP55,AP56,AP57,AP58,AP59,AP60,AP61)</f>
        <v>obj_00a84#0000</v>
      </c>
      <c r="AQ48" s="134" t="str">
        <f ca="1">_xll.qlVanillaSwap(AQ50,AQ51,AQ52,AQ53,AQ54,AQ55,AQ56,AQ57,AQ58,AQ59,AQ60,AQ61)</f>
        <v>obj_00aad#0000</v>
      </c>
      <c r="AR48" s="134" t="str">
        <f ca="1">_xll.qlVanillaSwap(AR50,AR51,AR52,AR53,AR54,AR55,AR56,AR57,AR58,AR59,AR60,AR61)</f>
        <v>obj_00a5c#0000</v>
      </c>
      <c r="AS48" s="134" t="str">
        <f ca="1">_xll.qlVanillaSwap(AS50,AS51,AS52,AS53,AS54,AS55,AS56,AS57,AS58,AS59,AS60,AS61)</f>
        <v>obj_00a64#0000</v>
      </c>
      <c r="AT48" s="134" t="str">
        <f ca="1">_xll.qlVanillaSwap(AT50,AT51,AT52,AT53,AT54,AT55,AT56,AT57,AT58,AT59,AT60,AT61)</f>
        <v>obj_00a68#0000</v>
      </c>
      <c r="AU48" s="134" t="str">
        <f ca="1">_xll.qlVanillaSwap(AU50,AU51,AU52,AU53,AU54,AU55,AU56,AU57,AU58,AU59,AU60,AU61)</f>
        <v>obj_00aae#0000</v>
      </c>
      <c r="AV48" s="134" t="str">
        <f ca="1">_xll.qlVanillaSwap(AV50,AV51,AV52,AV53,AV54,AV55,AV56,AV57,AV58,AV59,AV60,AV61)</f>
        <v>obj_00a58#0000</v>
      </c>
      <c r="AW48" s="134" t="str">
        <f ca="1">_xll.qlVanillaSwap(AW50,AW51,AW52,AW53,AW54,AW55,AW56,AW57,AW58,AW59,AW60,AW61)</f>
        <v>obj_00a7a#0000</v>
      </c>
      <c r="AX48" s="134" t="str">
        <f ca="1">_xll.qlVanillaSwap(AX50,AX51,AX52,AX53,AX54,AX55,AX56,AX57,AX58,AX59,AX60,AX61)</f>
        <v>obj_00a75#0000</v>
      </c>
      <c r="AY48" s="134" t="str">
        <f ca="1">_xll.qlVanillaSwap(AY50,AY51,AY52,AY53,AY54,AY55,AY56,AY57,AY58,AY59,AY60,AY61)</f>
        <v>obj_00a57#0000</v>
      </c>
      <c r="AZ48" s="134" t="str">
        <f ca="1">_xll.qlVanillaSwap(AZ50,AZ51,AZ52,AZ53,AZ54,AZ55,AZ56,AZ57,AZ58,AZ59,AZ60,AZ61)</f>
        <v>obj_00a97#0000</v>
      </c>
      <c r="BA48" s="134" t="str">
        <f ca="1">_xll.qlVanillaSwap(BA50,BA51,BA52,BA53,BA54,BA55,BA56,BA57,BA58,BA59,BA60,BA61)</f>
        <v>obj_00a93#0000</v>
      </c>
      <c r="BB48" s="134" t="str">
        <f ca="1">_xll.qlVanillaSwap(BB50,BB51,BB52,BB53,BB54,BB55,BB56,BB57,BB58,BB59,BB60,BB61)</f>
        <v>obj_00a5a#0000</v>
      </c>
      <c r="BC48" s="134" t="str">
        <f ca="1">_xll.qlVanillaSwap(BC50,BC51,BC52,BC53,BC54,BC55,BC56,BC57,BC58,BC59,BC60,BC61)</f>
        <v>obj_00a8f#0000</v>
      </c>
      <c r="BD48" s="134" t="str">
        <f ca="1">_xll.qlVanillaSwap(BD50,BD51,BD52,BD53,BD54,BD55,BD56,BD57,BD58,BD59,BD60,BD61)</f>
        <v>obj_00a96#0000</v>
      </c>
      <c r="BE48" s="134" t="str">
        <f ca="1">_xll.qlVanillaSwap(BE50,BE51,BE52,BE53,BE54,BE55,BE56,BE57,BE58,BE59,BE60,BE61)</f>
        <v>obj_00a98#0000</v>
      </c>
      <c r="BF48" s="134" t="str">
        <f ca="1">_xll.qlVanillaSwap(BF50,BF51,BF52,BF53,BF54,BF55,BF56,BF57,BF58,BF59,BF60,BF61)</f>
        <v>obj_00a87#0000</v>
      </c>
      <c r="BG48" s="134" t="str">
        <f ca="1">_xll.qlVanillaSwap(BG50,BG51,BG52,BG53,BG54,BG55,BG56,BG57,BG58,BG59,BG60,BG61)</f>
        <v>obj_00a55#0000</v>
      </c>
      <c r="BH48" s="134" t="str">
        <f ca="1">_xll.qlVanillaSwap(BH50,BH51,BH52,BH53,BH54,BH55,BH56,BH57,BH58,BH59,BH60,BH61)</f>
        <v>obj_00a5f#0000</v>
      </c>
      <c r="BI48" s="134" t="str">
        <f ca="1">_xll.qlVanillaSwap(BI50,BI51,BI52,BI53,BI54,BI55,BI56,BI57,BI58,BI59,BI60,BI61)</f>
        <v>obj_00a61#0000</v>
      </c>
      <c r="BJ48" s="134" t="str">
        <f ca="1">_xll.qlVanillaSwap(BJ50,BJ51,BJ52,BJ53,BJ54,BJ55,BJ56,BJ57,BJ58,BJ59,BJ60,BJ61)</f>
        <v>obj_00a5e#0000</v>
      </c>
      <c r="BK48" s="134" t="str">
        <f ca="1">_xll.qlVanillaSwap(BK50,BK51,BK52,BK53,BK54,BK55,BK56,BK57,BK58,BK59,BK60,BK61)</f>
        <v>obj_00a81#0000</v>
      </c>
      <c r="BL48" s="134" t="str">
        <f ca="1">_xll.qlVanillaSwap(BL50,BL51,BL52,BL53,BL54,BL55,BL56,BL57,BL58,BL59,BL60,BL61)</f>
        <v>obj_00a82#0000</v>
      </c>
      <c r="BM48" s="134" t="str">
        <f ca="1">_xll.qlVanillaSwap(BM50,BM51,BM52,BM53,BM54,BM55,BM56,BM57,BM58,BM59,BM60,BM61)</f>
        <v>obj_00aaf#0000</v>
      </c>
      <c r="BN48" s="134" t="str">
        <f ca="1">_xll.qlVanillaSwap(BN50,BN51,BN52,BN53,BN54,BN55,BN56,BN57,BN58,BN59,BN60,BN61)</f>
        <v>obj_00aaa#0000</v>
      </c>
      <c r="BO48" s="134" t="str">
        <f ca="1">_xll.qlVanillaSwap(BO50,BO51,BO52,BO53,BO54,BO55,BO56,BO57,BO58,BO59,BO60,BO61)</f>
        <v>obj_00a7f#0000</v>
      </c>
      <c r="BP48" s="134" t="str">
        <f ca="1">_xll.qlVanillaSwap(BP50,BP51,BP52,BP53,BP54,BP55,BP56,BP57,BP58,BP59,BP60,BP61)</f>
        <v>obj_00a88#0000</v>
      </c>
      <c r="BQ48" s="134" t="str">
        <f ca="1">_xll.qlVanillaSwap(BQ50,BQ51,BQ52,BQ53,BQ54,BQ55,BQ56,BQ57,BQ58,BQ59,BQ60,BQ61)</f>
        <v>obj_00a59#0000</v>
      </c>
      <c r="BR48" s="134" t="str">
        <f ca="1">_xll.qlVanillaSwap(BR50,BR51,BR52,BR53,BR54,BR55,BR56,BR57,BR58,BR59,BR60,BR61)</f>
        <v>obj_00a65#0000</v>
      </c>
      <c r="BS48" s="134" t="str">
        <f ca="1">_xll.qlVanillaSwap(BS50,BS51,BS52,BS53,BS54,BS55,BS56,BS57,BS58,BS59,BS60,BS61)</f>
        <v>obj_00a7d#0000</v>
      </c>
      <c r="BT48" s="134" t="str">
        <f ca="1">_xll.qlVanillaSwap(BT50,BT51,BT52,BT53,BT54,BT55,BT56,BT57,BT58,BT59,BT60,BT61)</f>
        <v>obj_00a62#0000</v>
      </c>
      <c r="BU48" s="134" t="str">
        <f ca="1">_xll.qlVanillaSwap(BU50,BU51,BU52,BU53,BU54,BU55,BU56,BU57,BU58,BU59,BU60,BU61)</f>
        <v>obj_00a77#0000</v>
      </c>
      <c r="BV48" s="134" t="str">
        <f ca="1">_xll.qlVanillaSwap(BV50,BV51,BV52,BV53,BV54,BV55,BV56,BV57,BV58,BV59,BV60,BV61)</f>
        <v>obj_00a63#0000</v>
      </c>
      <c r="BW48" s="134" t="str">
        <f ca="1">_xll.qlVanillaSwap(BW50,BW51,BW52,BW53,BW54,BW55,BW56,BW57,BW58,BW59,BW60,BW61)</f>
        <v>obj_00a94#0000</v>
      </c>
      <c r="BX48" s="134" t="str">
        <f ca="1">_xll.qlVanillaSwap(BX50,BX51,BX52,BX53,BX54,BX55,BX56,BX57,BX58,BX59,BX60,BX61)</f>
        <v>obj_00a9c#0000</v>
      </c>
      <c r="BY48" s="134" t="str">
        <f ca="1">_xll.qlVanillaSwap(BY50,BY51,BY52,BY53,BY54,BY55,BY56,BY57,BY58,BY59,BY60,BY61)</f>
        <v>obj_00a95#0000</v>
      </c>
      <c r="BZ48" s="134" t="str">
        <f ca="1">_xll.qlVanillaSwap(BZ50,BZ51,BZ52,BZ53,BZ54,BZ55,BZ56,BZ57,BZ58,BZ59,BZ60,BZ61)</f>
        <v>obj_00a80#0000</v>
      </c>
      <c r="CA48" s="134" t="str">
        <f ca="1">_xll.qlVanillaSwap(CA50,CA51,CA52,CA53,CA54,CA55,CA56,CA57,CA58,CA59,CA60,CA61)</f>
        <v>obj_00aa1#0000</v>
      </c>
      <c r="CB48" s="134" t="str">
        <f ca="1">_xll.qlVanillaSwap(CB50,CB51,CB52,CB53,CB54,CB55,CB56,CB57,CB58,CB59,CB60,CB61)</f>
        <v>obj_00a9a#0000</v>
      </c>
      <c r="CC48" s="134" t="str">
        <f ca="1">_xll.qlVanillaSwap(CC50,CC51,CC52,CC53,CC54,CC55,CC56,CC57,CC58,CC59,CC60,CC61)</f>
        <v>obj_00aab#0000</v>
      </c>
      <c r="CD48" s="134" t="str">
        <f ca="1">_xll.qlVanillaSwap(CD50,CD51,CD52,CD53,CD54,CD55,CD56,CD57,CD58,CD59,CD60,CD61)</f>
        <v>obj_00a8e#0000</v>
      </c>
      <c r="CE48" s="134" t="str">
        <f ca="1">_xll.qlVanillaSwap(CE50,CE51,CE52,CE53,CE54,CE55,CE56,CE57,CE58,CE59,CE60,CE61)</f>
        <v>obj_00aa0#0000</v>
      </c>
      <c r="CF48" s="134" t="str">
        <f ca="1">_xll.qlVanillaSwap(CF50,CF51,CF52,CF53,CF54,CF55,CF56,CF57,CF58,CF59,CF60,CF61)</f>
        <v>obj_00a6c#0000</v>
      </c>
      <c r="CG48" s="134" t="str">
        <f ca="1">_xll.qlVanillaSwap(CG50,CG51,CG52,CG53,CG54,CG55,CG56,CG57,CG58,CG59,CG60,CG61)</f>
        <v>obj_00a51#0000</v>
      </c>
      <c r="CH48" s="134" t="str">
        <f ca="1">_xll.qlVanillaSwap(CH50,CH51,CH52,CH53,CH54,CH55,CH56,CH57,CH58,CH59,CH60,CH61)</f>
        <v>obj_00a8b#0000</v>
      </c>
      <c r="CI48" s="134" t="str">
        <f ca="1">_xll.qlVanillaSwap(CI50,CI51,CI52,CI53,CI54,CI55,CI56,CI57,CI58,CI59,CI60,CI61)</f>
        <v>obj_00a6e#0000</v>
      </c>
      <c r="CJ48" s="134" t="str">
        <f ca="1">_xll.qlVanillaSwap(CJ50,CJ51,CJ52,CJ53,CJ54,CJ55,CJ56,CJ57,CJ58,CJ59,CJ60,CJ61)</f>
        <v>obj_00a6b#0000</v>
      </c>
      <c r="CK48" s="134" t="str">
        <f ca="1">_xll.qlVanillaSwap(CK50,CK51,CK52,CK53,CK54,CK55,CK56,CK57,CK58,CK59,CK60,CK61)</f>
        <v>obj_00a91#0000</v>
      </c>
      <c r="CL48" s="134" t="str">
        <f ca="1">_xll.qlVanillaSwap(CL50,CL51,CL52,CL53,CL54,CL55,CL56,CL57,CL58,CL59,CL60,CL61)</f>
        <v>obj_00a76#0000</v>
      </c>
      <c r="CM48" s="134" t="str">
        <f ca="1">_xll.qlVanillaSwap(CM50,CM51,CM52,CM53,CM54,CM55,CM56,CM57,CM58,CM59,CM60,CM61)</f>
        <v>obj_00a86#0000</v>
      </c>
      <c r="CN48" s="134" t="str">
        <f ca="1">_xll.qlVanillaSwap(CN50,CN51,CN52,CN53,CN54,CN55,CN56,CN57,CN58,CN59,CN60,CN61)</f>
        <v>obj_00a66#0000</v>
      </c>
      <c r="CO48" s="134" t="str">
        <f ca="1">_xll.qlVanillaSwap(CO50,CO51,CO52,CO53,CO54,CO55,CO56,CO57,CO58,CO59,CO60,CO61)</f>
        <v>obj_00a67#0000</v>
      </c>
      <c r="CP48" s="134" t="str">
        <f ca="1">_xll.qlVanillaSwap(CP50,CP51,CP52,CP53,CP54,CP55,CP56,CP57,CP58,CP59,CP60,CP61)</f>
        <v>obj_00a7e#0000</v>
      </c>
      <c r="CQ48" s="134" t="str">
        <f ca="1">_xll.qlVanillaSwap(CQ50,CQ51,CQ52,CQ53,CQ54,CQ55,CQ56,CQ57,CQ58,CQ59,CQ60,CQ61)</f>
        <v>obj_00a73#0000</v>
      </c>
      <c r="CR48" s="134" t="str">
        <f ca="1">_xll.qlVanillaSwap(CR50,CR51,CR52,CR53,CR54,CR55,CR56,CR57,CR58,CR59,CR60,CR61)</f>
        <v>obj_00a6f#0000</v>
      </c>
      <c r="CS48" s="134" t="str">
        <f ca="1">_xll.qlVanillaSwap(CS50,CS51,CS52,CS53,CS54,CS55,CS56,CS57,CS58,CS59,CS60,CS61)</f>
        <v>obj_00a83#0000</v>
      </c>
      <c r="CT48" s="134" t="str">
        <f ca="1">_xll.qlVanillaSwap(CT50,CT51,CT52,CT53,CT54,CT55,CT56,CT57,CT58,CT59,CT60,CT61)</f>
        <v>obj_00a9d#0000</v>
      </c>
      <c r="CU48" s="134" t="str">
        <f ca="1">_xll.qlVanillaSwap(CU50,CU51,CU52,CU53,CU54,CU55,CU56,CU57,CU58,CU59,CU60,CU61)</f>
        <v>obj_00a72#0000</v>
      </c>
      <c r="CV48" s="134" t="str">
        <f ca="1">_xll.qlVanillaSwap(CV50,CV51,CV52,CV53,CV54,CV55,CV56,CV57,CV58,CV59,CV60,CV61)</f>
        <v>obj_00a4f#0000</v>
      </c>
      <c r="CW48" s="134" t="str">
        <f ca="1">_xll.qlVanillaSwap(CW50,CW51,CW52,CW53,CW54,CW55,CW56,CW57,CW58,CW59,CW60,CW61)</f>
        <v>obj_00a85#0000</v>
      </c>
      <c r="CX48" s="134" t="str">
        <f ca="1">_xll.qlVanillaSwap(CX50,CX51,CX52,CX53,CX54,CX55,CX56,CX57,CX58,CX59,CX60,CX61)</f>
        <v>obj_00a6d#0000</v>
      </c>
      <c r="DT48" s="177">
        <v>1.0054794520547945</v>
      </c>
      <c r="DU48" s="65">
        <v>6.9107299901207224E-3</v>
      </c>
      <c r="DV48" s="65">
        <v>8.540146931297286E-3</v>
      </c>
    </row>
    <row r="49" spans="2:126" ht="13.5" thickBot="1">
      <c r="B49" s="107" t="s">
        <v>5</v>
      </c>
      <c r="C49" s="114" t="str">
        <f ca="1">_xll.ohRangeRetrieveError(C48)</f>
        <v/>
      </c>
      <c r="D49" s="114" t="str">
        <f ca="1">_xll.ohRangeRetrieveError(D48)</f>
        <v/>
      </c>
      <c r="E49" s="114" t="str">
        <f ca="1">_xll.ohRangeRetrieveError(E48)</f>
        <v/>
      </c>
      <c r="F49" s="114" t="str">
        <f ca="1">_xll.ohRangeRetrieveError(F48)</f>
        <v/>
      </c>
      <c r="G49" s="114" t="str">
        <f ca="1">_xll.ohRangeRetrieveError(G48)</f>
        <v/>
      </c>
      <c r="H49" s="114" t="str">
        <f ca="1">_xll.ohRangeRetrieveError(H48)</f>
        <v/>
      </c>
      <c r="I49" s="114" t="str">
        <f ca="1">_xll.ohRangeRetrieveError(I48)</f>
        <v/>
      </c>
      <c r="J49" s="114" t="str">
        <f ca="1">_xll.ohRangeRetrieveError(J48)</f>
        <v/>
      </c>
      <c r="K49" s="114" t="str">
        <f ca="1">_xll.ohRangeRetrieveError(K48)</f>
        <v/>
      </c>
      <c r="L49" s="114" t="str">
        <f ca="1">_xll.ohRangeRetrieveError(L48)</f>
        <v/>
      </c>
      <c r="M49" s="114" t="str">
        <f ca="1">_xll.ohRangeRetrieveError(M48)</f>
        <v/>
      </c>
      <c r="N49" s="114" t="str">
        <f ca="1">_xll.ohRangeRetrieveError(N48)</f>
        <v/>
      </c>
      <c r="O49" s="114" t="str">
        <f ca="1">_xll.ohRangeRetrieveError(O48)</f>
        <v/>
      </c>
      <c r="P49" s="114" t="str">
        <f ca="1">_xll.ohRangeRetrieveError(P48)</f>
        <v/>
      </c>
      <c r="Q49" s="114" t="str">
        <f ca="1">_xll.ohRangeRetrieveError(Q48)</f>
        <v/>
      </c>
      <c r="R49" s="114" t="str">
        <f ca="1">_xll.ohRangeRetrieveError(R48)</f>
        <v/>
      </c>
      <c r="S49" s="114" t="str">
        <f ca="1">_xll.ohRangeRetrieveError(S48)</f>
        <v/>
      </c>
      <c r="T49" s="114" t="str">
        <f ca="1">_xll.ohRangeRetrieveError(T48)</f>
        <v/>
      </c>
      <c r="U49" s="114" t="str">
        <f ca="1">_xll.ohRangeRetrieveError(U48)</f>
        <v/>
      </c>
      <c r="V49" s="114" t="str">
        <f ca="1">_xll.ohRangeRetrieveError(V48)</f>
        <v/>
      </c>
      <c r="W49" s="114" t="str">
        <f ca="1">_xll.ohRangeRetrieveError(W48)</f>
        <v/>
      </c>
      <c r="X49" s="114" t="str">
        <f ca="1">_xll.ohRangeRetrieveError(X48)</f>
        <v/>
      </c>
      <c r="Y49" s="114" t="str">
        <f ca="1">_xll.ohRangeRetrieveError(Y48)</f>
        <v/>
      </c>
      <c r="Z49" s="114" t="str">
        <f ca="1">_xll.ohRangeRetrieveError(Z48)</f>
        <v/>
      </c>
      <c r="AA49" s="114" t="str">
        <f ca="1">_xll.ohRangeRetrieveError(AA48)</f>
        <v/>
      </c>
      <c r="AB49" s="114" t="str">
        <f ca="1">_xll.ohRangeRetrieveError(AB48)</f>
        <v/>
      </c>
      <c r="AC49" s="114" t="str">
        <f ca="1">_xll.ohRangeRetrieveError(AC48)</f>
        <v/>
      </c>
      <c r="AD49" s="114" t="str">
        <f ca="1">_xll.ohRangeRetrieveError(AD48)</f>
        <v/>
      </c>
      <c r="AE49" s="114" t="str">
        <f ca="1">_xll.ohRangeRetrieveError(AE48)</f>
        <v/>
      </c>
      <c r="AF49" s="114" t="str">
        <f ca="1">_xll.ohRangeRetrieveError(AF48)</f>
        <v/>
      </c>
      <c r="AG49" s="114" t="str">
        <f ca="1">_xll.ohRangeRetrieveError(AG48)</f>
        <v/>
      </c>
      <c r="AH49" s="114" t="str">
        <f ca="1">_xll.ohRangeRetrieveError(AH48)</f>
        <v/>
      </c>
      <c r="AI49" s="114" t="str">
        <f ca="1">_xll.ohRangeRetrieveError(AI48)</f>
        <v/>
      </c>
      <c r="AJ49" s="114" t="str">
        <f ca="1">_xll.ohRangeRetrieveError(AJ48)</f>
        <v/>
      </c>
      <c r="AK49" s="114" t="str">
        <f ca="1">_xll.ohRangeRetrieveError(AK48)</f>
        <v/>
      </c>
      <c r="AL49" s="114" t="str">
        <f ca="1">_xll.ohRangeRetrieveError(AL48)</f>
        <v/>
      </c>
      <c r="AM49" s="114" t="str">
        <f ca="1">_xll.ohRangeRetrieveError(AM48)</f>
        <v/>
      </c>
      <c r="AN49" s="114" t="str">
        <f ca="1">_xll.ohRangeRetrieveError(AN48)</f>
        <v/>
      </c>
      <c r="AO49" s="114" t="str">
        <f ca="1">_xll.ohRangeRetrieveError(AO48)</f>
        <v/>
      </c>
      <c r="AP49" s="114" t="str">
        <f ca="1">_xll.ohRangeRetrieveError(AP48)</f>
        <v/>
      </c>
      <c r="AQ49" s="114" t="str">
        <f ca="1">_xll.ohRangeRetrieveError(AQ48)</f>
        <v/>
      </c>
      <c r="AR49" s="114" t="str">
        <f ca="1">_xll.ohRangeRetrieveError(AR48)</f>
        <v/>
      </c>
      <c r="AS49" s="114" t="str">
        <f ca="1">_xll.ohRangeRetrieveError(AS48)</f>
        <v/>
      </c>
      <c r="AT49" s="114" t="str">
        <f ca="1">_xll.ohRangeRetrieveError(AT48)</f>
        <v/>
      </c>
      <c r="AU49" s="114" t="str">
        <f ca="1">_xll.ohRangeRetrieveError(AU48)</f>
        <v/>
      </c>
      <c r="AV49" s="114" t="str">
        <f ca="1">_xll.ohRangeRetrieveError(AV48)</f>
        <v/>
      </c>
      <c r="AW49" s="114" t="str">
        <f ca="1">_xll.ohRangeRetrieveError(AW48)</f>
        <v/>
      </c>
      <c r="AX49" s="114" t="str">
        <f ca="1">_xll.ohRangeRetrieveError(AX48)</f>
        <v/>
      </c>
      <c r="AY49" s="114" t="str">
        <f ca="1">_xll.ohRangeRetrieveError(AY48)</f>
        <v/>
      </c>
      <c r="AZ49" s="114" t="str">
        <f ca="1">_xll.ohRangeRetrieveError(AZ48)</f>
        <v/>
      </c>
      <c r="BA49" s="114" t="str">
        <f ca="1">_xll.ohRangeRetrieveError(BA48)</f>
        <v/>
      </c>
      <c r="BB49" s="114" t="str">
        <f ca="1">_xll.ohRangeRetrieveError(BB48)</f>
        <v/>
      </c>
      <c r="BC49" s="114" t="str">
        <f ca="1">_xll.ohRangeRetrieveError(BC48)</f>
        <v/>
      </c>
      <c r="BD49" s="114" t="str">
        <f ca="1">_xll.ohRangeRetrieveError(BD48)</f>
        <v/>
      </c>
      <c r="BE49" s="114" t="str">
        <f ca="1">_xll.ohRangeRetrieveError(BE48)</f>
        <v/>
      </c>
      <c r="BF49" s="114" t="str">
        <f ca="1">_xll.ohRangeRetrieveError(BF48)</f>
        <v/>
      </c>
      <c r="BG49" s="114" t="str">
        <f ca="1">_xll.ohRangeRetrieveError(BG48)</f>
        <v/>
      </c>
      <c r="BH49" s="114" t="str">
        <f ca="1">_xll.ohRangeRetrieveError(BH48)</f>
        <v/>
      </c>
      <c r="BI49" s="114" t="str">
        <f ca="1">_xll.ohRangeRetrieveError(BI48)</f>
        <v/>
      </c>
      <c r="BJ49" s="114" t="str">
        <f ca="1">_xll.ohRangeRetrieveError(BJ48)</f>
        <v/>
      </c>
      <c r="BK49" s="114" t="str">
        <f ca="1">_xll.ohRangeRetrieveError(BK48)</f>
        <v/>
      </c>
      <c r="BL49" s="114" t="str">
        <f ca="1">_xll.ohRangeRetrieveError(BL48)</f>
        <v/>
      </c>
      <c r="BM49" s="114" t="str">
        <f ca="1">_xll.ohRangeRetrieveError(BM48)</f>
        <v/>
      </c>
      <c r="BN49" s="114" t="str">
        <f ca="1">_xll.ohRangeRetrieveError(BN48)</f>
        <v/>
      </c>
      <c r="BO49" s="114" t="str">
        <f ca="1">_xll.ohRangeRetrieveError(BO48)</f>
        <v/>
      </c>
      <c r="BP49" s="114" t="str">
        <f ca="1">_xll.ohRangeRetrieveError(BP48)</f>
        <v/>
      </c>
      <c r="BQ49" s="114" t="str">
        <f ca="1">_xll.ohRangeRetrieveError(BQ48)</f>
        <v/>
      </c>
      <c r="BR49" s="114" t="str">
        <f ca="1">_xll.ohRangeRetrieveError(BR48)</f>
        <v/>
      </c>
      <c r="BS49" s="114" t="str">
        <f ca="1">_xll.ohRangeRetrieveError(BS48)</f>
        <v/>
      </c>
      <c r="BT49" s="114" t="str">
        <f ca="1">_xll.ohRangeRetrieveError(BT48)</f>
        <v/>
      </c>
      <c r="BU49" s="114" t="str">
        <f ca="1">_xll.ohRangeRetrieveError(BU48)</f>
        <v/>
      </c>
      <c r="BV49" s="114" t="str">
        <f ca="1">_xll.ohRangeRetrieveError(BV48)</f>
        <v/>
      </c>
      <c r="BW49" s="114" t="str">
        <f ca="1">_xll.ohRangeRetrieveError(BW48)</f>
        <v/>
      </c>
      <c r="BX49" s="114" t="str">
        <f ca="1">_xll.ohRangeRetrieveError(BX48)</f>
        <v/>
      </c>
      <c r="BY49" s="114" t="str">
        <f ca="1">_xll.ohRangeRetrieveError(BY48)</f>
        <v/>
      </c>
      <c r="BZ49" s="114" t="str">
        <f ca="1">_xll.ohRangeRetrieveError(BZ48)</f>
        <v/>
      </c>
      <c r="CA49" s="114" t="str">
        <f ca="1">_xll.ohRangeRetrieveError(CA48)</f>
        <v/>
      </c>
      <c r="CB49" s="114" t="str">
        <f ca="1">_xll.ohRangeRetrieveError(CB48)</f>
        <v/>
      </c>
      <c r="CC49" s="114" t="str">
        <f ca="1">_xll.ohRangeRetrieveError(CC48)</f>
        <v/>
      </c>
      <c r="CD49" s="114" t="str">
        <f ca="1">_xll.ohRangeRetrieveError(CD48)</f>
        <v/>
      </c>
      <c r="CE49" s="114" t="str">
        <f ca="1">_xll.ohRangeRetrieveError(CE48)</f>
        <v/>
      </c>
      <c r="CF49" s="114" t="str">
        <f ca="1">_xll.ohRangeRetrieveError(CF48)</f>
        <v/>
      </c>
      <c r="CG49" s="114" t="str">
        <f ca="1">_xll.ohRangeRetrieveError(CG48)</f>
        <v/>
      </c>
      <c r="CH49" s="114" t="str">
        <f ca="1">_xll.ohRangeRetrieveError(CH48)</f>
        <v/>
      </c>
      <c r="CI49" s="114" t="str">
        <f ca="1">_xll.ohRangeRetrieveError(CI48)</f>
        <v/>
      </c>
      <c r="CJ49" s="114" t="str">
        <f ca="1">_xll.ohRangeRetrieveError(CJ48)</f>
        <v/>
      </c>
      <c r="CK49" s="114" t="str">
        <f ca="1">_xll.ohRangeRetrieveError(CK48)</f>
        <v/>
      </c>
      <c r="CL49" s="114" t="str">
        <f ca="1">_xll.ohRangeRetrieveError(CL48)</f>
        <v/>
      </c>
      <c r="CM49" s="114" t="str">
        <f ca="1">_xll.ohRangeRetrieveError(CM48)</f>
        <v/>
      </c>
      <c r="CN49" s="114" t="str">
        <f ca="1">_xll.ohRangeRetrieveError(CN48)</f>
        <v/>
      </c>
      <c r="CO49" s="114" t="str">
        <f ca="1">_xll.ohRangeRetrieveError(CO48)</f>
        <v/>
      </c>
      <c r="CP49" s="114" t="str">
        <f ca="1">_xll.ohRangeRetrieveError(CP48)</f>
        <v/>
      </c>
      <c r="CQ49" s="114" t="str">
        <f ca="1">_xll.ohRangeRetrieveError(CQ48)</f>
        <v/>
      </c>
      <c r="CR49" s="114" t="str">
        <f ca="1">_xll.ohRangeRetrieveError(CR48)</f>
        <v/>
      </c>
      <c r="CS49" s="114" t="str">
        <f ca="1">_xll.ohRangeRetrieveError(CS48)</f>
        <v/>
      </c>
      <c r="CT49" s="114" t="str">
        <f ca="1">_xll.ohRangeRetrieveError(CT48)</f>
        <v/>
      </c>
      <c r="CU49" s="114" t="str">
        <f ca="1">_xll.ohRangeRetrieveError(CU48)</f>
        <v/>
      </c>
      <c r="CV49" s="114" t="str">
        <f ca="1">_xll.ohRangeRetrieveError(CV48)</f>
        <v/>
      </c>
      <c r="CW49" s="114" t="str">
        <f ca="1">_xll.ohRangeRetrieveError(CW48)</f>
        <v/>
      </c>
      <c r="CX49" s="114" t="str">
        <f ca="1">_xll.ohRangeRetrieveError(CX48)</f>
        <v/>
      </c>
      <c r="CZ49" s="165" t="s">
        <v>281</v>
      </c>
      <c r="DA49" s="165" t="s">
        <v>260</v>
      </c>
      <c r="DT49" s="177">
        <v>2.0027397260273974</v>
      </c>
      <c r="DU49" s="65">
        <v>6.9107299901207224E-3</v>
      </c>
      <c r="DV49" s="65">
        <v>8.540146931297286E-3</v>
      </c>
    </row>
    <row r="50" spans="2:126">
      <c r="B50" s="102" t="s">
        <v>2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  <c r="AZ50" s="115"/>
      <c r="BA50" s="115"/>
      <c r="BB50" s="115"/>
      <c r="BC50" s="115"/>
      <c r="BD50" s="115"/>
      <c r="BE50" s="115"/>
      <c r="BF50" s="115"/>
      <c r="BG50" s="115"/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115"/>
      <c r="CM50" s="115"/>
      <c r="CN50" s="115"/>
      <c r="CO50" s="115"/>
      <c r="CP50" s="115"/>
      <c r="CQ50" s="115"/>
      <c r="CR50" s="115"/>
      <c r="CS50" s="115"/>
      <c r="CT50" s="115"/>
      <c r="CU50" s="115"/>
      <c r="CV50" s="115"/>
      <c r="CW50" s="115"/>
      <c r="CX50" s="115"/>
      <c r="CZ50" s="166" t="s">
        <v>271</v>
      </c>
      <c r="DA50" s="166" t="s">
        <v>261</v>
      </c>
      <c r="DB50" s="166" t="s">
        <v>295</v>
      </c>
      <c r="DC50" s="166" t="s">
        <v>271</v>
      </c>
      <c r="DD50" s="166" t="s">
        <v>261</v>
      </c>
      <c r="DT50" s="177">
        <v>2.0027397260273974</v>
      </c>
      <c r="DU50" s="65">
        <v>7.439937903754858E-3</v>
      </c>
      <c r="DV50" s="65">
        <v>9.1550453820194635E-3</v>
      </c>
    </row>
    <row r="51" spans="2:126">
      <c r="B51" s="104" t="s">
        <v>75</v>
      </c>
      <c r="C51" s="116" t="s">
        <v>55</v>
      </c>
      <c r="D51" s="116" t="s">
        <v>55</v>
      </c>
      <c r="E51" s="116" t="s">
        <v>55</v>
      </c>
      <c r="F51" s="116" t="s">
        <v>55</v>
      </c>
      <c r="G51" s="116" t="s">
        <v>55</v>
      </c>
      <c r="H51" s="116" t="s">
        <v>55</v>
      </c>
      <c r="I51" s="116" t="s">
        <v>55</v>
      </c>
      <c r="J51" s="116" t="s">
        <v>55</v>
      </c>
      <c r="K51" s="116" t="s">
        <v>55</v>
      </c>
      <c r="L51" s="116" t="s">
        <v>55</v>
      </c>
      <c r="M51" s="116" t="s">
        <v>55</v>
      </c>
      <c r="N51" s="116" t="s">
        <v>55</v>
      </c>
      <c r="O51" s="116" t="s">
        <v>55</v>
      </c>
      <c r="P51" s="116" t="s">
        <v>55</v>
      </c>
      <c r="Q51" s="116" t="s">
        <v>55</v>
      </c>
      <c r="R51" s="116" t="s">
        <v>55</v>
      </c>
      <c r="S51" s="116" t="s">
        <v>55</v>
      </c>
      <c r="T51" s="116" t="s">
        <v>55</v>
      </c>
      <c r="U51" s="116" t="s">
        <v>55</v>
      </c>
      <c r="V51" s="116" t="s">
        <v>55</v>
      </c>
      <c r="W51" s="116" t="s">
        <v>55</v>
      </c>
      <c r="X51" s="116" t="s">
        <v>55</v>
      </c>
      <c r="Y51" s="116" t="s">
        <v>55</v>
      </c>
      <c r="Z51" s="116" t="s">
        <v>55</v>
      </c>
      <c r="AA51" s="116" t="s">
        <v>55</v>
      </c>
      <c r="AB51" s="116" t="s">
        <v>55</v>
      </c>
      <c r="AC51" s="116" t="s">
        <v>55</v>
      </c>
      <c r="AD51" s="116" t="s">
        <v>55</v>
      </c>
      <c r="AE51" s="116" t="s">
        <v>55</v>
      </c>
      <c r="AF51" s="116" t="s">
        <v>55</v>
      </c>
      <c r="AG51" s="116" t="s">
        <v>55</v>
      </c>
      <c r="AH51" s="116" t="s">
        <v>55</v>
      </c>
      <c r="AI51" s="116" t="s">
        <v>55</v>
      </c>
      <c r="AJ51" s="116" t="s">
        <v>55</v>
      </c>
      <c r="AK51" s="116" t="s">
        <v>55</v>
      </c>
      <c r="AL51" s="116" t="s">
        <v>55</v>
      </c>
      <c r="AM51" s="116" t="s">
        <v>55</v>
      </c>
      <c r="AN51" s="116" t="s">
        <v>55</v>
      </c>
      <c r="AO51" s="116" t="s">
        <v>55</v>
      </c>
      <c r="AP51" s="116" t="s">
        <v>55</v>
      </c>
      <c r="AQ51" s="116" t="s">
        <v>55</v>
      </c>
      <c r="AR51" s="116" t="s">
        <v>55</v>
      </c>
      <c r="AS51" s="116" t="s">
        <v>55</v>
      </c>
      <c r="AT51" s="116" t="s">
        <v>55</v>
      </c>
      <c r="AU51" s="116" t="s">
        <v>55</v>
      </c>
      <c r="AV51" s="116" t="s">
        <v>55</v>
      </c>
      <c r="AW51" s="116" t="s">
        <v>55</v>
      </c>
      <c r="AX51" s="116" t="s">
        <v>55</v>
      </c>
      <c r="AY51" s="116" t="s">
        <v>55</v>
      </c>
      <c r="AZ51" s="116" t="s">
        <v>55</v>
      </c>
      <c r="BA51" s="116" t="s">
        <v>55</v>
      </c>
      <c r="BB51" s="116" t="s">
        <v>55</v>
      </c>
      <c r="BC51" s="116" t="s">
        <v>55</v>
      </c>
      <c r="BD51" s="116" t="s">
        <v>55</v>
      </c>
      <c r="BE51" s="116" t="s">
        <v>55</v>
      </c>
      <c r="BF51" s="116" t="s">
        <v>55</v>
      </c>
      <c r="BG51" s="116" t="s">
        <v>55</v>
      </c>
      <c r="BH51" s="116" t="s">
        <v>55</v>
      </c>
      <c r="BI51" s="116" t="s">
        <v>55</v>
      </c>
      <c r="BJ51" s="116" t="s">
        <v>55</v>
      </c>
      <c r="BK51" s="116" t="s">
        <v>55</v>
      </c>
      <c r="BL51" s="116" t="s">
        <v>55</v>
      </c>
      <c r="BM51" s="116" t="s">
        <v>55</v>
      </c>
      <c r="BN51" s="116" t="s">
        <v>55</v>
      </c>
      <c r="BO51" s="116" t="s">
        <v>55</v>
      </c>
      <c r="BP51" s="116" t="s">
        <v>55</v>
      </c>
      <c r="BQ51" s="116" t="s">
        <v>55</v>
      </c>
      <c r="BR51" s="116" t="s">
        <v>55</v>
      </c>
      <c r="BS51" s="116" t="s">
        <v>55</v>
      </c>
      <c r="BT51" s="116" t="s">
        <v>55</v>
      </c>
      <c r="BU51" s="116" t="s">
        <v>55</v>
      </c>
      <c r="BV51" s="116" t="s">
        <v>55</v>
      </c>
      <c r="BW51" s="116" t="s">
        <v>55</v>
      </c>
      <c r="BX51" s="116" t="s">
        <v>55</v>
      </c>
      <c r="BY51" s="116" t="s">
        <v>55</v>
      </c>
      <c r="BZ51" s="116" t="s">
        <v>55</v>
      </c>
      <c r="CA51" s="116" t="s">
        <v>55</v>
      </c>
      <c r="CB51" s="116" t="s">
        <v>55</v>
      </c>
      <c r="CC51" s="116" t="s">
        <v>55</v>
      </c>
      <c r="CD51" s="116" t="s">
        <v>55</v>
      </c>
      <c r="CE51" s="116" t="s">
        <v>55</v>
      </c>
      <c r="CF51" s="116" t="s">
        <v>55</v>
      </c>
      <c r="CG51" s="116" t="s">
        <v>55</v>
      </c>
      <c r="CH51" s="116" t="s">
        <v>55</v>
      </c>
      <c r="CI51" s="116" t="s">
        <v>55</v>
      </c>
      <c r="CJ51" s="116" t="s">
        <v>55</v>
      </c>
      <c r="CK51" s="116" t="s">
        <v>55</v>
      </c>
      <c r="CL51" s="116" t="s">
        <v>55</v>
      </c>
      <c r="CM51" s="116" t="s">
        <v>55</v>
      </c>
      <c r="CN51" s="116" t="s">
        <v>55</v>
      </c>
      <c r="CO51" s="116" t="s">
        <v>55</v>
      </c>
      <c r="CP51" s="116" t="s">
        <v>55</v>
      </c>
      <c r="CQ51" s="116" t="s">
        <v>55</v>
      </c>
      <c r="CR51" s="116" t="s">
        <v>55</v>
      </c>
      <c r="CS51" s="116" t="s">
        <v>55</v>
      </c>
      <c r="CT51" s="116" t="s">
        <v>55</v>
      </c>
      <c r="CU51" s="116" t="s">
        <v>55</v>
      </c>
      <c r="CV51" s="116" t="s">
        <v>55</v>
      </c>
      <c r="CW51" s="116" t="s">
        <v>55</v>
      </c>
      <c r="CX51" s="116" t="s">
        <v>55</v>
      </c>
      <c r="CZ51" s="167" t="s">
        <v>272</v>
      </c>
      <c r="DA51" s="167" t="s">
        <v>262</v>
      </c>
      <c r="DB51" s="167" t="s">
        <v>294</v>
      </c>
      <c r="DC51" s="167" t="s">
        <v>272</v>
      </c>
      <c r="DD51" s="167" t="s">
        <v>316</v>
      </c>
      <c r="DT51" s="177">
        <v>3.0027397260273974</v>
      </c>
      <c r="DU51" s="65">
        <v>7.439937903754858E-3</v>
      </c>
      <c r="DV51" s="65">
        <v>9.1550453820194635E-3</v>
      </c>
    </row>
    <row r="52" spans="2:126">
      <c r="B52" s="104" t="s">
        <v>76</v>
      </c>
      <c r="C52" s="135">
        <v>10000</v>
      </c>
      <c r="D52" s="135">
        <v>10000</v>
      </c>
      <c r="E52" s="135">
        <v>10000</v>
      </c>
      <c r="F52" s="135">
        <v>10000</v>
      </c>
      <c r="G52" s="135">
        <v>10000</v>
      </c>
      <c r="H52" s="135">
        <v>10000</v>
      </c>
      <c r="I52" s="135">
        <v>10000</v>
      </c>
      <c r="J52" s="135">
        <v>10000</v>
      </c>
      <c r="K52" s="135">
        <v>10000</v>
      </c>
      <c r="L52" s="135">
        <v>10000</v>
      </c>
      <c r="M52" s="135">
        <v>10000</v>
      </c>
      <c r="N52" s="135">
        <v>10000</v>
      </c>
      <c r="O52" s="135">
        <v>10000</v>
      </c>
      <c r="P52" s="135">
        <v>10000</v>
      </c>
      <c r="Q52" s="135">
        <v>10000</v>
      </c>
      <c r="R52" s="135">
        <v>10000</v>
      </c>
      <c r="S52" s="135">
        <v>10000</v>
      </c>
      <c r="T52" s="135">
        <v>10000</v>
      </c>
      <c r="U52" s="135">
        <v>10000</v>
      </c>
      <c r="V52" s="135">
        <v>10000</v>
      </c>
      <c r="W52" s="135">
        <v>10000</v>
      </c>
      <c r="X52" s="135">
        <v>10000</v>
      </c>
      <c r="Y52" s="135">
        <v>10000</v>
      </c>
      <c r="Z52" s="135">
        <v>10000</v>
      </c>
      <c r="AA52" s="135">
        <v>10000</v>
      </c>
      <c r="AB52" s="135">
        <v>10000</v>
      </c>
      <c r="AC52" s="135">
        <v>10000</v>
      </c>
      <c r="AD52" s="135">
        <v>10000</v>
      </c>
      <c r="AE52" s="135">
        <v>10000</v>
      </c>
      <c r="AF52" s="135">
        <v>10000</v>
      </c>
      <c r="AG52" s="135">
        <v>10000</v>
      </c>
      <c r="AH52" s="135">
        <v>10000</v>
      </c>
      <c r="AI52" s="135">
        <v>10000</v>
      </c>
      <c r="AJ52" s="135">
        <v>10000</v>
      </c>
      <c r="AK52" s="135">
        <v>10000</v>
      </c>
      <c r="AL52" s="135">
        <v>10000</v>
      </c>
      <c r="AM52" s="135">
        <v>10000</v>
      </c>
      <c r="AN52" s="135">
        <v>10000</v>
      </c>
      <c r="AO52" s="135">
        <v>10000</v>
      </c>
      <c r="AP52" s="135">
        <v>10000</v>
      </c>
      <c r="AQ52" s="135">
        <v>10000</v>
      </c>
      <c r="AR52" s="135">
        <v>10000</v>
      </c>
      <c r="AS52" s="135">
        <v>10000</v>
      </c>
      <c r="AT52" s="135">
        <v>10000</v>
      </c>
      <c r="AU52" s="135">
        <v>10000</v>
      </c>
      <c r="AV52" s="135">
        <v>10000</v>
      </c>
      <c r="AW52" s="135">
        <v>10000</v>
      </c>
      <c r="AX52" s="135">
        <v>10000</v>
      </c>
      <c r="AY52" s="135">
        <v>10000</v>
      </c>
      <c r="AZ52" s="135">
        <v>10000</v>
      </c>
      <c r="BA52" s="135">
        <v>10000</v>
      </c>
      <c r="BB52" s="135">
        <v>10000</v>
      </c>
      <c r="BC52" s="135">
        <v>10000</v>
      </c>
      <c r="BD52" s="135">
        <v>10000</v>
      </c>
      <c r="BE52" s="135">
        <v>10000</v>
      </c>
      <c r="BF52" s="135">
        <v>10000</v>
      </c>
      <c r="BG52" s="135">
        <v>10000</v>
      </c>
      <c r="BH52" s="135">
        <v>10000</v>
      </c>
      <c r="BI52" s="135">
        <v>10000</v>
      </c>
      <c r="BJ52" s="135">
        <v>10000</v>
      </c>
      <c r="BK52" s="135">
        <v>10000</v>
      </c>
      <c r="BL52" s="135">
        <v>10000</v>
      </c>
      <c r="BM52" s="135">
        <v>10000</v>
      </c>
      <c r="BN52" s="135">
        <v>10000</v>
      </c>
      <c r="BO52" s="135">
        <v>10000</v>
      </c>
      <c r="BP52" s="135">
        <v>10000</v>
      </c>
      <c r="BQ52" s="135">
        <v>10000</v>
      </c>
      <c r="BR52" s="135">
        <v>10000</v>
      </c>
      <c r="BS52" s="135">
        <v>10000</v>
      </c>
      <c r="BT52" s="135">
        <v>10000</v>
      </c>
      <c r="BU52" s="135">
        <v>10000</v>
      </c>
      <c r="BV52" s="135">
        <v>10000</v>
      </c>
      <c r="BW52" s="135">
        <v>10000</v>
      </c>
      <c r="BX52" s="135">
        <v>10000</v>
      </c>
      <c r="BY52" s="135">
        <v>10000</v>
      </c>
      <c r="BZ52" s="135">
        <v>10000</v>
      </c>
      <c r="CA52" s="135">
        <v>10000</v>
      </c>
      <c r="CB52" s="135">
        <v>10000</v>
      </c>
      <c r="CC52" s="135">
        <v>10000</v>
      </c>
      <c r="CD52" s="135">
        <v>10000</v>
      </c>
      <c r="CE52" s="135">
        <v>10000</v>
      </c>
      <c r="CF52" s="135">
        <v>10000</v>
      </c>
      <c r="CG52" s="135">
        <v>10000</v>
      </c>
      <c r="CH52" s="135">
        <v>10000</v>
      </c>
      <c r="CI52" s="135">
        <v>10000</v>
      </c>
      <c r="CJ52" s="135">
        <v>10000</v>
      </c>
      <c r="CK52" s="135">
        <v>10000</v>
      </c>
      <c r="CL52" s="135">
        <v>10000</v>
      </c>
      <c r="CM52" s="135">
        <v>10000</v>
      </c>
      <c r="CN52" s="135">
        <v>10000</v>
      </c>
      <c r="CO52" s="135">
        <v>10000</v>
      </c>
      <c r="CP52" s="135">
        <v>10000</v>
      </c>
      <c r="CQ52" s="135">
        <v>10000</v>
      </c>
      <c r="CR52" s="135">
        <v>10000</v>
      </c>
      <c r="CS52" s="135">
        <v>10000</v>
      </c>
      <c r="CT52" s="135">
        <v>10000</v>
      </c>
      <c r="CU52" s="135">
        <v>10000</v>
      </c>
      <c r="CV52" s="135">
        <v>10000</v>
      </c>
      <c r="CW52" s="135">
        <v>10000</v>
      </c>
      <c r="CX52" s="135">
        <v>10000</v>
      </c>
      <c r="CZ52" s="167" t="s">
        <v>273</v>
      </c>
      <c r="DA52" s="167" t="s">
        <v>263</v>
      </c>
      <c r="DB52" s="167" t="s">
        <v>296</v>
      </c>
      <c r="DC52" s="167" t="s">
        <v>273</v>
      </c>
      <c r="DD52" s="167" t="s">
        <v>317</v>
      </c>
      <c r="DT52" s="177">
        <v>3.0027397260273974</v>
      </c>
      <c r="DU52" s="65">
        <v>7.5612848684738707E-3</v>
      </c>
      <c r="DV52" s="65">
        <v>9.2907346470924666E-3</v>
      </c>
    </row>
    <row r="53" spans="2:126">
      <c r="B53" s="104" t="s">
        <v>77</v>
      </c>
      <c r="C53" s="136" t="str">
        <f t="shared" ref="C53:AH53" ca="1" si="12">C14</f>
        <v>obj_009fc#0000</v>
      </c>
      <c r="D53" s="136" t="str">
        <f t="shared" ca="1" si="12"/>
        <v>obj_00a10#0000</v>
      </c>
      <c r="E53" s="136" t="str">
        <f t="shared" ca="1" si="12"/>
        <v>obj_00a14#0000</v>
      </c>
      <c r="F53" s="136" t="str">
        <f t="shared" ca="1" si="12"/>
        <v>obj_00a0a#0000</v>
      </c>
      <c r="G53" s="136" t="str">
        <f t="shared" ca="1" si="12"/>
        <v>obj_00a09#0000</v>
      </c>
      <c r="H53" s="136" t="str">
        <f t="shared" ca="1" si="12"/>
        <v>obj_00989#0000</v>
      </c>
      <c r="I53" s="136" t="str">
        <f t="shared" ca="1" si="12"/>
        <v>obj_00a38#0000</v>
      </c>
      <c r="J53" s="136" t="str">
        <f t="shared" ca="1" si="12"/>
        <v>obj_009f9#0000</v>
      </c>
      <c r="K53" s="136" t="str">
        <f t="shared" ca="1" si="12"/>
        <v>obj_009ab#0000</v>
      </c>
      <c r="L53" s="136" t="str">
        <f t="shared" ca="1" si="12"/>
        <v>obj_00a2e#0000</v>
      </c>
      <c r="M53" s="136" t="str">
        <f t="shared" ca="1" si="12"/>
        <v>obj_00a2b#0000</v>
      </c>
      <c r="N53" s="136" t="str">
        <f t="shared" ca="1" si="12"/>
        <v>obj_009f6#0000</v>
      </c>
      <c r="O53" s="136" t="str">
        <f t="shared" ca="1" si="12"/>
        <v>obj_00999#0000</v>
      </c>
      <c r="P53" s="136" t="str">
        <f t="shared" ca="1" si="12"/>
        <v>obj_00a0e#0000</v>
      </c>
      <c r="Q53" s="136" t="str">
        <f t="shared" ca="1" si="12"/>
        <v>obj_00a3f#0000</v>
      </c>
      <c r="R53" s="136" t="str">
        <f t="shared" ca="1" si="12"/>
        <v>obj_009f0#0000</v>
      </c>
      <c r="S53" s="136" t="str">
        <f t="shared" ca="1" si="12"/>
        <v>obj_00a07#0000</v>
      </c>
      <c r="T53" s="136" t="str">
        <f t="shared" ca="1" si="12"/>
        <v>obj_00a08#0000</v>
      </c>
      <c r="U53" s="136" t="str">
        <f t="shared" ca="1" si="12"/>
        <v>obj_009bd#0000</v>
      </c>
      <c r="V53" s="136" t="str">
        <f t="shared" ca="1" si="12"/>
        <v>obj_00a16#0000</v>
      </c>
      <c r="W53" s="136" t="str">
        <f t="shared" ca="1" si="12"/>
        <v>obj_009e6#0000</v>
      </c>
      <c r="X53" s="136" t="str">
        <f t="shared" ca="1" si="12"/>
        <v>obj_00a25#0000</v>
      </c>
      <c r="Y53" s="136" t="str">
        <f t="shared" ca="1" si="12"/>
        <v>obj_0099c#0000</v>
      </c>
      <c r="Z53" s="136" t="str">
        <f t="shared" ca="1" si="12"/>
        <v>obj_00a05#0000</v>
      </c>
      <c r="AA53" s="136" t="str">
        <f t="shared" ca="1" si="12"/>
        <v>obj_009de#0000</v>
      </c>
      <c r="AB53" s="136" t="str">
        <f t="shared" ca="1" si="12"/>
        <v>obj_009d6#0000</v>
      </c>
      <c r="AC53" s="136" t="str">
        <f t="shared" ca="1" si="12"/>
        <v>obj_009ca#0000</v>
      </c>
      <c r="AD53" s="136" t="str">
        <f t="shared" ca="1" si="12"/>
        <v>obj_009e3#0000</v>
      </c>
      <c r="AE53" s="136" t="str">
        <f t="shared" ca="1" si="12"/>
        <v>obj_009cc#0000</v>
      </c>
      <c r="AF53" s="136" t="str">
        <f t="shared" ca="1" si="12"/>
        <v>obj_00996#0000</v>
      </c>
      <c r="AG53" s="136" t="str">
        <f t="shared" ca="1" si="12"/>
        <v>obj_009b7#0000</v>
      </c>
      <c r="AH53" s="136" t="str">
        <f t="shared" ca="1" si="12"/>
        <v>obj_00a01#0000</v>
      </c>
      <c r="AI53" s="136" t="str">
        <f t="shared" ref="AI53:BN53" ca="1" si="13">AI14</f>
        <v>obj_00a3c#0000</v>
      </c>
      <c r="AJ53" s="136" t="str">
        <f t="shared" ca="1" si="13"/>
        <v>obj_0099e#0000</v>
      </c>
      <c r="AK53" s="136" t="str">
        <f t="shared" ca="1" si="13"/>
        <v>obj_009ec#0000</v>
      </c>
      <c r="AL53" s="136" t="str">
        <f t="shared" ca="1" si="13"/>
        <v>obj_009ea#0000</v>
      </c>
      <c r="AM53" s="136" t="str">
        <f t="shared" ca="1" si="13"/>
        <v>obj_00a3e#0000</v>
      </c>
      <c r="AN53" s="136" t="str">
        <f t="shared" ca="1" si="13"/>
        <v>obj_009bc#0000</v>
      </c>
      <c r="AO53" s="136" t="str">
        <f t="shared" ca="1" si="13"/>
        <v>obj_00a45#0000</v>
      </c>
      <c r="AP53" s="136" t="str">
        <f t="shared" ca="1" si="13"/>
        <v>obj_00a12#0000</v>
      </c>
      <c r="AQ53" s="136" t="str">
        <f t="shared" ca="1" si="13"/>
        <v>obj_009ac#0000</v>
      </c>
      <c r="AR53" s="136" t="str">
        <f t="shared" ca="1" si="13"/>
        <v>obj_00a3a#0000</v>
      </c>
      <c r="AS53" s="136" t="str">
        <f t="shared" ca="1" si="13"/>
        <v>obj_00a37#0000</v>
      </c>
      <c r="AT53" s="136" t="str">
        <f t="shared" ca="1" si="13"/>
        <v>obj_009ff#0000</v>
      </c>
      <c r="AU53" s="136" t="str">
        <f t="shared" ca="1" si="13"/>
        <v>obj_0099a#0000</v>
      </c>
      <c r="AV53" s="136" t="str">
        <f t="shared" ca="1" si="13"/>
        <v>obj_00a1a#0000</v>
      </c>
      <c r="AW53" s="136" t="str">
        <f t="shared" ca="1" si="13"/>
        <v>obj_009e9#0000</v>
      </c>
      <c r="AX53" s="136" t="str">
        <f t="shared" ca="1" si="13"/>
        <v>obj_00a36#0000</v>
      </c>
      <c r="AY53" s="136" t="str">
        <f t="shared" ca="1" si="13"/>
        <v>obj_00a03#0000</v>
      </c>
      <c r="AZ53" s="136" t="str">
        <f t="shared" ca="1" si="13"/>
        <v>obj_009e2#0000</v>
      </c>
      <c r="BA53" s="136" t="str">
        <f t="shared" ca="1" si="13"/>
        <v>obj_0098b#0000</v>
      </c>
      <c r="BB53" s="136" t="str">
        <f t="shared" ca="1" si="13"/>
        <v>obj_00a24#0000</v>
      </c>
      <c r="BC53" s="136" t="str">
        <f t="shared" ca="1" si="13"/>
        <v>obj_009b4#0000</v>
      </c>
      <c r="BD53" s="136" t="str">
        <f t="shared" ca="1" si="13"/>
        <v>obj_00a0b#0000</v>
      </c>
      <c r="BE53" s="136" t="str">
        <f t="shared" ca="1" si="13"/>
        <v>obj_009cf#0000</v>
      </c>
      <c r="BF53" s="136" t="str">
        <f t="shared" ca="1" si="13"/>
        <v>obj_00a1e#0000</v>
      </c>
      <c r="BG53" s="136" t="str">
        <f t="shared" ca="1" si="13"/>
        <v>obj_00a49#0000</v>
      </c>
      <c r="BH53" s="136" t="str">
        <f t="shared" ca="1" si="13"/>
        <v>obj_009a4#0000</v>
      </c>
      <c r="BI53" s="136" t="str">
        <f t="shared" ca="1" si="13"/>
        <v>obj_00998#0000</v>
      </c>
      <c r="BJ53" s="136" t="str">
        <f t="shared" ca="1" si="13"/>
        <v>obj_009b1#0000</v>
      </c>
      <c r="BK53" s="136" t="str">
        <f t="shared" ca="1" si="13"/>
        <v>obj_009cd#0000</v>
      </c>
      <c r="BL53" s="136" t="str">
        <f t="shared" ca="1" si="13"/>
        <v>obj_009c9#0000</v>
      </c>
      <c r="BM53" s="136" t="str">
        <f t="shared" ca="1" si="13"/>
        <v>obj_00985#0000</v>
      </c>
      <c r="BN53" s="136" t="str">
        <f t="shared" ca="1" si="13"/>
        <v>obj_00a43#0000</v>
      </c>
      <c r="BO53" s="136" t="str">
        <f t="shared" ref="BO53:CX53" ca="1" si="14">BO14</f>
        <v>obj_009df#0000</v>
      </c>
      <c r="BP53" s="136" t="str">
        <f t="shared" ca="1" si="14"/>
        <v>obj_00a1c#0000</v>
      </c>
      <c r="BQ53" s="136" t="str">
        <f t="shared" ca="1" si="14"/>
        <v>obj_00a26#0000</v>
      </c>
      <c r="BR53" s="136" t="str">
        <f t="shared" ca="1" si="14"/>
        <v>obj_00a33#0000</v>
      </c>
      <c r="BS53" s="136" t="str">
        <f t="shared" ca="1" si="14"/>
        <v>obj_009f8#0000</v>
      </c>
      <c r="BT53" s="136" t="str">
        <f t="shared" ca="1" si="14"/>
        <v>obj_0098a#0000</v>
      </c>
      <c r="BU53" s="136" t="str">
        <f t="shared" ca="1" si="14"/>
        <v>obj_00a44#0000</v>
      </c>
      <c r="BV53" s="136" t="str">
        <f t="shared" ca="1" si="14"/>
        <v>obj_009fa#0000</v>
      </c>
      <c r="BW53" s="136" t="str">
        <f t="shared" ca="1" si="14"/>
        <v>obj_009fd#0000</v>
      </c>
      <c r="BX53" s="136" t="str">
        <f t="shared" ca="1" si="14"/>
        <v>obj_00a47#0000</v>
      </c>
      <c r="BY53" s="136" t="str">
        <f t="shared" ca="1" si="14"/>
        <v>obj_009f5#0000</v>
      </c>
      <c r="BZ53" s="136" t="str">
        <f t="shared" ca="1" si="14"/>
        <v>obj_009d2#0000</v>
      </c>
      <c r="CA53" s="136" t="str">
        <f t="shared" ca="1" si="14"/>
        <v>obj_0099b#0000</v>
      </c>
      <c r="CB53" s="136" t="str">
        <f t="shared" ca="1" si="14"/>
        <v>obj_009f2#0000</v>
      </c>
      <c r="CC53" s="136" t="str">
        <f t="shared" ca="1" si="14"/>
        <v>obj_00a23#0000</v>
      </c>
      <c r="CD53" s="136" t="str">
        <f t="shared" ca="1" si="14"/>
        <v>obj_009f1#0000</v>
      </c>
      <c r="CE53" s="136" t="str">
        <f t="shared" ca="1" si="14"/>
        <v>obj_009ad#0000</v>
      </c>
      <c r="CF53" s="136" t="str">
        <f t="shared" ca="1" si="14"/>
        <v>obj_00a3d#0000</v>
      </c>
      <c r="CG53" s="136" t="str">
        <f t="shared" ca="1" si="14"/>
        <v>obj_009be#0000</v>
      </c>
      <c r="CH53" s="136" t="str">
        <f t="shared" ca="1" si="14"/>
        <v>obj_00a40#0000</v>
      </c>
      <c r="CI53" s="136" t="str">
        <f t="shared" ca="1" si="14"/>
        <v>obj_009a3#0000</v>
      </c>
      <c r="CJ53" s="136" t="str">
        <f t="shared" ca="1" si="14"/>
        <v>obj_00a17#0000</v>
      </c>
      <c r="CK53" s="136" t="str">
        <f t="shared" ca="1" si="14"/>
        <v>obj_0099d#0000</v>
      </c>
      <c r="CL53" s="136" t="str">
        <f t="shared" ca="1" si="14"/>
        <v>obj_00a2f#0000</v>
      </c>
      <c r="CM53" s="136" t="str">
        <f t="shared" ca="1" si="14"/>
        <v>obj_00a30#0000</v>
      </c>
      <c r="CN53" s="136" t="str">
        <f t="shared" ca="1" si="14"/>
        <v>obj_009d7#0000</v>
      </c>
      <c r="CO53" s="136" t="str">
        <f t="shared" ca="1" si="14"/>
        <v>obj_009cb#0000</v>
      </c>
      <c r="CP53" s="136" t="str">
        <f t="shared" ca="1" si="14"/>
        <v>obj_009e4#0000</v>
      </c>
      <c r="CQ53" s="136" t="str">
        <f t="shared" ca="1" si="14"/>
        <v>obj_009ce#0000</v>
      </c>
      <c r="CR53" s="136" t="str">
        <f t="shared" ca="1" si="14"/>
        <v>obj_00997#0000</v>
      </c>
      <c r="CS53" s="136" t="str">
        <f t="shared" ca="1" si="14"/>
        <v>obj_009b8#0000</v>
      </c>
      <c r="CT53" s="136" t="str">
        <f t="shared" ca="1" si="14"/>
        <v>obj_00a2a#0000</v>
      </c>
      <c r="CU53" s="136" t="str">
        <f t="shared" ca="1" si="14"/>
        <v>obj_009e0#0000</v>
      </c>
      <c r="CV53" s="136" t="str">
        <f t="shared" ca="1" si="14"/>
        <v>obj_009d1#0000</v>
      </c>
      <c r="CW53" s="136" t="str">
        <f t="shared" ca="1" si="14"/>
        <v>obj_00a34#0000</v>
      </c>
      <c r="CX53" s="136" t="str">
        <f t="shared" ca="1" si="14"/>
        <v>obj_009eb#0000</v>
      </c>
      <c r="CZ53" s="167" t="s">
        <v>274</v>
      </c>
      <c r="DA53" s="167" t="s">
        <v>264</v>
      </c>
      <c r="DB53" s="167" t="s">
        <v>297</v>
      </c>
      <c r="DC53" s="167" t="s">
        <v>274</v>
      </c>
      <c r="DD53" s="167" t="s">
        <v>318</v>
      </c>
      <c r="DT53" s="177">
        <v>4.0027397260273974</v>
      </c>
      <c r="DU53" s="65">
        <v>7.5612848684738707E-3</v>
      </c>
      <c r="DV53" s="65">
        <v>9.2907346470924666E-3</v>
      </c>
    </row>
    <row r="54" spans="2:126">
      <c r="B54" s="104" t="s">
        <v>46</v>
      </c>
      <c r="C54" s="137">
        <v>1.1406965433327907E-3</v>
      </c>
      <c r="D54" s="137">
        <v>2.8904677111829713E-3</v>
      </c>
      <c r="E54" s="137">
        <v>5.5494648017379829E-3</v>
      </c>
      <c r="F54" s="137">
        <v>8.3406053736410392E-3</v>
      </c>
      <c r="G54" s="137">
        <v>1.1668496698006655E-2</v>
      </c>
      <c r="H54" s="137">
        <v>1.4692922220106909E-2</v>
      </c>
      <c r="I54" s="137">
        <v>1.7172167797104079E-2</v>
      </c>
      <c r="J54" s="137">
        <v>1.8988787339676381E-2</v>
      </c>
      <c r="K54" s="137">
        <v>1.9949466622353342E-2</v>
      </c>
      <c r="L54" s="137">
        <v>2.1083729600137598E-2</v>
      </c>
      <c r="M54" s="137">
        <v>2.0102288119167723E-3</v>
      </c>
      <c r="N54" s="137">
        <v>4.2181970182826323E-3</v>
      </c>
      <c r="O54" s="137">
        <v>6.9412078018973112E-3</v>
      </c>
      <c r="P54" s="137">
        <v>1.0014565741508254E-2</v>
      </c>
      <c r="Q54" s="137">
        <v>1.3171482058452004E-2</v>
      </c>
      <c r="R54" s="137">
        <v>1.5926687154633922E-2</v>
      </c>
      <c r="S54" s="137">
        <v>1.8067925997849416E-2</v>
      </c>
      <c r="T54" s="137">
        <v>1.9464800790494455E-2</v>
      </c>
      <c r="U54" s="137">
        <v>2.0512466496668574E-2</v>
      </c>
      <c r="V54" s="137">
        <v>2.1361905913933988E-2</v>
      </c>
      <c r="W54" s="137">
        <v>3.1808793061409539E-3</v>
      </c>
      <c r="X54" s="137">
        <v>5.5860956580451489E-3</v>
      </c>
      <c r="Y54" s="137">
        <v>8.519031989967606E-3</v>
      </c>
      <c r="Z54" s="137">
        <v>1.1559749055689891E-2</v>
      </c>
      <c r="AA54" s="137">
        <v>1.4491771023802221E-2</v>
      </c>
      <c r="AB54" s="137">
        <v>1.6925581272642022E-2</v>
      </c>
      <c r="AC54" s="137">
        <v>1.8682204825190903E-2</v>
      </c>
      <c r="AD54" s="137">
        <v>1.9995205890166005E-2</v>
      </c>
      <c r="AE54" s="137">
        <v>2.0883498628732625E-2</v>
      </c>
      <c r="AF54" s="137">
        <v>2.1492678603819027E-2</v>
      </c>
      <c r="AG54" s="137">
        <v>4.4595600411399382E-3</v>
      </c>
      <c r="AH54" s="137">
        <v>7.1039923871777794E-3</v>
      </c>
      <c r="AI54" s="137">
        <v>1.0040643186977031E-2</v>
      </c>
      <c r="AJ54" s="137">
        <v>1.2935109480650313E-2</v>
      </c>
      <c r="AK54" s="137">
        <v>1.5584014608888428E-2</v>
      </c>
      <c r="AL54" s="137">
        <v>1.7660930260670515E-2</v>
      </c>
      <c r="AM54" s="137">
        <v>1.9265510135320661E-2</v>
      </c>
      <c r="AN54" s="137">
        <v>2.0397115031133773E-2</v>
      </c>
      <c r="AO54" s="137">
        <v>2.1096496952275813E-2</v>
      </c>
      <c r="AP54" s="137">
        <v>2.1556993831003322E-2</v>
      </c>
      <c r="AQ54" s="137">
        <v>5.8846966786583804E-3</v>
      </c>
      <c r="AR54" s="137">
        <v>8.5949770426574559E-3</v>
      </c>
      <c r="AS54" s="137">
        <v>1.1431870168239171E-2</v>
      </c>
      <c r="AT54" s="137">
        <v>1.4111086446073243E-2</v>
      </c>
      <c r="AU54" s="137">
        <v>1.6427614473640016E-2</v>
      </c>
      <c r="AV54" s="137">
        <v>1.8320734101132337E-2</v>
      </c>
      <c r="AW54" s="137">
        <v>1.9723540910163501E-2</v>
      </c>
      <c r="AX54" s="137">
        <v>2.0658830146429399E-2</v>
      </c>
      <c r="AY54" s="137">
        <v>2.1223309232009498E-2</v>
      </c>
      <c r="AZ54" s="137">
        <v>2.1537326686422324E-2</v>
      </c>
      <c r="BA54" s="137">
        <v>7.3238248227143936E-3</v>
      </c>
      <c r="BB54" s="137">
        <v>9.9841978824405549E-3</v>
      </c>
      <c r="BC54" s="137">
        <v>1.2649206850637964E-2</v>
      </c>
      <c r="BD54" s="137">
        <v>1.5046520996093448E-2</v>
      </c>
      <c r="BE54" s="137">
        <v>1.7170058453481015E-2</v>
      </c>
      <c r="BF54" s="137">
        <v>1.8849433913613062E-2</v>
      </c>
      <c r="BG54" s="137">
        <v>2.0048080614512326E-2</v>
      </c>
      <c r="BH54" s="137">
        <v>2.0832846893039346E-2</v>
      </c>
      <c r="BI54" s="137">
        <v>2.1259791280826609E-2</v>
      </c>
      <c r="BJ54" s="137">
        <v>2.1480327485701237E-2</v>
      </c>
      <c r="BK54" s="137">
        <v>8.6962424326374188E-3</v>
      </c>
      <c r="BL54" s="137">
        <v>1.1222702914782187E-2</v>
      </c>
      <c r="BM54" s="137">
        <v>1.3646430687652859E-2</v>
      </c>
      <c r="BN54" s="137">
        <v>1.5866926466466199E-2</v>
      </c>
      <c r="BO54" s="137">
        <v>1.7775302471037965E-2</v>
      </c>
      <c r="BP54" s="137">
        <v>1.9243574049784766E-2</v>
      </c>
      <c r="BQ54" s="137">
        <v>2.0277377295254587E-2</v>
      </c>
      <c r="BR54" s="137">
        <v>2.0916302118824122E-2</v>
      </c>
      <c r="BS54" s="137">
        <v>2.1248621122796237E-2</v>
      </c>
      <c r="BT54" s="137">
        <v>2.1399578504803785E-2</v>
      </c>
      <c r="BU54" s="137">
        <v>9.9243062368506545E-3</v>
      </c>
      <c r="BV54" s="137">
        <v>1.2261271278339935E-2</v>
      </c>
      <c r="BW54" s="137">
        <v>1.4525636219477557E-2</v>
      </c>
      <c r="BX54" s="137">
        <v>1.6549139546823632E-2</v>
      </c>
      <c r="BY54" s="137">
        <v>1.8243917255969563E-2</v>
      </c>
      <c r="BZ54" s="137">
        <v>1.9536305638630055E-2</v>
      </c>
      <c r="CA54" s="137">
        <v>2.041459019870491E-2</v>
      </c>
      <c r="CB54" s="137">
        <v>2.0946617555157442E-2</v>
      </c>
      <c r="CC54" s="137">
        <v>2.1204762687365798E-2</v>
      </c>
      <c r="CD54" s="137">
        <v>2.1273158968304732E-2</v>
      </c>
      <c r="CE54" s="137">
        <v>1.0980694591776358E-2</v>
      </c>
      <c r="CF54" s="137">
        <v>1.3183903137709866E-2</v>
      </c>
      <c r="CG54" s="137">
        <v>1.5268366064702435E-2</v>
      </c>
      <c r="CH54" s="137">
        <v>1.7084770461461129E-2</v>
      </c>
      <c r="CI54" s="137">
        <v>1.8604334122396426E-2</v>
      </c>
      <c r="CJ54" s="137">
        <v>1.973281050620071E-2</v>
      </c>
      <c r="CK54" s="137">
        <v>2.0492864222026771E-2</v>
      </c>
      <c r="CL54" s="137">
        <v>2.093911922759557E-2</v>
      </c>
      <c r="CM54" s="137">
        <v>2.1114583750462691E-2</v>
      </c>
      <c r="CN54" s="137">
        <v>2.1110681354186797E-2</v>
      </c>
      <c r="CO54" s="137">
        <v>1.192750367645911E-2</v>
      </c>
      <c r="CP54" s="137">
        <v>1.3974345308340904E-2</v>
      </c>
      <c r="CQ54" s="137">
        <v>1.5864944565124925E-2</v>
      </c>
      <c r="CR54" s="137">
        <v>1.7514071199904731E-2</v>
      </c>
      <c r="CS54" s="137">
        <v>1.8864789277758691E-2</v>
      </c>
      <c r="CT54" s="137">
        <v>1.9864927376915725E-2</v>
      </c>
      <c r="CU54" s="137">
        <v>2.052829165228915E-2</v>
      </c>
      <c r="CV54" s="137">
        <v>2.0882951800943191E-2</v>
      </c>
      <c r="CW54" s="137">
        <v>2.0984247193093056E-2</v>
      </c>
      <c r="CX54" s="137">
        <v>2.0909463271748838E-2</v>
      </c>
      <c r="CZ54" s="167" t="s">
        <v>275</v>
      </c>
      <c r="DA54" s="167" t="s">
        <v>265</v>
      </c>
      <c r="DB54" s="167" t="s">
        <v>275</v>
      </c>
      <c r="DC54" s="167" t="s">
        <v>275</v>
      </c>
      <c r="DD54" s="167" t="s">
        <v>319</v>
      </c>
      <c r="DT54" s="177">
        <v>4.0027397260273974</v>
      </c>
      <c r="DU54" s="65">
        <v>7.4315459270602735E-3</v>
      </c>
      <c r="DV54" s="65">
        <v>9.142623040439864E-3</v>
      </c>
    </row>
    <row r="55" spans="2:126">
      <c r="B55" s="104" t="s">
        <v>78</v>
      </c>
      <c r="C55" s="116" t="s">
        <v>25</v>
      </c>
      <c r="D55" s="116" t="s">
        <v>25</v>
      </c>
      <c r="E55" s="116" t="s">
        <v>25</v>
      </c>
      <c r="F55" s="116" t="s">
        <v>25</v>
      </c>
      <c r="G55" s="116" t="s">
        <v>25</v>
      </c>
      <c r="H55" s="116" t="s">
        <v>25</v>
      </c>
      <c r="I55" s="116" t="s">
        <v>25</v>
      </c>
      <c r="J55" s="116" t="s">
        <v>25</v>
      </c>
      <c r="K55" s="116" t="s">
        <v>25</v>
      </c>
      <c r="L55" s="116" t="s">
        <v>25</v>
      </c>
      <c r="M55" s="116" t="s">
        <v>25</v>
      </c>
      <c r="N55" s="116" t="s">
        <v>25</v>
      </c>
      <c r="O55" s="116" t="s">
        <v>25</v>
      </c>
      <c r="P55" s="116" t="s">
        <v>25</v>
      </c>
      <c r="Q55" s="116" t="s">
        <v>25</v>
      </c>
      <c r="R55" s="116" t="s">
        <v>25</v>
      </c>
      <c r="S55" s="116" t="s">
        <v>25</v>
      </c>
      <c r="T55" s="116" t="s">
        <v>25</v>
      </c>
      <c r="U55" s="116" t="s">
        <v>25</v>
      </c>
      <c r="V55" s="116" t="s">
        <v>25</v>
      </c>
      <c r="W55" s="116" t="s">
        <v>25</v>
      </c>
      <c r="X55" s="116" t="s">
        <v>25</v>
      </c>
      <c r="Y55" s="116" t="s">
        <v>25</v>
      </c>
      <c r="Z55" s="116" t="s">
        <v>25</v>
      </c>
      <c r="AA55" s="116" t="s">
        <v>25</v>
      </c>
      <c r="AB55" s="116" t="s">
        <v>25</v>
      </c>
      <c r="AC55" s="116" t="s">
        <v>25</v>
      </c>
      <c r="AD55" s="116" t="s">
        <v>25</v>
      </c>
      <c r="AE55" s="116" t="s">
        <v>25</v>
      </c>
      <c r="AF55" s="116" t="s">
        <v>25</v>
      </c>
      <c r="AG55" s="116" t="s">
        <v>25</v>
      </c>
      <c r="AH55" s="116" t="s">
        <v>25</v>
      </c>
      <c r="AI55" s="116" t="s">
        <v>25</v>
      </c>
      <c r="AJ55" s="116" t="s">
        <v>25</v>
      </c>
      <c r="AK55" s="116" t="s">
        <v>25</v>
      </c>
      <c r="AL55" s="116" t="s">
        <v>25</v>
      </c>
      <c r="AM55" s="116" t="s">
        <v>25</v>
      </c>
      <c r="AN55" s="116" t="s">
        <v>25</v>
      </c>
      <c r="AO55" s="116" t="s">
        <v>25</v>
      </c>
      <c r="AP55" s="116" t="s">
        <v>25</v>
      </c>
      <c r="AQ55" s="116" t="s">
        <v>25</v>
      </c>
      <c r="AR55" s="116" t="s">
        <v>25</v>
      </c>
      <c r="AS55" s="116" t="s">
        <v>25</v>
      </c>
      <c r="AT55" s="116" t="s">
        <v>25</v>
      </c>
      <c r="AU55" s="116" t="s">
        <v>25</v>
      </c>
      <c r="AV55" s="116" t="s">
        <v>25</v>
      </c>
      <c r="AW55" s="116" t="s">
        <v>25</v>
      </c>
      <c r="AX55" s="116" t="s">
        <v>25</v>
      </c>
      <c r="AY55" s="116" t="s">
        <v>25</v>
      </c>
      <c r="AZ55" s="116" t="s">
        <v>25</v>
      </c>
      <c r="BA55" s="116" t="s">
        <v>25</v>
      </c>
      <c r="BB55" s="116" t="s">
        <v>25</v>
      </c>
      <c r="BC55" s="116" t="s">
        <v>25</v>
      </c>
      <c r="BD55" s="116" t="s">
        <v>25</v>
      </c>
      <c r="BE55" s="116" t="s">
        <v>25</v>
      </c>
      <c r="BF55" s="116" t="s">
        <v>25</v>
      </c>
      <c r="BG55" s="116" t="s">
        <v>25</v>
      </c>
      <c r="BH55" s="116" t="s">
        <v>25</v>
      </c>
      <c r="BI55" s="116" t="s">
        <v>25</v>
      </c>
      <c r="BJ55" s="116" t="s">
        <v>25</v>
      </c>
      <c r="BK55" s="116" t="s">
        <v>25</v>
      </c>
      <c r="BL55" s="116" t="s">
        <v>25</v>
      </c>
      <c r="BM55" s="116" t="s">
        <v>25</v>
      </c>
      <c r="BN55" s="116" t="s">
        <v>25</v>
      </c>
      <c r="BO55" s="116" t="s">
        <v>25</v>
      </c>
      <c r="BP55" s="116" t="s">
        <v>25</v>
      </c>
      <c r="BQ55" s="116" t="s">
        <v>25</v>
      </c>
      <c r="BR55" s="116" t="s">
        <v>25</v>
      </c>
      <c r="BS55" s="116" t="s">
        <v>25</v>
      </c>
      <c r="BT55" s="116" t="s">
        <v>25</v>
      </c>
      <c r="BU55" s="116" t="s">
        <v>25</v>
      </c>
      <c r="BV55" s="116" t="s">
        <v>25</v>
      </c>
      <c r="BW55" s="116" t="s">
        <v>25</v>
      </c>
      <c r="BX55" s="116" t="s">
        <v>25</v>
      </c>
      <c r="BY55" s="116" t="s">
        <v>25</v>
      </c>
      <c r="BZ55" s="116" t="s">
        <v>25</v>
      </c>
      <c r="CA55" s="116" t="s">
        <v>25</v>
      </c>
      <c r="CB55" s="116" t="s">
        <v>25</v>
      </c>
      <c r="CC55" s="116" t="s">
        <v>25</v>
      </c>
      <c r="CD55" s="116" t="s">
        <v>25</v>
      </c>
      <c r="CE55" s="116" t="s">
        <v>25</v>
      </c>
      <c r="CF55" s="116" t="s">
        <v>25</v>
      </c>
      <c r="CG55" s="116" t="s">
        <v>25</v>
      </c>
      <c r="CH55" s="116" t="s">
        <v>25</v>
      </c>
      <c r="CI55" s="116" t="s">
        <v>25</v>
      </c>
      <c r="CJ55" s="116" t="s">
        <v>25</v>
      </c>
      <c r="CK55" s="116" t="s">
        <v>25</v>
      </c>
      <c r="CL55" s="116" t="s">
        <v>25</v>
      </c>
      <c r="CM55" s="116" t="s">
        <v>25</v>
      </c>
      <c r="CN55" s="116" t="s">
        <v>25</v>
      </c>
      <c r="CO55" s="116" t="s">
        <v>25</v>
      </c>
      <c r="CP55" s="116" t="s">
        <v>25</v>
      </c>
      <c r="CQ55" s="116" t="s">
        <v>25</v>
      </c>
      <c r="CR55" s="116" t="s">
        <v>25</v>
      </c>
      <c r="CS55" s="116" t="s">
        <v>25</v>
      </c>
      <c r="CT55" s="116" t="s">
        <v>25</v>
      </c>
      <c r="CU55" s="116" t="s">
        <v>25</v>
      </c>
      <c r="CV55" s="116" t="s">
        <v>25</v>
      </c>
      <c r="CW55" s="116" t="s">
        <v>25</v>
      </c>
      <c r="CX55" s="116" t="s">
        <v>25</v>
      </c>
      <c r="CZ55" s="167" t="s">
        <v>266</v>
      </c>
      <c r="DA55" s="167" t="s">
        <v>266</v>
      </c>
      <c r="DB55" s="167" t="s">
        <v>298</v>
      </c>
      <c r="DC55" s="167" t="s">
        <v>298</v>
      </c>
      <c r="DD55" s="167" t="s">
        <v>320</v>
      </c>
      <c r="DT55" s="177">
        <v>5.0054794520547947</v>
      </c>
      <c r="DU55" s="65">
        <v>7.4315459270602735E-3</v>
      </c>
      <c r="DV55" s="65">
        <v>9.142623040439864E-3</v>
      </c>
    </row>
    <row r="56" spans="2:126">
      <c r="B56" s="104" t="s">
        <v>79</v>
      </c>
      <c r="C56" s="136" t="str">
        <f t="shared" ref="C56:AH56" ca="1" si="15">C30</f>
        <v>obj_0098c#0000</v>
      </c>
      <c r="D56" s="136" t="str">
        <f t="shared" ca="1" si="15"/>
        <v>obj_00a28#0000</v>
      </c>
      <c r="E56" s="136" t="str">
        <f t="shared" ca="1" si="15"/>
        <v>obj_00984#0000</v>
      </c>
      <c r="F56" s="136" t="str">
        <f t="shared" ca="1" si="15"/>
        <v>obj_009b0#0000</v>
      </c>
      <c r="G56" s="136" t="str">
        <f t="shared" ca="1" si="15"/>
        <v>obj_009f3#0000</v>
      </c>
      <c r="H56" s="136" t="str">
        <f t="shared" ca="1" si="15"/>
        <v>obj_00a3b#0000</v>
      </c>
      <c r="I56" s="136" t="str">
        <f t="shared" ca="1" si="15"/>
        <v>obj_00991#0000</v>
      </c>
      <c r="J56" s="136" t="str">
        <f t="shared" ca="1" si="15"/>
        <v>obj_009c5#0000</v>
      </c>
      <c r="K56" s="136" t="str">
        <f t="shared" ca="1" si="15"/>
        <v>obj_00a41#0000</v>
      </c>
      <c r="L56" s="136" t="str">
        <f t="shared" ca="1" si="15"/>
        <v>obj_009b5#0000</v>
      </c>
      <c r="M56" s="136" t="str">
        <f t="shared" ca="1" si="15"/>
        <v>obj_009e5#0000</v>
      </c>
      <c r="N56" s="136" t="str">
        <f t="shared" ca="1" si="15"/>
        <v>obj_00986#0000</v>
      </c>
      <c r="O56" s="136" t="str">
        <f t="shared" ca="1" si="15"/>
        <v>obj_00a11#0000</v>
      </c>
      <c r="P56" s="136" t="str">
        <f t="shared" ca="1" si="15"/>
        <v>obj_00a46#0000</v>
      </c>
      <c r="Q56" s="136" t="str">
        <f t="shared" ca="1" si="15"/>
        <v>obj_009ae#0000</v>
      </c>
      <c r="R56" s="136" t="str">
        <f t="shared" ca="1" si="15"/>
        <v>obj_009a5#0000</v>
      </c>
      <c r="S56" s="136" t="str">
        <f t="shared" ca="1" si="15"/>
        <v>obj_009bf#0000</v>
      </c>
      <c r="T56" s="136" t="str">
        <f t="shared" ca="1" si="15"/>
        <v>obj_009c2#0000</v>
      </c>
      <c r="U56" s="136" t="str">
        <f t="shared" ca="1" si="15"/>
        <v>obj_00a06#0000</v>
      </c>
      <c r="V56" s="136" t="str">
        <f t="shared" ca="1" si="15"/>
        <v>obj_00a4a#0000</v>
      </c>
      <c r="W56" s="136" t="str">
        <f t="shared" ca="1" si="15"/>
        <v>obj_00a02#0000</v>
      </c>
      <c r="X56" s="136" t="str">
        <f t="shared" ca="1" si="15"/>
        <v>obj_009a8#0000</v>
      </c>
      <c r="Y56" s="136" t="str">
        <f t="shared" ca="1" si="15"/>
        <v>obj_00a29#0000</v>
      </c>
      <c r="Z56" s="136" t="str">
        <f t="shared" ca="1" si="15"/>
        <v>obj_00993#0000</v>
      </c>
      <c r="AA56" s="136" t="str">
        <f t="shared" ca="1" si="15"/>
        <v>obj_009ed#0000</v>
      </c>
      <c r="AB56" s="136" t="str">
        <f t="shared" ca="1" si="15"/>
        <v>obj_009e8#0000</v>
      </c>
      <c r="AC56" s="136" t="str">
        <f t="shared" ca="1" si="15"/>
        <v>obj_009a1#0000</v>
      </c>
      <c r="AD56" s="136" t="str">
        <f t="shared" ca="1" si="15"/>
        <v>obj_009b9#0000</v>
      </c>
      <c r="AE56" s="136" t="str">
        <f t="shared" ca="1" si="15"/>
        <v>obj_009a2#0000</v>
      </c>
      <c r="AF56" s="136" t="str">
        <f t="shared" ca="1" si="15"/>
        <v>obj_00a15#0000</v>
      </c>
      <c r="AG56" s="136" t="str">
        <f t="shared" ca="1" si="15"/>
        <v>obj_00a20#0000</v>
      </c>
      <c r="AH56" s="136" t="str">
        <f t="shared" ca="1" si="15"/>
        <v>obj_009d8#0000</v>
      </c>
      <c r="AI56" s="136" t="str">
        <f t="shared" ref="AI56:BN56" ca="1" si="16">AI30</f>
        <v>obj_0098d#0000</v>
      </c>
      <c r="AJ56" s="136" t="str">
        <f t="shared" ca="1" si="16"/>
        <v>obj_00a35#0000</v>
      </c>
      <c r="AK56" s="136" t="str">
        <f t="shared" ca="1" si="16"/>
        <v>obj_009dc#0000</v>
      </c>
      <c r="AL56" s="136" t="str">
        <f t="shared" ca="1" si="16"/>
        <v>obj_0099f#0000</v>
      </c>
      <c r="AM56" s="136" t="str">
        <f t="shared" ca="1" si="16"/>
        <v>obj_00a0f#0000</v>
      </c>
      <c r="AN56" s="136" t="str">
        <f t="shared" ca="1" si="16"/>
        <v>obj_00a48#0000</v>
      </c>
      <c r="AO56" s="136" t="str">
        <f t="shared" ca="1" si="16"/>
        <v>obj_009c4#0000</v>
      </c>
      <c r="AP56" s="136" t="str">
        <f t="shared" ca="1" si="16"/>
        <v>obj_009c6#0000</v>
      </c>
      <c r="AQ56" s="136" t="str">
        <f t="shared" ca="1" si="16"/>
        <v>obj_00a27#0000</v>
      </c>
      <c r="AR56" s="136" t="str">
        <f t="shared" ca="1" si="16"/>
        <v>obj_00983#0000</v>
      </c>
      <c r="AS56" s="136" t="str">
        <f t="shared" ca="1" si="16"/>
        <v>obj_00a00#0000</v>
      </c>
      <c r="AT56" s="136" t="str">
        <f t="shared" ca="1" si="16"/>
        <v>obj_00987#0000</v>
      </c>
      <c r="AU56" s="136" t="str">
        <f t="shared" ca="1" si="16"/>
        <v>obj_00a1d#0000</v>
      </c>
      <c r="AV56" s="136" t="str">
        <f t="shared" ca="1" si="16"/>
        <v>obj_009d3#0000</v>
      </c>
      <c r="AW56" s="136" t="str">
        <f t="shared" ca="1" si="16"/>
        <v>obj_009e1#0000</v>
      </c>
      <c r="AX56" s="136" t="str">
        <f t="shared" ca="1" si="16"/>
        <v>obj_009a6#0000</v>
      </c>
      <c r="AY56" s="136" t="str">
        <f t="shared" ca="1" si="16"/>
        <v>obj_009c0#0000</v>
      </c>
      <c r="AZ56" s="136" t="str">
        <f t="shared" ca="1" si="16"/>
        <v>obj_00990#0000</v>
      </c>
      <c r="BA56" s="136" t="str">
        <f t="shared" ca="1" si="16"/>
        <v>obj_00a13#0000</v>
      </c>
      <c r="BB56" s="136" t="str">
        <f t="shared" ca="1" si="16"/>
        <v>obj_00a2d#0000</v>
      </c>
      <c r="BC56" s="136" t="str">
        <f t="shared" ca="1" si="16"/>
        <v>obj_00a1b#0000</v>
      </c>
      <c r="BD56" s="136" t="str">
        <f t="shared" ca="1" si="16"/>
        <v>obj_009db#0000</v>
      </c>
      <c r="BE56" s="136" t="str">
        <f t="shared" ca="1" si="16"/>
        <v>obj_00a0d#0000</v>
      </c>
      <c r="BF56" s="136" t="str">
        <f t="shared" ca="1" si="16"/>
        <v>obj_00994#0000</v>
      </c>
      <c r="BG56" s="136" t="str">
        <f t="shared" ca="1" si="16"/>
        <v>obj_00a0c#0000</v>
      </c>
      <c r="BH56" s="136" t="str">
        <f t="shared" ca="1" si="16"/>
        <v>obj_00a22#0000</v>
      </c>
      <c r="BI56" s="136" t="str">
        <f t="shared" ca="1" si="16"/>
        <v>obj_00a04#0000</v>
      </c>
      <c r="BJ56" s="136" t="str">
        <f t="shared" ca="1" si="16"/>
        <v>obj_009ba#0000</v>
      </c>
      <c r="BK56" s="136" t="str">
        <f t="shared" ca="1" si="16"/>
        <v>obj_009d5#0000</v>
      </c>
      <c r="BL56" s="136" t="str">
        <f t="shared" ca="1" si="16"/>
        <v>obj_009b2#0000</v>
      </c>
      <c r="BM56" s="136" t="str">
        <f t="shared" ca="1" si="16"/>
        <v>obj_009d0#0000</v>
      </c>
      <c r="BN56" s="136" t="str">
        <f t="shared" ca="1" si="16"/>
        <v>obj_009d9#0000</v>
      </c>
      <c r="BO56" s="136" t="str">
        <f t="shared" ref="BO56:CX56" ca="1" si="17">BO30</f>
        <v>obj_0098e#0000</v>
      </c>
      <c r="BP56" s="136" t="str">
        <f t="shared" ca="1" si="17"/>
        <v>obj_00a42#0000</v>
      </c>
      <c r="BQ56" s="136" t="str">
        <f t="shared" ca="1" si="17"/>
        <v>obj_009aa#0000</v>
      </c>
      <c r="BR56" s="136" t="str">
        <f t="shared" ca="1" si="17"/>
        <v>obj_00a31#0000</v>
      </c>
      <c r="BS56" s="136" t="str">
        <f t="shared" ca="1" si="17"/>
        <v>obj_009f4#0000</v>
      </c>
      <c r="BT56" s="136" t="str">
        <f t="shared" ca="1" si="17"/>
        <v>obj_009fb#0000</v>
      </c>
      <c r="BU56" s="136" t="str">
        <f t="shared" ca="1" si="17"/>
        <v>obj_009b3#0000</v>
      </c>
      <c r="BV56" s="136" t="str">
        <f t="shared" ca="1" si="17"/>
        <v>obj_009c7#0000</v>
      </c>
      <c r="BW56" s="136" t="str">
        <f t="shared" ca="1" si="17"/>
        <v>obj_00a18#0000</v>
      </c>
      <c r="BX56" s="136" t="str">
        <f t="shared" ca="1" si="17"/>
        <v>obj_009b6#0000</v>
      </c>
      <c r="BY56" s="136" t="str">
        <f t="shared" ca="1" si="17"/>
        <v>obj_00992#0000</v>
      </c>
      <c r="BZ56" s="136" t="str">
        <f t="shared" ca="1" si="17"/>
        <v>obj_00988#0000</v>
      </c>
      <c r="CA56" s="136" t="str">
        <f t="shared" ca="1" si="17"/>
        <v>obj_00a4b#0000</v>
      </c>
      <c r="CB56" s="136" t="str">
        <f t="shared" ca="1" si="17"/>
        <v>obj_009f7#0000</v>
      </c>
      <c r="CC56" s="136" t="str">
        <f t="shared" ca="1" si="17"/>
        <v>obj_009fe#0000</v>
      </c>
      <c r="CD56" s="136" t="str">
        <f t="shared" ca="1" si="17"/>
        <v>obj_009a7#0000</v>
      </c>
      <c r="CE56" s="136" t="str">
        <f t="shared" ca="1" si="17"/>
        <v>obj_009c1#0000</v>
      </c>
      <c r="CF56" s="136" t="str">
        <f t="shared" ca="1" si="17"/>
        <v>obj_009c3#0000</v>
      </c>
      <c r="CG56" s="136" t="str">
        <f t="shared" ca="1" si="17"/>
        <v>obj_00a1f#0000</v>
      </c>
      <c r="CH56" s="136" t="str">
        <f t="shared" ca="1" si="17"/>
        <v>obj_00a39#0000</v>
      </c>
      <c r="CI56" s="136" t="str">
        <f t="shared" ca="1" si="17"/>
        <v>obj_00a2c#0000</v>
      </c>
      <c r="CJ56" s="136" t="str">
        <f t="shared" ca="1" si="17"/>
        <v>obj_009a9#0000</v>
      </c>
      <c r="CK56" s="136" t="str">
        <f t="shared" ca="1" si="17"/>
        <v>obj_00a19#0000</v>
      </c>
      <c r="CL56" s="136" t="str">
        <f t="shared" ca="1" si="17"/>
        <v>obj_00995#0000</v>
      </c>
      <c r="CM56" s="136" t="str">
        <f t="shared" ca="1" si="17"/>
        <v>obj_009ee#0000</v>
      </c>
      <c r="CN56" s="136" t="str">
        <f t="shared" ca="1" si="17"/>
        <v>obj_00a32#0000</v>
      </c>
      <c r="CO56" s="136" t="str">
        <f t="shared" ca="1" si="17"/>
        <v>obj_009d4#0000</v>
      </c>
      <c r="CP56" s="136" t="str">
        <f t="shared" ca="1" si="17"/>
        <v>obj_009bb#0000</v>
      </c>
      <c r="CQ56" s="136" t="str">
        <f t="shared" ca="1" si="17"/>
        <v>obj_009e7#0000</v>
      </c>
      <c r="CR56" s="136" t="str">
        <f t="shared" ca="1" si="17"/>
        <v>obj_00a21#0000</v>
      </c>
      <c r="CS56" s="136" t="str">
        <f t="shared" ca="1" si="17"/>
        <v>obj_009af#0000</v>
      </c>
      <c r="CT56" s="136" t="str">
        <f t="shared" ca="1" si="17"/>
        <v>obj_009da#0000</v>
      </c>
      <c r="CU56" s="136" t="str">
        <f t="shared" ca="1" si="17"/>
        <v>obj_0098f#0000</v>
      </c>
      <c r="CV56" s="136" t="str">
        <f t="shared" ca="1" si="17"/>
        <v>obj_009ef#0000</v>
      </c>
      <c r="CW56" s="136" t="str">
        <f t="shared" ca="1" si="17"/>
        <v>obj_009dd#0000</v>
      </c>
      <c r="CX56" s="136" t="str">
        <f t="shared" ca="1" si="17"/>
        <v>obj_009a0#0000</v>
      </c>
      <c r="CZ56" s="167" t="s">
        <v>276</v>
      </c>
      <c r="DA56" s="168" t="s">
        <v>267</v>
      </c>
      <c r="DB56" s="167" t="s">
        <v>299</v>
      </c>
      <c r="DC56" s="167" t="s">
        <v>299</v>
      </c>
      <c r="DD56" s="167" t="s">
        <v>321</v>
      </c>
      <c r="DT56" s="177">
        <v>5.0054794520547947</v>
      </c>
      <c r="DU56" s="65">
        <v>7.2669214865091385E-3</v>
      </c>
      <c r="DV56" s="65">
        <v>8.946600754218173E-3</v>
      </c>
    </row>
    <row r="57" spans="2:126">
      <c r="B57" s="104" t="s">
        <v>80</v>
      </c>
      <c r="C57" s="136" t="str">
        <f ca="1">Curve!$S$127</f>
        <v>6M-Euribor#0000</v>
      </c>
      <c r="D57" s="136" t="str">
        <f ca="1">Curve!$S$127</f>
        <v>6M-Euribor#0000</v>
      </c>
      <c r="E57" s="136" t="str">
        <f ca="1">Curve!$S$127</f>
        <v>6M-Euribor#0000</v>
      </c>
      <c r="F57" s="136" t="str">
        <f ca="1">Curve!$S$127</f>
        <v>6M-Euribor#0000</v>
      </c>
      <c r="G57" s="136" t="str">
        <f ca="1">Curve!$S$127</f>
        <v>6M-Euribor#0000</v>
      </c>
      <c r="H57" s="136" t="str">
        <f ca="1">Curve!$S$127</f>
        <v>6M-Euribor#0000</v>
      </c>
      <c r="I57" s="136" t="str">
        <f ca="1">Curve!$S$127</f>
        <v>6M-Euribor#0000</v>
      </c>
      <c r="J57" s="136" t="str">
        <f ca="1">Curve!$S$127</f>
        <v>6M-Euribor#0000</v>
      </c>
      <c r="K57" s="136" t="str">
        <f ca="1">Curve!$S$127</f>
        <v>6M-Euribor#0000</v>
      </c>
      <c r="L57" s="136" t="str">
        <f ca="1">Curve!$S$127</f>
        <v>6M-Euribor#0000</v>
      </c>
      <c r="M57" s="136" t="str">
        <f ca="1">Curve!$S$127</f>
        <v>6M-Euribor#0000</v>
      </c>
      <c r="N57" s="136" t="str">
        <f ca="1">Curve!$S$127</f>
        <v>6M-Euribor#0000</v>
      </c>
      <c r="O57" s="136" t="str">
        <f ca="1">Curve!$S$127</f>
        <v>6M-Euribor#0000</v>
      </c>
      <c r="P57" s="136" t="str">
        <f ca="1">Curve!$S$127</f>
        <v>6M-Euribor#0000</v>
      </c>
      <c r="Q57" s="136" t="str">
        <f ca="1">Curve!$S$127</f>
        <v>6M-Euribor#0000</v>
      </c>
      <c r="R57" s="136" t="str">
        <f ca="1">Curve!$S$127</f>
        <v>6M-Euribor#0000</v>
      </c>
      <c r="S57" s="136" t="str">
        <f ca="1">Curve!$S$127</f>
        <v>6M-Euribor#0000</v>
      </c>
      <c r="T57" s="136" t="str">
        <f ca="1">Curve!$S$127</f>
        <v>6M-Euribor#0000</v>
      </c>
      <c r="U57" s="136" t="str">
        <f ca="1">Curve!$S$127</f>
        <v>6M-Euribor#0000</v>
      </c>
      <c r="V57" s="136" t="str">
        <f ca="1">Curve!$S$127</f>
        <v>6M-Euribor#0000</v>
      </c>
      <c r="W57" s="136" t="str">
        <f ca="1">Curve!$S$127</f>
        <v>6M-Euribor#0000</v>
      </c>
      <c r="X57" s="136" t="str">
        <f ca="1">Curve!$S$127</f>
        <v>6M-Euribor#0000</v>
      </c>
      <c r="Y57" s="136" t="str">
        <f ca="1">Curve!$S$127</f>
        <v>6M-Euribor#0000</v>
      </c>
      <c r="Z57" s="136" t="str">
        <f ca="1">Curve!$S$127</f>
        <v>6M-Euribor#0000</v>
      </c>
      <c r="AA57" s="136" t="str">
        <f ca="1">Curve!$S$127</f>
        <v>6M-Euribor#0000</v>
      </c>
      <c r="AB57" s="136" t="str">
        <f ca="1">Curve!$S$127</f>
        <v>6M-Euribor#0000</v>
      </c>
      <c r="AC57" s="136" t="str">
        <f ca="1">Curve!$S$127</f>
        <v>6M-Euribor#0000</v>
      </c>
      <c r="AD57" s="136" t="str">
        <f ca="1">Curve!$S$127</f>
        <v>6M-Euribor#0000</v>
      </c>
      <c r="AE57" s="136" t="str">
        <f ca="1">Curve!$S$127</f>
        <v>6M-Euribor#0000</v>
      </c>
      <c r="AF57" s="136" t="str">
        <f ca="1">Curve!$S$127</f>
        <v>6M-Euribor#0000</v>
      </c>
      <c r="AG57" s="136" t="str">
        <f ca="1">Curve!$S$127</f>
        <v>6M-Euribor#0000</v>
      </c>
      <c r="AH57" s="136" t="str">
        <f ca="1">Curve!$S$127</f>
        <v>6M-Euribor#0000</v>
      </c>
      <c r="AI57" s="136" t="str">
        <f ca="1">Curve!$S$127</f>
        <v>6M-Euribor#0000</v>
      </c>
      <c r="AJ57" s="136" t="str">
        <f ca="1">Curve!$S$127</f>
        <v>6M-Euribor#0000</v>
      </c>
      <c r="AK57" s="136" t="str">
        <f ca="1">Curve!$S$127</f>
        <v>6M-Euribor#0000</v>
      </c>
      <c r="AL57" s="136" t="str">
        <f ca="1">Curve!$S$127</f>
        <v>6M-Euribor#0000</v>
      </c>
      <c r="AM57" s="136" t="str">
        <f ca="1">Curve!$S$127</f>
        <v>6M-Euribor#0000</v>
      </c>
      <c r="AN57" s="136" t="str">
        <f ca="1">Curve!$S$127</f>
        <v>6M-Euribor#0000</v>
      </c>
      <c r="AO57" s="136" t="str">
        <f ca="1">Curve!$S$127</f>
        <v>6M-Euribor#0000</v>
      </c>
      <c r="AP57" s="136" t="str">
        <f ca="1">Curve!$S$127</f>
        <v>6M-Euribor#0000</v>
      </c>
      <c r="AQ57" s="136" t="str">
        <f ca="1">Curve!$S$127</f>
        <v>6M-Euribor#0000</v>
      </c>
      <c r="AR57" s="136" t="str">
        <f ca="1">Curve!$S$127</f>
        <v>6M-Euribor#0000</v>
      </c>
      <c r="AS57" s="136" t="str">
        <f ca="1">Curve!$S$127</f>
        <v>6M-Euribor#0000</v>
      </c>
      <c r="AT57" s="136" t="str">
        <f ca="1">Curve!$S$127</f>
        <v>6M-Euribor#0000</v>
      </c>
      <c r="AU57" s="136" t="str">
        <f ca="1">Curve!$S$127</f>
        <v>6M-Euribor#0000</v>
      </c>
      <c r="AV57" s="136" t="str">
        <f ca="1">Curve!$S$127</f>
        <v>6M-Euribor#0000</v>
      </c>
      <c r="AW57" s="136" t="str">
        <f ca="1">Curve!$S$127</f>
        <v>6M-Euribor#0000</v>
      </c>
      <c r="AX57" s="136" t="str">
        <f ca="1">Curve!$S$127</f>
        <v>6M-Euribor#0000</v>
      </c>
      <c r="AY57" s="136" t="str">
        <f ca="1">Curve!$S$127</f>
        <v>6M-Euribor#0000</v>
      </c>
      <c r="AZ57" s="136" t="str">
        <f ca="1">Curve!$S$127</f>
        <v>6M-Euribor#0000</v>
      </c>
      <c r="BA57" s="136" t="str">
        <f ca="1">Curve!$S$127</f>
        <v>6M-Euribor#0000</v>
      </c>
      <c r="BB57" s="136" t="str">
        <f ca="1">Curve!$S$127</f>
        <v>6M-Euribor#0000</v>
      </c>
      <c r="BC57" s="136" t="str">
        <f ca="1">Curve!$S$127</f>
        <v>6M-Euribor#0000</v>
      </c>
      <c r="BD57" s="136" t="str">
        <f ca="1">Curve!$S$127</f>
        <v>6M-Euribor#0000</v>
      </c>
      <c r="BE57" s="136" t="str">
        <f ca="1">Curve!$S$127</f>
        <v>6M-Euribor#0000</v>
      </c>
      <c r="BF57" s="136" t="str">
        <f ca="1">Curve!$S$127</f>
        <v>6M-Euribor#0000</v>
      </c>
      <c r="BG57" s="136" t="str">
        <f ca="1">Curve!$S$127</f>
        <v>6M-Euribor#0000</v>
      </c>
      <c r="BH57" s="136" t="str">
        <f ca="1">Curve!$S$127</f>
        <v>6M-Euribor#0000</v>
      </c>
      <c r="BI57" s="136" t="str">
        <f ca="1">Curve!$S$127</f>
        <v>6M-Euribor#0000</v>
      </c>
      <c r="BJ57" s="136" t="str">
        <f ca="1">Curve!$S$127</f>
        <v>6M-Euribor#0000</v>
      </c>
      <c r="BK57" s="136" t="str">
        <f ca="1">Curve!$S$127</f>
        <v>6M-Euribor#0000</v>
      </c>
      <c r="BL57" s="136" t="str">
        <f ca="1">Curve!$S$127</f>
        <v>6M-Euribor#0000</v>
      </c>
      <c r="BM57" s="136" t="str">
        <f ca="1">Curve!$S$127</f>
        <v>6M-Euribor#0000</v>
      </c>
      <c r="BN57" s="136" t="str">
        <f ca="1">Curve!$S$127</f>
        <v>6M-Euribor#0000</v>
      </c>
      <c r="BO57" s="136" t="str">
        <f ca="1">Curve!$S$127</f>
        <v>6M-Euribor#0000</v>
      </c>
      <c r="BP57" s="136" t="str">
        <f ca="1">Curve!$S$127</f>
        <v>6M-Euribor#0000</v>
      </c>
      <c r="BQ57" s="136" t="str">
        <f ca="1">Curve!$S$127</f>
        <v>6M-Euribor#0000</v>
      </c>
      <c r="BR57" s="136" t="str">
        <f ca="1">Curve!$S$127</f>
        <v>6M-Euribor#0000</v>
      </c>
      <c r="BS57" s="136" t="str">
        <f ca="1">Curve!$S$127</f>
        <v>6M-Euribor#0000</v>
      </c>
      <c r="BT57" s="136" t="str">
        <f ca="1">Curve!$S$127</f>
        <v>6M-Euribor#0000</v>
      </c>
      <c r="BU57" s="136" t="str">
        <f ca="1">Curve!$S$127</f>
        <v>6M-Euribor#0000</v>
      </c>
      <c r="BV57" s="136" t="str">
        <f ca="1">Curve!$S$127</f>
        <v>6M-Euribor#0000</v>
      </c>
      <c r="BW57" s="136" t="str">
        <f ca="1">Curve!$S$127</f>
        <v>6M-Euribor#0000</v>
      </c>
      <c r="BX57" s="136" t="str">
        <f ca="1">Curve!$S$127</f>
        <v>6M-Euribor#0000</v>
      </c>
      <c r="BY57" s="136" t="str">
        <f ca="1">Curve!$S$127</f>
        <v>6M-Euribor#0000</v>
      </c>
      <c r="BZ57" s="136" t="str">
        <f ca="1">Curve!$S$127</f>
        <v>6M-Euribor#0000</v>
      </c>
      <c r="CA57" s="136" t="str">
        <f ca="1">Curve!$S$127</f>
        <v>6M-Euribor#0000</v>
      </c>
      <c r="CB57" s="136" t="str">
        <f ca="1">Curve!$S$127</f>
        <v>6M-Euribor#0000</v>
      </c>
      <c r="CC57" s="136" t="str">
        <f ca="1">Curve!$S$127</f>
        <v>6M-Euribor#0000</v>
      </c>
      <c r="CD57" s="136" t="str">
        <f ca="1">Curve!$S$127</f>
        <v>6M-Euribor#0000</v>
      </c>
      <c r="CE57" s="136" t="str">
        <f ca="1">Curve!$S$127</f>
        <v>6M-Euribor#0000</v>
      </c>
      <c r="CF57" s="136" t="str">
        <f ca="1">Curve!$S$127</f>
        <v>6M-Euribor#0000</v>
      </c>
      <c r="CG57" s="136" t="str">
        <f ca="1">Curve!$S$127</f>
        <v>6M-Euribor#0000</v>
      </c>
      <c r="CH57" s="136" t="str">
        <f ca="1">Curve!$S$127</f>
        <v>6M-Euribor#0000</v>
      </c>
      <c r="CI57" s="136" t="str">
        <f ca="1">Curve!$S$127</f>
        <v>6M-Euribor#0000</v>
      </c>
      <c r="CJ57" s="136" t="str">
        <f ca="1">Curve!$S$127</f>
        <v>6M-Euribor#0000</v>
      </c>
      <c r="CK57" s="136" t="str">
        <f ca="1">Curve!$S$127</f>
        <v>6M-Euribor#0000</v>
      </c>
      <c r="CL57" s="136" t="str">
        <f ca="1">Curve!$S$127</f>
        <v>6M-Euribor#0000</v>
      </c>
      <c r="CM57" s="136" t="str">
        <f ca="1">Curve!$S$127</f>
        <v>6M-Euribor#0000</v>
      </c>
      <c r="CN57" s="136" t="str">
        <f ca="1">Curve!$S$127</f>
        <v>6M-Euribor#0000</v>
      </c>
      <c r="CO57" s="136" t="str">
        <f ca="1">Curve!$S$127</f>
        <v>6M-Euribor#0000</v>
      </c>
      <c r="CP57" s="136" t="str">
        <f ca="1">Curve!$S$127</f>
        <v>6M-Euribor#0000</v>
      </c>
      <c r="CQ57" s="136" t="str">
        <f ca="1">Curve!$S$127</f>
        <v>6M-Euribor#0000</v>
      </c>
      <c r="CR57" s="136" t="str">
        <f ca="1">Curve!$S$127</f>
        <v>6M-Euribor#0000</v>
      </c>
      <c r="CS57" s="136" t="str">
        <f ca="1">Curve!$S$127</f>
        <v>6M-Euribor#0000</v>
      </c>
      <c r="CT57" s="136" t="str">
        <f ca="1">Curve!$S$127</f>
        <v>6M-Euribor#0000</v>
      </c>
      <c r="CU57" s="136" t="str">
        <f ca="1">Curve!$S$127</f>
        <v>6M-Euribor#0000</v>
      </c>
      <c r="CV57" s="136" t="str">
        <f ca="1">Curve!$S$127</f>
        <v>6M-Euribor#0000</v>
      </c>
      <c r="CW57" s="136" t="str">
        <f ca="1">Curve!$S$127</f>
        <v>6M-Euribor#0000</v>
      </c>
      <c r="CX57" s="136" t="str">
        <f ca="1">Curve!$S$127</f>
        <v>6M-Euribor#0000</v>
      </c>
      <c r="CZ57" s="167" t="s">
        <v>277</v>
      </c>
      <c r="DA57" s="167" t="s">
        <v>268</v>
      </c>
      <c r="DB57" s="167" t="s">
        <v>300</v>
      </c>
      <c r="DC57" s="167" t="s">
        <v>300</v>
      </c>
      <c r="DD57" s="167" t="s">
        <v>322</v>
      </c>
      <c r="DT57" s="177">
        <v>6.0109589041095894</v>
      </c>
      <c r="DU57" s="65">
        <v>7.2669214865091385E-3</v>
      </c>
      <c r="DV57" s="65">
        <v>8.946600754218173E-3</v>
      </c>
    </row>
    <row r="58" spans="2:126">
      <c r="B58" s="104" t="s">
        <v>81</v>
      </c>
      <c r="C58" s="137">
        <v>0</v>
      </c>
      <c r="D58" s="137">
        <v>0</v>
      </c>
      <c r="E58" s="137">
        <v>0</v>
      </c>
      <c r="F58" s="137">
        <v>0</v>
      </c>
      <c r="G58" s="137">
        <v>0</v>
      </c>
      <c r="H58" s="137">
        <v>0</v>
      </c>
      <c r="I58" s="137">
        <v>0</v>
      </c>
      <c r="J58" s="137">
        <v>0</v>
      </c>
      <c r="K58" s="137">
        <v>0</v>
      </c>
      <c r="L58" s="137">
        <v>0</v>
      </c>
      <c r="M58" s="137">
        <v>0</v>
      </c>
      <c r="N58" s="137">
        <v>0</v>
      </c>
      <c r="O58" s="137">
        <v>0</v>
      </c>
      <c r="P58" s="137">
        <v>0</v>
      </c>
      <c r="Q58" s="137">
        <v>0</v>
      </c>
      <c r="R58" s="137">
        <v>0</v>
      </c>
      <c r="S58" s="137">
        <v>0</v>
      </c>
      <c r="T58" s="137">
        <v>0</v>
      </c>
      <c r="U58" s="137">
        <v>0</v>
      </c>
      <c r="V58" s="137">
        <v>0</v>
      </c>
      <c r="W58" s="137">
        <v>0</v>
      </c>
      <c r="X58" s="137">
        <v>0</v>
      </c>
      <c r="Y58" s="137">
        <v>0</v>
      </c>
      <c r="Z58" s="137">
        <v>0</v>
      </c>
      <c r="AA58" s="137">
        <v>0</v>
      </c>
      <c r="AB58" s="137">
        <v>0</v>
      </c>
      <c r="AC58" s="137">
        <v>0</v>
      </c>
      <c r="AD58" s="137">
        <v>0</v>
      </c>
      <c r="AE58" s="137">
        <v>0</v>
      </c>
      <c r="AF58" s="137">
        <v>0</v>
      </c>
      <c r="AG58" s="137">
        <v>0</v>
      </c>
      <c r="AH58" s="137">
        <v>0</v>
      </c>
      <c r="AI58" s="137">
        <v>0</v>
      </c>
      <c r="AJ58" s="137">
        <v>0</v>
      </c>
      <c r="AK58" s="137">
        <v>0</v>
      </c>
      <c r="AL58" s="137">
        <v>0</v>
      </c>
      <c r="AM58" s="137">
        <v>0</v>
      </c>
      <c r="AN58" s="137">
        <v>0</v>
      </c>
      <c r="AO58" s="137">
        <v>0</v>
      </c>
      <c r="AP58" s="137">
        <v>0</v>
      </c>
      <c r="AQ58" s="137">
        <v>0</v>
      </c>
      <c r="AR58" s="137">
        <v>0</v>
      </c>
      <c r="AS58" s="137">
        <v>0</v>
      </c>
      <c r="AT58" s="137">
        <v>0</v>
      </c>
      <c r="AU58" s="137">
        <v>0</v>
      </c>
      <c r="AV58" s="137">
        <v>0</v>
      </c>
      <c r="AW58" s="137">
        <v>0</v>
      </c>
      <c r="AX58" s="137">
        <v>0</v>
      </c>
      <c r="AY58" s="137">
        <v>0</v>
      </c>
      <c r="AZ58" s="137">
        <v>0</v>
      </c>
      <c r="BA58" s="137">
        <v>0</v>
      </c>
      <c r="BB58" s="137">
        <v>0</v>
      </c>
      <c r="BC58" s="137">
        <v>0</v>
      </c>
      <c r="BD58" s="137">
        <v>0</v>
      </c>
      <c r="BE58" s="137">
        <v>0</v>
      </c>
      <c r="BF58" s="137">
        <v>0</v>
      </c>
      <c r="BG58" s="137">
        <v>0</v>
      </c>
      <c r="BH58" s="137">
        <v>0</v>
      </c>
      <c r="BI58" s="137">
        <v>0</v>
      </c>
      <c r="BJ58" s="137">
        <v>0</v>
      </c>
      <c r="BK58" s="137">
        <v>0</v>
      </c>
      <c r="BL58" s="137">
        <v>0</v>
      </c>
      <c r="BM58" s="137">
        <v>0</v>
      </c>
      <c r="BN58" s="137">
        <v>0</v>
      </c>
      <c r="BO58" s="137">
        <v>0</v>
      </c>
      <c r="BP58" s="137">
        <v>0</v>
      </c>
      <c r="BQ58" s="137">
        <v>0</v>
      </c>
      <c r="BR58" s="137">
        <v>0</v>
      </c>
      <c r="BS58" s="137">
        <v>0</v>
      </c>
      <c r="BT58" s="137">
        <v>0</v>
      </c>
      <c r="BU58" s="137">
        <v>0</v>
      </c>
      <c r="BV58" s="137">
        <v>0</v>
      </c>
      <c r="BW58" s="137">
        <v>0</v>
      </c>
      <c r="BX58" s="137">
        <v>0</v>
      </c>
      <c r="BY58" s="137">
        <v>0</v>
      </c>
      <c r="BZ58" s="137">
        <v>0</v>
      </c>
      <c r="CA58" s="137">
        <v>0</v>
      </c>
      <c r="CB58" s="137">
        <v>0</v>
      </c>
      <c r="CC58" s="137">
        <v>0</v>
      </c>
      <c r="CD58" s="137">
        <v>0</v>
      </c>
      <c r="CE58" s="137">
        <v>0</v>
      </c>
      <c r="CF58" s="137">
        <v>0</v>
      </c>
      <c r="CG58" s="137">
        <v>0</v>
      </c>
      <c r="CH58" s="137">
        <v>0</v>
      </c>
      <c r="CI58" s="137">
        <v>0</v>
      </c>
      <c r="CJ58" s="137">
        <v>0</v>
      </c>
      <c r="CK58" s="137">
        <v>0</v>
      </c>
      <c r="CL58" s="137">
        <v>0</v>
      </c>
      <c r="CM58" s="137">
        <v>0</v>
      </c>
      <c r="CN58" s="137">
        <v>0</v>
      </c>
      <c r="CO58" s="137">
        <v>0</v>
      </c>
      <c r="CP58" s="137">
        <v>0</v>
      </c>
      <c r="CQ58" s="137">
        <v>0</v>
      </c>
      <c r="CR58" s="137">
        <v>0</v>
      </c>
      <c r="CS58" s="137">
        <v>0</v>
      </c>
      <c r="CT58" s="137">
        <v>0</v>
      </c>
      <c r="CU58" s="137">
        <v>0</v>
      </c>
      <c r="CV58" s="137">
        <v>0</v>
      </c>
      <c r="CW58" s="137">
        <v>0</v>
      </c>
      <c r="CX58" s="137">
        <v>0</v>
      </c>
      <c r="CZ58" s="167" t="s">
        <v>278</v>
      </c>
      <c r="DA58" s="167" t="s">
        <v>269</v>
      </c>
      <c r="DB58" s="167" t="s">
        <v>301</v>
      </c>
      <c r="DC58" s="167" t="s">
        <v>301</v>
      </c>
      <c r="DD58" s="167" t="s">
        <v>323</v>
      </c>
      <c r="DT58" s="177">
        <v>6.0109589041095894</v>
      </c>
      <c r="DU58" s="65">
        <v>8.1003430551925461E-3</v>
      </c>
      <c r="DV58" s="65">
        <v>9.7391676948010014E-3</v>
      </c>
    </row>
    <row r="59" spans="2:126">
      <c r="B59" s="104" t="s">
        <v>82</v>
      </c>
      <c r="C59" s="116" t="s">
        <v>22</v>
      </c>
      <c r="D59" s="116" t="s">
        <v>22</v>
      </c>
      <c r="E59" s="116" t="s">
        <v>22</v>
      </c>
      <c r="F59" s="116" t="s">
        <v>22</v>
      </c>
      <c r="G59" s="116" t="s">
        <v>22</v>
      </c>
      <c r="H59" s="116" t="s">
        <v>22</v>
      </c>
      <c r="I59" s="116" t="s">
        <v>22</v>
      </c>
      <c r="J59" s="116" t="s">
        <v>22</v>
      </c>
      <c r="K59" s="116" t="s">
        <v>22</v>
      </c>
      <c r="L59" s="116" t="s">
        <v>22</v>
      </c>
      <c r="M59" s="116" t="s">
        <v>22</v>
      </c>
      <c r="N59" s="116" t="s">
        <v>22</v>
      </c>
      <c r="O59" s="116" t="s">
        <v>22</v>
      </c>
      <c r="P59" s="116" t="s">
        <v>22</v>
      </c>
      <c r="Q59" s="116" t="s">
        <v>22</v>
      </c>
      <c r="R59" s="116" t="s">
        <v>22</v>
      </c>
      <c r="S59" s="116" t="s">
        <v>22</v>
      </c>
      <c r="T59" s="116" t="s">
        <v>22</v>
      </c>
      <c r="U59" s="116" t="s">
        <v>22</v>
      </c>
      <c r="V59" s="116" t="s">
        <v>22</v>
      </c>
      <c r="W59" s="116" t="s">
        <v>22</v>
      </c>
      <c r="X59" s="116" t="s">
        <v>22</v>
      </c>
      <c r="Y59" s="116" t="s">
        <v>22</v>
      </c>
      <c r="Z59" s="116" t="s">
        <v>22</v>
      </c>
      <c r="AA59" s="116" t="s">
        <v>22</v>
      </c>
      <c r="AB59" s="116" t="s">
        <v>22</v>
      </c>
      <c r="AC59" s="116" t="s">
        <v>22</v>
      </c>
      <c r="AD59" s="116" t="s">
        <v>22</v>
      </c>
      <c r="AE59" s="116" t="s">
        <v>22</v>
      </c>
      <c r="AF59" s="116" t="s">
        <v>22</v>
      </c>
      <c r="AG59" s="116" t="s">
        <v>22</v>
      </c>
      <c r="AH59" s="116" t="s">
        <v>22</v>
      </c>
      <c r="AI59" s="116" t="s">
        <v>22</v>
      </c>
      <c r="AJ59" s="116" t="s">
        <v>22</v>
      </c>
      <c r="AK59" s="116" t="s">
        <v>22</v>
      </c>
      <c r="AL59" s="116" t="s">
        <v>22</v>
      </c>
      <c r="AM59" s="116" t="s">
        <v>22</v>
      </c>
      <c r="AN59" s="116" t="s">
        <v>22</v>
      </c>
      <c r="AO59" s="116" t="s">
        <v>22</v>
      </c>
      <c r="AP59" s="116" t="s">
        <v>22</v>
      </c>
      <c r="AQ59" s="116" t="s">
        <v>22</v>
      </c>
      <c r="AR59" s="116" t="s">
        <v>22</v>
      </c>
      <c r="AS59" s="116" t="s">
        <v>22</v>
      </c>
      <c r="AT59" s="116" t="s">
        <v>22</v>
      </c>
      <c r="AU59" s="116" t="s">
        <v>22</v>
      </c>
      <c r="AV59" s="116" t="s">
        <v>22</v>
      </c>
      <c r="AW59" s="116" t="s">
        <v>22</v>
      </c>
      <c r="AX59" s="116" t="s">
        <v>22</v>
      </c>
      <c r="AY59" s="116" t="s">
        <v>22</v>
      </c>
      <c r="AZ59" s="116" t="s">
        <v>22</v>
      </c>
      <c r="BA59" s="116" t="s">
        <v>22</v>
      </c>
      <c r="BB59" s="116" t="s">
        <v>22</v>
      </c>
      <c r="BC59" s="116" t="s">
        <v>22</v>
      </c>
      <c r="BD59" s="116" t="s">
        <v>22</v>
      </c>
      <c r="BE59" s="116" t="s">
        <v>22</v>
      </c>
      <c r="BF59" s="116" t="s">
        <v>22</v>
      </c>
      <c r="BG59" s="116" t="s">
        <v>22</v>
      </c>
      <c r="BH59" s="116" t="s">
        <v>22</v>
      </c>
      <c r="BI59" s="116" t="s">
        <v>22</v>
      </c>
      <c r="BJ59" s="116" t="s">
        <v>22</v>
      </c>
      <c r="BK59" s="116" t="s">
        <v>22</v>
      </c>
      <c r="BL59" s="116" t="s">
        <v>22</v>
      </c>
      <c r="BM59" s="116" t="s">
        <v>22</v>
      </c>
      <c r="BN59" s="116" t="s">
        <v>22</v>
      </c>
      <c r="BO59" s="116" t="s">
        <v>22</v>
      </c>
      <c r="BP59" s="116" t="s">
        <v>22</v>
      </c>
      <c r="BQ59" s="116" t="s">
        <v>22</v>
      </c>
      <c r="BR59" s="116" t="s">
        <v>22</v>
      </c>
      <c r="BS59" s="116" t="s">
        <v>22</v>
      </c>
      <c r="BT59" s="116" t="s">
        <v>22</v>
      </c>
      <c r="BU59" s="116" t="s">
        <v>22</v>
      </c>
      <c r="BV59" s="116" t="s">
        <v>22</v>
      </c>
      <c r="BW59" s="116" t="s">
        <v>22</v>
      </c>
      <c r="BX59" s="116" t="s">
        <v>22</v>
      </c>
      <c r="BY59" s="116" t="s">
        <v>22</v>
      </c>
      <c r="BZ59" s="116" t="s">
        <v>22</v>
      </c>
      <c r="CA59" s="116" t="s">
        <v>22</v>
      </c>
      <c r="CB59" s="116" t="s">
        <v>22</v>
      </c>
      <c r="CC59" s="116" t="s">
        <v>22</v>
      </c>
      <c r="CD59" s="116" t="s">
        <v>22</v>
      </c>
      <c r="CE59" s="116" t="s">
        <v>22</v>
      </c>
      <c r="CF59" s="116" t="s">
        <v>22</v>
      </c>
      <c r="CG59" s="116" t="s">
        <v>22</v>
      </c>
      <c r="CH59" s="116" t="s">
        <v>22</v>
      </c>
      <c r="CI59" s="116" t="s">
        <v>22</v>
      </c>
      <c r="CJ59" s="116" t="s">
        <v>22</v>
      </c>
      <c r="CK59" s="116" t="s">
        <v>22</v>
      </c>
      <c r="CL59" s="116" t="s">
        <v>22</v>
      </c>
      <c r="CM59" s="116" t="s">
        <v>22</v>
      </c>
      <c r="CN59" s="116" t="s">
        <v>22</v>
      </c>
      <c r="CO59" s="116" t="s">
        <v>22</v>
      </c>
      <c r="CP59" s="116" t="s">
        <v>22</v>
      </c>
      <c r="CQ59" s="116" t="s">
        <v>22</v>
      </c>
      <c r="CR59" s="116" t="s">
        <v>22</v>
      </c>
      <c r="CS59" s="116" t="s">
        <v>22</v>
      </c>
      <c r="CT59" s="116" t="s">
        <v>22</v>
      </c>
      <c r="CU59" s="116" t="s">
        <v>22</v>
      </c>
      <c r="CV59" s="116" t="s">
        <v>22</v>
      </c>
      <c r="CW59" s="116" t="s">
        <v>22</v>
      </c>
      <c r="CX59" s="116" t="s">
        <v>22</v>
      </c>
      <c r="CZ59" s="169" t="s">
        <v>279</v>
      </c>
      <c r="DA59" s="169" t="s">
        <v>270</v>
      </c>
      <c r="DB59" s="169" t="s">
        <v>302</v>
      </c>
      <c r="DC59" s="169" t="s">
        <v>302</v>
      </c>
      <c r="DD59" s="169" t="s">
        <v>302</v>
      </c>
      <c r="DT59" s="177">
        <v>7.0082191780821921</v>
      </c>
      <c r="DU59" s="65">
        <v>8.1003430551925461E-3</v>
      </c>
      <c r="DV59" s="65">
        <v>9.7391676948010014E-3</v>
      </c>
    </row>
    <row r="60" spans="2:126">
      <c r="B60" s="104" t="s">
        <v>30</v>
      </c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DT60" s="177">
        <v>7.0082191780821921</v>
      </c>
      <c r="DU60" s="65">
        <v>7.9167872687981224E-3</v>
      </c>
      <c r="DV60" s="65">
        <v>9.5162607063963966E-3</v>
      </c>
    </row>
    <row r="61" spans="2:126" ht="13.5" thickBot="1">
      <c r="B61" s="107" t="s">
        <v>32</v>
      </c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R61" s="127"/>
      <c r="AS61" s="127"/>
      <c r="AT61" s="127"/>
      <c r="AU61" s="127"/>
      <c r="AV61" s="127"/>
      <c r="AW61" s="127"/>
      <c r="AX61" s="127"/>
      <c r="AY61" s="127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  <c r="BN61" s="127"/>
      <c r="BO61" s="127"/>
      <c r="BP61" s="127"/>
      <c r="BQ61" s="127"/>
      <c r="BR61" s="127"/>
      <c r="BS61" s="127"/>
      <c r="BT61" s="127"/>
      <c r="BU61" s="127"/>
      <c r="BV61" s="127"/>
      <c r="BW61" s="127"/>
      <c r="BX61" s="127"/>
      <c r="BY61" s="127"/>
      <c r="BZ61" s="127"/>
      <c r="CA61" s="127"/>
      <c r="CB61" s="127"/>
      <c r="CC61" s="127"/>
      <c r="CD61" s="127"/>
      <c r="CE61" s="127"/>
      <c r="CF61" s="127"/>
      <c r="CG61" s="127"/>
      <c r="CH61" s="127"/>
      <c r="CI61" s="127"/>
      <c r="CJ61" s="127"/>
      <c r="CK61" s="127"/>
      <c r="CL61" s="127"/>
      <c r="CM61" s="127"/>
      <c r="CN61" s="127"/>
      <c r="CO61" s="127"/>
      <c r="CP61" s="127"/>
      <c r="CQ61" s="127"/>
      <c r="CR61" s="127"/>
      <c r="CS61" s="127"/>
      <c r="CT61" s="127"/>
      <c r="CU61" s="127"/>
      <c r="CV61" s="127"/>
      <c r="CW61" s="127"/>
      <c r="CX61" s="127"/>
      <c r="DT61" s="177">
        <v>8.0054794520547947</v>
      </c>
      <c r="DU61" s="65">
        <v>7.9167872687981224E-3</v>
      </c>
      <c r="DV61" s="65">
        <v>9.5162607063963966E-3</v>
      </c>
    </row>
    <row r="62" spans="2:126">
      <c r="DT62" s="177">
        <v>8.0054794520547947</v>
      </c>
      <c r="DU62" s="65">
        <v>8.0036163580064212E-3</v>
      </c>
      <c r="DV62" s="65">
        <v>9.5374113021916181E-3</v>
      </c>
    </row>
    <row r="63" spans="2:126">
      <c r="B63" s="48" t="s">
        <v>65</v>
      </c>
      <c r="DT63" s="177">
        <v>9.0082191780821912</v>
      </c>
      <c r="DU63" s="65">
        <v>8.0036163580064212E-3</v>
      </c>
      <c r="DV63" s="65">
        <v>9.5374113021916181E-3</v>
      </c>
    </row>
    <row r="64" spans="2:126" ht="13.5" thickBot="1">
      <c r="DT64" s="177">
        <v>9.0082191780821912</v>
      </c>
      <c r="DU64" s="65">
        <v>7.0751032367535023E-3</v>
      </c>
      <c r="DV64" s="65">
        <v>8.6311678039365774E-3</v>
      </c>
    </row>
    <row r="65" spans="2:126">
      <c r="B65" s="102" t="s">
        <v>83</v>
      </c>
      <c r="C65" s="134" t="str">
        <f ca="1">_xll.qlEuropeanExercise(C67,C68,C69,C70)</f>
        <v>obj_008e6#0000</v>
      </c>
      <c r="D65" s="134" t="str">
        <f ca="1">_xll.qlEuropeanExercise(D67,D68,D69,D70)</f>
        <v>obj_008be#0000</v>
      </c>
      <c r="E65" s="134" t="str">
        <f ca="1">_xll.qlEuropeanExercise(E67,E68,E69,E70)</f>
        <v>obj_008ba#0000</v>
      </c>
      <c r="F65" s="134" t="str">
        <f ca="1">_xll.qlEuropeanExercise(F67,F68,F69,F70)</f>
        <v>obj_00908#0000</v>
      </c>
      <c r="G65" s="134" t="str">
        <f ca="1">_xll.qlEuropeanExercise(G67,G68,G69,G70)</f>
        <v>obj_00859#0004</v>
      </c>
      <c r="H65" s="134" t="str">
        <f ca="1">_xll.qlEuropeanExercise(H67,H68,H69,H70)</f>
        <v>obj_008b6#0000</v>
      </c>
      <c r="I65" s="134" t="str">
        <f ca="1">_xll.qlEuropeanExercise(I67,I68,I69,I70)</f>
        <v>obj_008f3#0004</v>
      </c>
      <c r="J65" s="134" t="str">
        <f ca="1">_xll.qlEuropeanExercise(J67,J68,J69,J70)</f>
        <v>obj_008ac#0004</v>
      </c>
      <c r="K65" s="134" t="str">
        <f ca="1">_xll.qlEuropeanExercise(K67,K68,K69,K70)</f>
        <v>obj_0093d#0000</v>
      </c>
      <c r="L65" s="134" t="str">
        <f ca="1">_xll.qlEuropeanExercise(L67,L68,L69,L70)</f>
        <v>obj_0093b#0000</v>
      </c>
      <c r="M65" s="134" t="str">
        <f ca="1">_xll.qlEuropeanExercise(M67,M68,M69,M70)</f>
        <v>obj_008b4#0000</v>
      </c>
      <c r="N65" s="134" t="str">
        <f ca="1">_xll.qlEuropeanExercise(N67,N68,N69,N70)</f>
        <v>obj_008ff#0004</v>
      </c>
      <c r="O65" s="134" t="str">
        <f ca="1">_xll.qlEuropeanExercise(O67,O68,O69,O70)</f>
        <v>obj_00903#0000</v>
      </c>
      <c r="P65" s="134" t="str">
        <f ca="1">_xll.qlEuropeanExercise(P67,P68,P69,P70)</f>
        <v>obj_00897#0004</v>
      </c>
      <c r="Q65" s="134" t="str">
        <f ca="1">_xll.qlEuropeanExercise(Q67,Q68,Q69,Q70)</f>
        <v>obj_00939#0000</v>
      </c>
      <c r="R65" s="134" t="str">
        <f ca="1">_xll.qlEuropeanExercise(R67,R68,R69,R70)</f>
        <v>obj_00937#0000</v>
      </c>
      <c r="S65" s="134" t="str">
        <f ca="1">_xll.qlEuropeanExercise(S67,S68,S69,S70)</f>
        <v>obj_008e5#0000</v>
      </c>
      <c r="T65" s="134" t="str">
        <f ca="1">_xll.qlEuropeanExercise(T67,T68,T69,T70)</f>
        <v>obj_00927#0000</v>
      </c>
      <c r="U65" s="134" t="str">
        <f ca="1">_xll.qlEuropeanExercise(U67,U68,U69,U70)</f>
        <v>obj_00934#0000</v>
      </c>
      <c r="V65" s="134" t="str">
        <f ca="1">_xll.qlEuropeanExercise(V67,V68,V69,V70)</f>
        <v>obj_008fc#0004</v>
      </c>
      <c r="W65" s="134" t="str">
        <f ca="1">_xll.qlEuropeanExercise(W67,W68,W69,W70)</f>
        <v>obj_00837#0004</v>
      </c>
      <c r="X65" s="134" t="str">
        <f ca="1">_xll.qlEuropeanExercise(X67,X68,X69,X70)</f>
        <v>obj_00906#0000</v>
      </c>
      <c r="Y65" s="134" t="str">
        <f ca="1">_xll.qlEuropeanExercise(Y67,Y68,Y69,Y70)</f>
        <v>obj_00925#0000</v>
      </c>
      <c r="Z65" s="134" t="str">
        <f ca="1">_xll.qlEuropeanExercise(Z67,Z68,Z69,Z70)</f>
        <v>obj_00811#0004</v>
      </c>
      <c r="AA65" s="134" t="str">
        <f ca="1">_xll.qlEuropeanExercise(AA67,AA68,AA69,AA70)</f>
        <v>obj_00932#0000</v>
      </c>
      <c r="AB65" s="134" t="str">
        <f ca="1">_xll.qlEuropeanExercise(AB67,AB68,AB69,AB70)</f>
        <v>obj_0088a#0004</v>
      </c>
      <c r="AC65" s="134" t="str">
        <f ca="1">_xll.qlEuropeanExercise(AC67,AC68,AC69,AC70)</f>
        <v>obj_00921#0000</v>
      </c>
      <c r="AD65" s="134" t="str">
        <f ca="1">_xll.qlEuropeanExercise(AD67,AD68,AD69,AD70)</f>
        <v>obj_0089f#0004</v>
      </c>
      <c r="AE65" s="134" t="str">
        <f ca="1">_xll.qlEuropeanExercise(AE67,AE68,AE69,AE70)</f>
        <v>obj_008fd#0004</v>
      </c>
      <c r="AF65" s="134" t="str">
        <f ca="1">_xll.qlEuropeanExercise(AF67,AF68,AF69,AF70)</f>
        <v>obj_008ea#0000</v>
      </c>
      <c r="AG65" s="134" t="str">
        <f ca="1">_xll.qlEuropeanExercise(AG67,AG68,AG69,AG70)</f>
        <v>obj_008ef#0000</v>
      </c>
      <c r="AH65" s="134" t="str">
        <f ca="1">_xll.qlEuropeanExercise(AH67,AH68,AH69,AH70)</f>
        <v>obj_008b7#0000</v>
      </c>
      <c r="AI65" s="134" t="str">
        <f ca="1">_xll.qlEuropeanExercise(AI67,AI68,AI69,AI70)</f>
        <v>obj_00896#0004</v>
      </c>
      <c r="AJ65" s="134" t="str">
        <f ca="1">_xll.qlEuropeanExercise(AJ67,AJ68,AJ69,AJ70)</f>
        <v>obj_008bd#0000</v>
      </c>
      <c r="AK65" s="134" t="str">
        <f ca="1">_xll.qlEuropeanExercise(AK67,AK68,AK69,AK70)</f>
        <v>obj_008e8#0000</v>
      </c>
      <c r="AL65" s="134" t="str">
        <f ca="1">_xll.qlEuropeanExercise(AL67,AL68,AL69,AL70)</f>
        <v>obj_00916#0000</v>
      </c>
      <c r="AM65" s="134" t="str">
        <f ca="1">_xll.qlEuropeanExercise(AM67,AM68,AM69,AM70)</f>
        <v>obj_00826#0004</v>
      </c>
      <c r="AN65" s="134" t="str">
        <f ca="1">_xll.qlEuropeanExercise(AN67,AN68,AN69,AN70)</f>
        <v>obj_00838#0004</v>
      </c>
      <c r="AO65" s="134" t="str">
        <f ca="1">_xll.qlEuropeanExercise(AO67,AO68,AO69,AO70)</f>
        <v>obj_008f9#0004</v>
      </c>
      <c r="AP65" s="134" t="str">
        <f ca="1">_xll.qlEuropeanExercise(AP67,AP68,AP69,AP70)</f>
        <v>obj_00907#0000</v>
      </c>
      <c r="AQ65" s="134" t="str">
        <f ca="1">_xll.qlEuropeanExercise(AQ67,AQ68,AQ69,AQ70)</f>
        <v>obj_0093c#0000</v>
      </c>
      <c r="AR65" s="134" t="str">
        <f ca="1">_xll.qlEuropeanExercise(AR67,AR68,AR69,AR70)</f>
        <v>obj_00941#0000</v>
      </c>
      <c r="AS65" s="134" t="str">
        <f ca="1">_xll.qlEuropeanExercise(AS67,AS68,AS69,AS70)</f>
        <v>obj_008f5#0004</v>
      </c>
      <c r="AT65" s="134" t="str">
        <f ca="1">_xll.qlEuropeanExercise(AT67,AT68,AT69,AT70)</f>
        <v>obj_008f8#0004</v>
      </c>
      <c r="AU65" s="134" t="str">
        <f ca="1">_xll.qlEuropeanExercise(AU67,AU68,AU69,AU70)</f>
        <v>obj_00902#0000</v>
      </c>
      <c r="AV65" s="134" t="str">
        <f ca="1">_xll.qlEuropeanExercise(AV67,AV68,AV69,AV70)</f>
        <v>obj_008f6#0004</v>
      </c>
      <c r="AW65" s="134" t="str">
        <f ca="1">_xll.qlEuropeanExercise(AW67,AW68,AW69,AW70)</f>
        <v>obj_008b9#0000</v>
      </c>
      <c r="AX65" s="134" t="str">
        <f ca="1">_xll.qlEuropeanExercise(AX67,AX68,AX69,AX70)</f>
        <v>obj_0087c#0004</v>
      </c>
      <c r="AY65" s="134" t="str">
        <f ca="1">_xll.qlEuropeanExercise(AY67,AY68,AY69,AY70)</f>
        <v>obj_008e4#0000</v>
      </c>
      <c r="AZ65" s="134" t="str">
        <f ca="1">_xll.qlEuropeanExercise(AZ67,AZ68,AZ69,AZ70)</f>
        <v>obj_0090a#0000</v>
      </c>
      <c r="BA65" s="134" t="str">
        <f ca="1">_xll.qlEuropeanExercise(BA67,BA68,BA69,BA70)</f>
        <v>obj_00915#0000</v>
      </c>
      <c r="BB65" s="134" t="str">
        <f ca="1">_xll.qlEuropeanExercise(BB67,BB68,BB69,BB70)</f>
        <v>obj_00936#0000</v>
      </c>
      <c r="BC65" s="134" t="str">
        <f ca="1">_xll.qlEuropeanExercise(BC67,BC68,BC69,BC70)</f>
        <v>obj_008b2#0000</v>
      </c>
      <c r="BD65" s="134" t="str">
        <f ca="1">_xll.qlEuropeanExercise(BD67,BD68,BD69,BD70)</f>
        <v>obj_00922#0000</v>
      </c>
      <c r="BE65" s="134" t="str">
        <f ca="1">_xll.qlEuropeanExercise(BE67,BE68,BE69,BE70)</f>
        <v>obj_00940#0000</v>
      </c>
      <c r="BF65" s="134" t="str">
        <f ca="1">_xll.qlEuropeanExercise(BF67,BF68,BF69,BF70)</f>
        <v>obj_008e1#0000</v>
      </c>
      <c r="BG65" s="134" t="str">
        <f ca="1">_xll.qlEuropeanExercise(BG67,BG68,BG69,BG70)</f>
        <v>obj_00931#0000</v>
      </c>
      <c r="BH65" s="134" t="str">
        <f ca="1">_xll.qlEuropeanExercise(BH67,BH68,BH69,BH70)</f>
        <v>obj_00889#0004</v>
      </c>
      <c r="BI65" s="134" t="str">
        <f ca="1">_xll.qlEuropeanExercise(BI67,BI68,BI69,BI70)</f>
        <v>obj_00904#0000</v>
      </c>
      <c r="BJ65" s="134" t="str">
        <f ca="1">_xll.qlEuropeanExercise(BJ67,BJ68,BJ69,BJ70)</f>
        <v>obj_008f2#0004</v>
      </c>
      <c r="BK65" s="134" t="str">
        <f ca="1">_xll.qlEuropeanExercise(BK67,BK68,BK69,BK70)</f>
        <v>obj_008fa#0004</v>
      </c>
      <c r="BL65" s="134" t="str">
        <f ca="1">_xll.qlEuropeanExercise(BL67,BL68,BL69,BL70)</f>
        <v>obj_00875#0004</v>
      </c>
      <c r="BM65" s="134" t="str">
        <f ca="1">_xll.qlEuropeanExercise(BM67,BM68,BM69,BM70)</f>
        <v>obj_00909#0000</v>
      </c>
      <c r="BN65" s="134" t="str">
        <f ca="1">_xll.qlEuropeanExercise(BN67,BN68,BN69,BN70)</f>
        <v>obj_008ed#0000</v>
      </c>
      <c r="BO65" s="134" t="str">
        <f ca="1">_xll.qlEuropeanExercise(BO67,BO68,BO69,BO70)</f>
        <v>obj_0085f#0004</v>
      </c>
      <c r="BP65" s="134" t="str">
        <f ca="1">_xll.qlEuropeanExercise(BP67,BP68,BP69,BP70)</f>
        <v>obj_008bc#0000</v>
      </c>
      <c r="BQ65" s="134" t="str">
        <f ca="1">_xll.qlEuropeanExercise(BQ67,BQ68,BQ69,BQ70)</f>
        <v>obj_008e7#0000</v>
      </c>
      <c r="BR65" s="134" t="str">
        <f ca="1">_xll.qlEuropeanExercise(BR67,BR68,BR69,BR70)</f>
        <v>obj_0089e#0004</v>
      </c>
      <c r="BS65" s="134" t="str">
        <f ca="1">_xll.qlEuropeanExercise(BS67,BS68,BS69,BS70)</f>
        <v>obj_008f4#0004</v>
      </c>
      <c r="BT65" s="134" t="str">
        <f ca="1">_xll.qlEuropeanExercise(BT67,BT68,BT69,BT70)</f>
        <v>obj_008b5#0000</v>
      </c>
      <c r="BU65" s="134" t="str">
        <f ca="1">_xll.qlEuropeanExercise(BU67,BU68,BU69,BU70)</f>
        <v>obj_00900#0000</v>
      </c>
      <c r="BV65" s="134" t="str">
        <f ca="1">_xll.qlEuropeanExercise(BV67,BV68,BV69,BV70)</f>
        <v>obj_0093f#0000</v>
      </c>
      <c r="BW65" s="134" t="str">
        <f ca="1">_xll.qlEuropeanExercise(BW67,BW68,BW69,BW70)</f>
        <v>obj_00914#0000</v>
      </c>
      <c r="BX65" s="134" t="str">
        <f ca="1">_xll.qlEuropeanExercise(BX67,BX68,BX69,BX70)</f>
        <v>obj_0093a#0000</v>
      </c>
      <c r="BY65" s="134" t="str">
        <f ca="1">_xll.qlEuropeanExercise(BY67,BY68,BY69,BY70)</f>
        <v>obj_008ee#0000</v>
      </c>
      <c r="BZ65" s="134" t="str">
        <f ca="1">_xll.qlEuropeanExercise(BZ67,BZ68,BZ69,BZ70)</f>
        <v>obj_008fe#0004</v>
      </c>
      <c r="CA65" s="134" t="str">
        <f ca="1">_xll.qlEuropeanExercise(CA67,CA68,CA69,CA70)</f>
        <v>obj_00901#0000</v>
      </c>
      <c r="CB65" s="134" t="str">
        <f ca="1">_xll.qlEuropeanExercise(CB67,CB68,CB69,CB70)</f>
        <v>obj_0093e#0000</v>
      </c>
      <c r="CC65" s="134" t="str">
        <f ca="1">_xll.qlEuropeanExercise(CC67,CC68,CC69,CC70)</f>
        <v>obj_008b8#0000</v>
      </c>
      <c r="CD65" s="134" t="str">
        <f ca="1">_xll.qlEuropeanExercise(CD67,CD68,CD69,CD70)</f>
        <v>obj_008ec#0000</v>
      </c>
      <c r="CE65" s="134" t="str">
        <f ca="1">_xll.qlEuropeanExercise(CE67,CE68,CE69,CE70)</f>
        <v>obj_008e3#0000</v>
      </c>
      <c r="CF65" s="134" t="str">
        <f ca="1">_xll.qlEuropeanExercise(CF67,CF68,CF69,CF70)</f>
        <v>obj_00926#0000</v>
      </c>
      <c r="CG65" s="134" t="str">
        <f ca="1">_xll.qlEuropeanExercise(CG67,CG68,CG69,CG70)</f>
        <v>obj_008b3#0000</v>
      </c>
      <c r="CH65" s="134" t="str">
        <f ca="1">_xll.qlEuropeanExercise(CH67,CH68,CH69,CH70)</f>
        <v>obj_008fb#0004</v>
      </c>
      <c r="CI65" s="134" t="str">
        <f ca="1">_xll.qlEuropeanExercise(CI67,CI68,CI69,CI70)</f>
        <v>obj_00895#0004</v>
      </c>
      <c r="CJ65" s="134" t="str">
        <f ca="1">_xll.qlEuropeanExercise(CJ67,CJ68,CJ69,CJ70)</f>
        <v>obj_00905#0000</v>
      </c>
      <c r="CK65" s="134" t="str">
        <f ca="1">_xll.qlEuropeanExercise(CK67,CK68,CK69,CK70)</f>
        <v>obj_00938#0000</v>
      </c>
      <c r="CL65" s="134" t="str">
        <f ca="1">_xll.qlEuropeanExercise(CL67,CL68,CL69,CL70)</f>
        <v>obj_00874#0004</v>
      </c>
      <c r="CM65" s="134" t="str">
        <f ca="1">_xll.qlEuropeanExercise(CM67,CM68,CM69,CM70)</f>
        <v>obj_00930#0000</v>
      </c>
      <c r="CN65" s="134" t="str">
        <f ca="1">_xll.qlEuropeanExercise(CN67,CN68,CN69,CN70)</f>
        <v>obj_00900#0004</v>
      </c>
      <c r="CO65" s="134" t="str">
        <f ca="1">_xll.qlEuropeanExercise(CO67,CO68,CO69,CO70)</f>
        <v>obj_00933#0000</v>
      </c>
      <c r="CP65" s="134" t="str">
        <f ca="1">_xll.qlEuropeanExercise(CP67,CP68,CP69,CP70)</f>
        <v>obj_00935#0000</v>
      </c>
      <c r="CQ65" s="134" t="str">
        <f ca="1">_xll.qlEuropeanExercise(CQ67,CQ68,CQ69,CQ70)</f>
        <v>obj_008f7#0004</v>
      </c>
      <c r="CR65" s="134" t="str">
        <f ca="1">_xll.qlEuropeanExercise(CR67,CR68,CR69,CR70)</f>
        <v>obj_008e9#0000</v>
      </c>
      <c r="CS65" s="134" t="str">
        <f ca="1">_xll.qlEuropeanExercise(CS67,CS68,CS69,CS70)</f>
        <v>obj_00924#0000</v>
      </c>
      <c r="CT65" s="134" t="str">
        <f ca="1">_xll.qlEuropeanExercise(CT67,CT68,CT69,CT70)</f>
        <v>obj_00923#0000</v>
      </c>
      <c r="CU65" s="134" t="str">
        <f ca="1">_xll.qlEuropeanExercise(CU67,CU68,CU69,CU70)</f>
        <v>obj_008e2#0000</v>
      </c>
      <c r="CV65" s="134" t="str">
        <f ca="1">_xll.qlEuropeanExercise(CV67,CV68,CV69,CV70)</f>
        <v>obj_008bb#0000</v>
      </c>
      <c r="CW65" s="134" t="str">
        <f ca="1">_xll.qlEuropeanExercise(CW67,CW68,CW69,CW70)</f>
        <v>obj_00920#0000</v>
      </c>
      <c r="CX65" s="134" t="str">
        <f ca="1">_xll.qlEuropeanExercise(CX67,CX68,CX69,CX70)</f>
        <v>obj_008eb#0000</v>
      </c>
      <c r="DT65" s="177">
        <v>10.008219178082191</v>
      </c>
      <c r="DU65" s="65">
        <v>7.0751032367535023E-3</v>
      </c>
      <c r="DV65" s="65">
        <v>8.6311678039365774E-3</v>
      </c>
    </row>
    <row r="66" spans="2:126" ht="13.5" thickBot="1">
      <c r="B66" s="107" t="s">
        <v>5</v>
      </c>
      <c r="C66" s="114" t="str">
        <f ca="1">_xll.ohRangeRetrieveError(C65)</f>
        <v/>
      </c>
      <c r="D66" s="114" t="str">
        <f ca="1">_xll.ohRangeRetrieveError(D65)</f>
        <v/>
      </c>
      <c r="E66" s="114" t="str">
        <f ca="1">_xll.ohRangeRetrieveError(E65)</f>
        <v/>
      </c>
      <c r="F66" s="114" t="str">
        <f ca="1">_xll.ohRangeRetrieveError(F65)</f>
        <v/>
      </c>
      <c r="G66" s="114" t="str">
        <f ca="1">_xll.ohRangeRetrieveError(G65)</f>
        <v/>
      </c>
      <c r="H66" s="114" t="str">
        <f ca="1">_xll.ohRangeRetrieveError(H65)</f>
        <v/>
      </c>
      <c r="I66" s="114" t="str">
        <f ca="1">_xll.ohRangeRetrieveError(I65)</f>
        <v/>
      </c>
      <c r="J66" s="114" t="str">
        <f ca="1">_xll.ohRangeRetrieveError(J65)</f>
        <v/>
      </c>
      <c r="K66" s="114" t="str">
        <f ca="1">_xll.ohRangeRetrieveError(K65)</f>
        <v/>
      </c>
      <c r="L66" s="114" t="str">
        <f ca="1">_xll.ohRangeRetrieveError(L65)</f>
        <v/>
      </c>
      <c r="M66" s="114" t="str">
        <f ca="1">_xll.ohRangeRetrieveError(M65)</f>
        <v/>
      </c>
      <c r="N66" s="114" t="str">
        <f ca="1">_xll.ohRangeRetrieveError(N65)</f>
        <v/>
      </c>
      <c r="O66" s="114" t="str">
        <f ca="1">_xll.ohRangeRetrieveError(O65)</f>
        <v/>
      </c>
      <c r="P66" s="114" t="str">
        <f ca="1">_xll.ohRangeRetrieveError(P65)</f>
        <v/>
      </c>
      <c r="Q66" s="114" t="str">
        <f ca="1">_xll.ohRangeRetrieveError(Q65)</f>
        <v/>
      </c>
      <c r="R66" s="114" t="str">
        <f ca="1">_xll.ohRangeRetrieveError(R65)</f>
        <v/>
      </c>
      <c r="S66" s="114" t="str">
        <f ca="1">_xll.ohRangeRetrieveError(S65)</f>
        <v/>
      </c>
      <c r="T66" s="114" t="str">
        <f ca="1">_xll.ohRangeRetrieveError(T65)</f>
        <v/>
      </c>
      <c r="U66" s="114" t="str">
        <f ca="1">_xll.ohRangeRetrieveError(U65)</f>
        <v/>
      </c>
      <c r="V66" s="114" t="str">
        <f ca="1">_xll.ohRangeRetrieveError(V65)</f>
        <v/>
      </c>
      <c r="W66" s="114" t="str">
        <f ca="1">_xll.ohRangeRetrieveError(W65)</f>
        <v/>
      </c>
      <c r="X66" s="114" t="str">
        <f ca="1">_xll.ohRangeRetrieveError(X65)</f>
        <v/>
      </c>
      <c r="Y66" s="114" t="str">
        <f ca="1">_xll.ohRangeRetrieveError(Y65)</f>
        <v/>
      </c>
      <c r="Z66" s="114" t="str">
        <f ca="1">_xll.ohRangeRetrieveError(Z65)</f>
        <v/>
      </c>
      <c r="AA66" s="114" t="str">
        <f ca="1">_xll.ohRangeRetrieveError(AA65)</f>
        <v/>
      </c>
      <c r="AB66" s="114" t="str">
        <f ca="1">_xll.ohRangeRetrieveError(AB65)</f>
        <v/>
      </c>
      <c r="AC66" s="114" t="str">
        <f ca="1">_xll.ohRangeRetrieveError(AC65)</f>
        <v/>
      </c>
      <c r="AD66" s="114" t="str">
        <f ca="1">_xll.ohRangeRetrieveError(AD65)</f>
        <v/>
      </c>
      <c r="AE66" s="114" t="str">
        <f ca="1">_xll.ohRangeRetrieveError(AE65)</f>
        <v/>
      </c>
      <c r="AF66" s="114" t="str">
        <f ca="1">_xll.ohRangeRetrieveError(AF65)</f>
        <v/>
      </c>
      <c r="AG66" s="114" t="str">
        <f ca="1">_xll.ohRangeRetrieveError(AG65)</f>
        <v/>
      </c>
      <c r="AH66" s="114" t="str">
        <f ca="1">_xll.ohRangeRetrieveError(AH65)</f>
        <v/>
      </c>
      <c r="AI66" s="114" t="str">
        <f ca="1">_xll.ohRangeRetrieveError(AI65)</f>
        <v/>
      </c>
      <c r="AJ66" s="114" t="str">
        <f ca="1">_xll.ohRangeRetrieveError(AJ65)</f>
        <v/>
      </c>
      <c r="AK66" s="114" t="str">
        <f ca="1">_xll.ohRangeRetrieveError(AK65)</f>
        <v/>
      </c>
      <c r="AL66" s="114" t="str">
        <f ca="1">_xll.ohRangeRetrieveError(AL65)</f>
        <v/>
      </c>
      <c r="AM66" s="114" t="str">
        <f ca="1">_xll.ohRangeRetrieveError(AM65)</f>
        <v/>
      </c>
      <c r="AN66" s="114" t="str">
        <f ca="1">_xll.ohRangeRetrieveError(AN65)</f>
        <v/>
      </c>
      <c r="AO66" s="114" t="str">
        <f ca="1">_xll.ohRangeRetrieveError(AO65)</f>
        <v/>
      </c>
      <c r="AP66" s="114" t="str">
        <f ca="1">_xll.ohRangeRetrieveError(AP65)</f>
        <v/>
      </c>
      <c r="AQ66" s="114" t="str">
        <f ca="1">_xll.ohRangeRetrieveError(AQ65)</f>
        <v/>
      </c>
      <c r="AR66" s="114" t="str">
        <f ca="1">_xll.ohRangeRetrieveError(AR65)</f>
        <v/>
      </c>
      <c r="AS66" s="114" t="str">
        <f ca="1">_xll.ohRangeRetrieveError(AS65)</f>
        <v/>
      </c>
      <c r="AT66" s="114" t="str">
        <f ca="1">_xll.ohRangeRetrieveError(AT65)</f>
        <v/>
      </c>
      <c r="AU66" s="114" t="str">
        <f ca="1">_xll.ohRangeRetrieveError(AU65)</f>
        <v/>
      </c>
      <c r="AV66" s="114" t="str">
        <f ca="1">_xll.ohRangeRetrieveError(AV65)</f>
        <v/>
      </c>
      <c r="AW66" s="114" t="str">
        <f ca="1">_xll.ohRangeRetrieveError(AW65)</f>
        <v/>
      </c>
      <c r="AX66" s="114" t="str">
        <f ca="1">_xll.ohRangeRetrieveError(AX65)</f>
        <v/>
      </c>
      <c r="AY66" s="114" t="str">
        <f ca="1">_xll.ohRangeRetrieveError(AY65)</f>
        <v/>
      </c>
      <c r="AZ66" s="114" t="str">
        <f ca="1">_xll.ohRangeRetrieveError(AZ65)</f>
        <v/>
      </c>
      <c r="BA66" s="114" t="str">
        <f ca="1">_xll.ohRangeRetrieveError(BA65)</f>
        <v/>
      </c>
      <c r="BB66" s="114" t="str">
        <f ca="1">_xll.ohRangeRetrieveError(BB65)</f>
        <v/>
      </c>
      <c r="BC66" s="114" t="str">
        <f ca="1">_xll.ohRangeRetrieveError(BC65)</f>
        <v/>
      </c>
      <c r="BD66" s="114" t="str">
        <f ca="1">_xll.ohRangeRetrieveError(BD65)</f>
        <v/>
      </c>
      <c r="BE66" s="114" t="str">
        <f ca="1">_xll.ohRangeRetrieveError(BE65)</f>
        <v/>
      </c>
      <c r="BF66" s="114" t="str">
        <f ca="1">_xll.ohRangeRetrieveError(BF65)</f>
        <v/>
      </c>
      <c r="BG66" s="114" t="str">
        <f ca="1">_xll.ohRangeRetrieveError(BG65)</f>
        <v/>
      </c>
      <c r="BH66" s="114" t="str">
        <f ca="1">_xll.ohRangeRetrieveError(BH65)</f>
        <v/>
      </c>
      <c r="BI66" s="114" t="str">
        <f ca="1">_xll.ohRangeRetrieveError(BI65)</f>
        <v/>
      </c>
      <c r="BJ66" s="114" t="str">
        <f ca="1">_xll.ohRangeRetrieveError(BJ65)</f>
        <v/>
      </c>
      <c r="BK66" s="114" t="str">
        <f ca="1">_xll.ohRangeRetrieveError(BK65)</f>
        <v/>
      </c>
      <c r="BL66" s="114" t="str">
        <f ca="1">_xll.ohRangeRetrieveError(BL65)</f>
        <v/>
      </c>
      <c r="BM66" s="114" t="str">
        <f ca="1">_xll.ohRangeRetrieveError(BM65)</f>
        <v/>
      </c>
      <c r="BN66" s="114" t="str">
        <f ca="1">_xll.ohRangeRetrieveError(BN65)</f>
        <v/>
      </c>
      <c r="BO66" s="114" t="str">
        <f ca="1">_xll.ohRangeRetrieveError(BO65)</f>
        <v/>
      </c>
      <c r="BP66" s="114" t="str">
        <f ca="1">_xll.ohRangeRetrieveError(BP65)</f>
        <v/>
      </c>
      <c r="BQ66" s="114" t="str">
        <f ca="1">_xll.ohRangeRetrieveError(BQ65)</f>
        <v/>
      </c>
      <c r="BR66" s="114" t="str">
        <f ca="1">_xll.ohRangeRetrieveError(BR65)</f>
        <v/>
      </c>
      <c r="BS66" s="114" t="str">
        <f ca="1">_xll.ohRangeRetrieveError(BS65)</f>
        <v/>
      </c>
      <c r="BT66" s="114" t="str">
        <f ca="1">_xll.ohRangeRetrieveError(BT65)</f>
        <v/>
      </c>
      <c r="BU66" s="114" t="str">
        <f ca="1">_xll.ohRangeRetrieveError(BU65)</f>
        <v/>
      </c>
      <c r="BV66" s="114" t="str">
        <f ca="1">_xll.ohRangeRetrieveError(BV65)</f>
        <v/>
      </c>
      <c r="BW66" s="114" t="str">
        <f ca="1">_xll.ohRangeRetrieveError(BW65)</f>
        <v/>
      </c>
      <c r="BX66" s="114" t="str">
        <f ca="1">_xll.ohRangeRetrieveError(BX65)</f>
        <v/>
      </c>
      <c r="BY66" s="114" t="str">
        <f ca="1">_xll.ohRangeRetrieveError(BY65)</f>
        <v/>
      </c>
      <c r="BZ66" s="114" t="str">
        <f ca="1">_xll.ohRangeRetrieveError(BZ65)</f>
        <v/>
      </c>
      <c r="CA66" s="114" t="str">
        <f ca="1">_xll.ohRangeRetrieveError(CA65)</f>
        <v/>
      </c>
      <c r="CB66" s="114" t="str">
        <f ca="1">_xll.ohRangeRetrieveError(CB65)</f>
        <v/>
      </c>
      <c r="CC66" s="114" t="str">
        <f ca="1">_xll.ohRangeRetrieveError(CC65)</f>
        <v/>
      </c>
      <c r="CD66" s="114" t="str">
        <f ca="1">_xll.ohRangeRetrieveError(CD65)</f>
        <v/>
      </c>
      <c r="CE66" s="114" t="str">
        <f ca="1">_xll.ohRangeRetrieveError(CE65)</f>
        <v/>
      </c>
      <c r="CF66" s="114" t="str">
        <f ca="1">_xll.ohRangeRetrieveError(CF65)</f>
        <v/>
      </c>
      <c r="CG66" s="114" t="str">
        <f ca="1">_xll.ohRangeRetrieveError(CG65)</f>
        <v/>
      </c>
      <c r="CH66" s="114" t="str">
        <f ca="1">_xll.ohRangeRetrieveError(CH65)</f>
        <v/>
      </c>
      <c r="CI66" s="114" t="str">
        <f ca="1">_xll.ohRangeRetrieveError(CI65)</f>
        <v/>
      </c>
      <c r="CJ66" s="114" t="str">
        <f ca="1">_xll.ohRangeRetrieveError(CJ65)</f>
        <v/>
      </c>
      <c r="CK66" s="114" t="str">
        <f ca="1">_xll.ohRangeRetrieveError(CK65)</f>
        <v/>
      </c>
      <c r="CL66" s="114" t="str">
        <f ca="1">_xll.ohRangeRetrieveError(CL65)</f>
        <v/>
      </c>
      <c r="CM66" s="114" t="str">
        <f ca="1">_xll.ohRangeRetrieveError(CM65)</f>
        <v/>
      </c>
      <c r="CN66" s="114" t="str">
        <f ca="1">_xll.ohRangeRetrieveError(CN65)</f>
        <v/>
      </c>
      <c r="CO66" s="114" t="str">
        <f ca="1">_xll.ohRangeRetrieveError(CO65)</f>
        <v/>
      </c>
      <c r="CP66" s="114" t="str">
        <f ca="1">_xll.ohRangeRetrieveError(CP65)</f>
        <v/>
      </c>
      <c r="CQ66" s="114" t="str">
        <f ca="1">_xll.ohRangeRetrieveError(CQ65)</f>
        <v/>
      </c>
      <c r="CR66" s="114" t="str">
        <f ca="1">_xll.ohRangeRetrieveError(CR65)</f>
        <v/>
      </c>
      <c r="CS66" s="114" t="str">
        <f ca="1">_xll.ohRangeRetrieveError(CS65)</f>
        <v/>
      </c>
      <c r="CT66" s="114" t="str">
        <f ca="1">_xll.ohRangeRetrieveError(CT65)</f>
        <v/>
      </c>
      <c r="CU66" s="114" t="str">
        <f ca="1">_xll.ohRangeRetrieveError(CU65)</f>
        <v/>
      </c>
      <c r="CV66" s="114" t="str">
        <f ca="1">_xll.ohRangeRetrieveError(CV65)</f>
        <v/>
      </c>
      <c r="CW66" s="114" t="str">
        <f ca="1">_xll.ohRangeRetrieveError(CW65)</f>
        <v/>
      </c>
      <c r="CX66" s="114" t="str">
        <f ca="1">_xll.ohRangeRetrieveError(CX65)</f>
        <v/>
      </c>
      <c r="DT66" s="177">
        <v>12</v>
      </c>
      <c r="DU66" s="65">
        <v>7.0751032367535023E-3</v>
      </c>
      <c r="DV66" s="65">
        <v>8.6311678039365774E-3</v>
      </c>
    </row>
    <row r="67" spans="2:126">
      <c r="B67" s="102" t="s">
        <v>2</v>
      </c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  <c r="AZ67" s="115"/>
      <c r="BA67" s="115"/>
      <c r="BB67" s="115"/>
      <c r="BC67" s="115"/>
      <c r="BD67" s="115"/>
      <c r="BE67" s="115"/>
      <c r="BF67" s="115"/>
      <c r="BG67" s="115"/>
      <c r="BH67" s="115"/>
      <c r="BI67" s="115"/>
      <c r="BJ67" s="115"/>
      <c r="BK67" s="115"/>
      <c r="BL67" s="115"/>
      <c r="BM67" s="115"/>
      <c r="BN67" s="115"/>
      <c r="BO67" s="115"/>
      <c r="BP67" s="115"/>
      <c r="BQ67" s="115"/>
      <c r="BR67" s="115"/>
      <c r="BS67" s="115"/>
      <c r="BT67" s="115"/>
      <c r="BU67" s="115"/>
      <c r="BV67" s="115"/>
      <c r="BW67" s="115"/>
      <c r="BX67" s="115"/>
      <c r="BY67" s="115"/>
      <c r="BZ67" s="115"/>
      <c r="CA67" s="115"/>
      <c r="CB67" s="115"/>
      <c r="CC67" s="115"/>
      <c r="CD67" s="115"/>
      <c r="CE67" s="115"/>
      <c r="CF67" s="115"/>
      <c r="CG67" s="115"/>
      <c r="CH67" s="115"/>
      <c r="CI67" s="115"/>
      <c r="CJ67" s="115"/>
      <c r="CK67" s="115"/>
      <c r="CL67" s="115"/>
      <c r="CM67" s="115"/>
      <c r="CN67" s="115"/>
      <c r="CO67" s="115"/>
      <c r="CP67" s="115"/>
      <c r="CQ67" s="115"/>
      <c r="CR67" s="115"/>
      <c r="CS67" s="115"/>
      <c r="CT67" s="115"/>
      <c r="CU67" s="115"/>
      <c r="CV67" s="115"/>
      <c r="CW67" s="115"/>
      <c r="CX67" s="115"/>
    </row>
    <row r="68" spans="2:126">
      <c r="B68" s="104" t="s">
        <v>84</v>
      </c>
      <c r="C68" s="138">
        <f ca="1">_xll.qlCalendarAdvance(C10,C11,"-2D")</f>
        <v>42620</v>
      </c>
      <c r="D68" s="138">
        <f ca="1">_xll.qlCalendarAdvance(D10,D11,"-2D")</f>
        <v>42985</v>
      </c>
      <c r="E68" s="138">
        <f ca="1">_xll.qlCalendarAdvance(E10,E11,"-2D")</f>
        <v>43350</v>
      </c>
      <c r="F68" s="138">
        <f ca="1">_xll.qlCalendarAdvance(F10,F11,"-2D")</f>
        <v>43717</v>
      </c>
      <c r="G68" s="138">
        <f ca="1">_xll.qlCalendarAdvance(G10,G11,"-2D")</f>
        <v>44081</v>
      </c>
      <c r="H68" s="138">
        <f ca="1">_xll.qlCalendarAdvance(H10,H11,"-2D")</f>
        <v>44446</v>
      </c>
      <c r="I68" s="138">
        <f ca="1">_xll.qlCalendarAdvance(I10,I11,"-2D")</f>
        <v>44811</v>
      </c>
      <c r="J68" s="138">
        <f ca="1">_xll.qlCalendarAdvance(J10,J11,"-2D")</f>
        <v>45176</v>
      </c>
      <c r="K68" s="138">
        <f ca="1">_xll.qlCalendarAdvance(K10,K11,"-2D")</f>
        <v>45544</v>
      </c>
      <c r="L68" s="138">
        <f ca="1">_xll.qlCalendarAdvance(L10,L11,"-2D")</f>
        <v>45908</v>
      </c>
      <c r="M68" s="138">
        <f ca="1">_xll.qlCalendarAdvance(M10,M11,"-2D")</f>
        <v>42620</v>
      </c>
      <c r="N68" s="138">
        <f ca="1">_xll.qlCalendarAdvance(N10,N11,"-2D")</f>
        <v>42985</v>
      </c>
      <c r="O68" s="138">
        <f ca="1">_xll.qlCalendarAdvance(O10,O11,"-2D")</f>
        <v>43350</v>
      </c>
      <c r="P68" s="138">
        <f ca="1">_xll.qlCalendarAdvance(P10,P11,"-2D")</f>
        <v>43717</v>
      </c>
      <c r="Q68" s="138">
        <f ca="1">_xll.qlCalendarAdvance(Q10,Q11,"-2D")</f>
        <v>44081</v>
      </c>
      <c r="R68" s="138">
        <f ca="1">_xll.qlCalendarAdvance(R10,R11,"-2D")</f>
        <v>44446</v>
      </c>
      <c r="S68" s="138">
        <f ca="1">_xll.qlCalendarAdvance(S10,S11,"-2D")</f>
        <v>44811</v>
      </c>
      <c r="T68" s="138">
        <f ca="1">_xll.qlCalendarAdvance(T10,T11,"-2D")</f>
        <v>45176</v>
      </c>
      <c r="U68" s="138">
        <f ca="1">_xll.qlCalendarAdvance(U10,U11,"-2D")</f>
        <v>45544</v>
      </c>
      <c r="V68" s="138">
        <f ca="1">_xll.qlCalendarAdvance(V10,V11,"-2D")</f>
        <v>45908</v>
      </c>
      <c r="W68" s="138">
        <f ca="1">_xll.qlCalendarAdvance(W10,W11,"-2D")</f>
        <v>42620</v>
      </c>
      <c r="X68" s="138">
        <f ca="1">_xll.qlCalendarAdvance(X10,X11,"-2D")</f>
        <v>42985</v>
      </c>
      <c r="Y68" s="138">
        <f ca="1">_xll.qlCalendarAdvance(Y10,Y11,"-2D")</f>
        <v>43350</v>
      </c>
      <c r="Z68" s="138">
        <f ca="1">_xll.qlCalendarAdvance(Z10,Z11,"-2D")</f>
        <v>43717</v>
      </c>
      <c r="AA68" s="138">
        <f ca="1">_xll.qlCalendarAdvance(AA10,AA11,"-2D")</f>
        <v>44081</v>
      </c>
      <c r="AB68" s="138">
        <f ca="1">_xll.qlCalendarAdvance(AB10,AB11,"-2D")</f>
        <v>44446</v>
      </c>
      <c r="AC68" s="138">
        <f ca="1">_xll.qlCalendarAdvance(AC10,AC11,"-2D")</f>
        <v>44811</v>
      </c>
      <c r="AD68" s="138">
        <f ca="1">_xll.qlCalendarAdvance(AD10,AD11,"-2D")</f>
        <v>45176</v>
      </c>
      <c r="AE68" s="138">
        <f ca="1">_xll.qlCalendarAdvance(AE10,AE11,"-2D")</f>
        <v>45544</v>
      </c>
      <c r="AF68" s="138">
        <f ca="1">_xll.qlCalendarAdvance(AF10,AF11,"-2D")</f>
        <v>45908</v>
      </c>
      <c r="AG68" s="138">
        <f ca="1">_xll.qlCalendarAdvance(AG10,AG11,"-2D")</f>
        <v>42620</v>
      </c>
      <c r="AH68" s="138">
        <f ca="1">_xll.qlCalendarAdvance(AH10,AH11,"-2D")</f>
        <v>42985</v>
      </c>
      <c r="AI68" s="138">
        <f ca="1">_xll.qlCalendarAdvance(AI10,AI11,"-2D")</f>
        <v>43350</v>
      </c>
      <c r="AJ68" s="138">
        <f ca="1">_xll.qlCalendarAdvance(AJ10,AJ11,"-2D")</f>
        <v>43717</v>
      </c>
      <c r="AK68" s="138">
        <f ca="1">_xll.qlCalendarAdvance(AK10,AK11,"-2D")</f>
        <v>44081</v>
      </c>
      <c r="AL68" s="138">
        <f ca="1">_xll.qlCalendarAdvance(AL10,AL11,"-2D")</f>
        <v>44446</v>
      </c>
      <c r="AM68" s="138">
        <f ca="1">_xll.qlCalendarAdvance(AM10,AM11,"-2D")</f>
        <v>44811</v>
      </c>
      <c r="AN68" s="138">
        <f ca="1">_xll.qlCalendarAdvance(AN10,AN11,"-2D")</f>
        <v>45176</v>
      </c>
      <c r="AO68" s="138">
        <f ca="1">_xll.qlCalendarAdvance(AO10,AO11,"-2D")</f>
        <v>45544</v>
      </c>
      <c r="AP68" s="138">
        <f ca="1">_xll.qlCalendarAdvance(AP10,AP11,"-2D")</f>
        <v>45908</v>
      </c>
      <c r="AQ68" s="138">
        <f ca="1">_xll.qlCalendarAdvance(AQ10,AQ11,"-2D")</f>
        <v>42620</v>
      </c>
      <c r="AR68" s="138">
        <f ca="1">_xll.qlCalendarAdvance(AR10,AR11,"-2D")</f>
        <v>42985</v>
      </c>
      <c r="AS68" s="138">
        <f ca="1">_xll.qlCalendarAdvance(AS10,AS11,"-2D")</f>
        <v>43350</v>
      </c>
      <c r="AT68" s="138">
        <f ca="1">_xll.qlCalendarAdvance(AT10,AT11,"-2D")</f>
        <v>43717</v>
      </c>
      <c r="AU68" s="138">
        <f ca="1">_xll.qlCalendarAdvance(AU10,AU11,"-2D")</f>
        <v>44081</v>
      </c>
      <c r="AV68" s="138">
        <f ca="1">_xll.qlCalendarAdvance(AV10,AV11,"-2D")</f>
        <v>44446</v>
      </c>
      <c r="AW68" s="138">
        <f ca="1">_xll.qlCalendarAdvance(AW10,AW11,"-2D")</f>
        <v>44811</v>
      </c>
      <c r="AX68" s="138">
        <f ca="1">_xll.qlCalendarAdvance(AX10,AX11,"-2D")</f>
        <v>45176</v>
      </c>
      <c r="AY68" s="138">
        <f ca="1">_xll.qlCalendarAdvance(AY10,AY11,"-2D")</f>
        <v>45544</v>
      </c>
      <c r="AZ68" s="138">
        <f ca="1">_xll.qlCalendarAdvance(AZ10,AZ11,"-2D")</f>
        <v>45908</v>
      </c>
      <c r="BA68" s="138">
        <f ca="1">_xll.qlCalendarAdvance(BA10,BA11,"-2D")</f>
        <v>42620</v>
      </c>
      <c r="BB68" s="138">
        <f ca="1">_xll.qlCalendarAdvance(BB10,BB11,"-2D")</f>
        <v>42985</v>
      </c>
      <c r="BC68" s="138">
        <f ca="1">_xll.qlCalendarAdvance(BC10,BC11,"-2D")</f>
        <v>43350</v>
      </c>
      <c r="BD68" s="138">
        <f ca="1">_xll.qlCalendarAdvance(BD10,BD11,"-2D")</f>
        <v>43717</v>
      </c>
      <c r="BE68" s="138">
        <f ca="1">_xll.qlCalendarAdvance(BE10,BE11,"-2D")</f>
        <v>44081</v>
      </c>
      <c r="BF68" s="138">
        <f ca="1">_xll.qlCalendarAdvance(BF10,BF11,"-2D")</f>
        <v>44446</v>
      </c>
      <c r="BG68" s="138">
        <f ca="1">_xll.qlCalendarAdvance(BG10,BG11,"-2D")</f>
        <v>44811</v>
      </c>
      <c r="BH68" s="138">
        <f ca="1">_xll.qlCalendarAdvance(BH10,BH11,"-2D")</f>
        <v>45176</v>
      </c>
      <c r="BI68" s="138">
        <f ca="1">_xll.qlCalendarAdvance(BI10,BI11,"-2D")</f>
        <v>45544</v>
      </c>
      <c r="BJ68" s="138">
        <f ca="1">_xll.qlCalendarAdvance(BJ10,BJ11,"-2D")</f>
        <v>45908</v>
      </c>
      <c r="BK68" s="138">
        <f ca="1">_xll.qlCalendarAdvance(BK10,BK11,"-2D")</f>
        <v>42620</v>
      </c>
      <c r="BL68" s="138">
        <f ca="1">_xll.qlCalendarAdvance(BL10,BL11,"-2D")</f>
        <v>42985</v>
      </c>
      <c r="BM68" s="138">
        <f ca="1">_xll.qlCalendarAdvance(BM10,BM11,"-2D")</f>
        <v>43350</v>
      </c>
      <c r="BN68" s="138">
        <f ca="1">_xll.qlCalendarAdvance(BN10,BN11,"-2D")</f>
        <v>43717</v>
      </c>
      <c r="BO68" s="138">
        <f ca="1">_xll.qlCalendarAdvance(BO10,BO11,"-2D")</f>
        <v>44081</v>
      </c>
      <c r="BP68" s="138">
        <f ca="1">_xll.qlCalendarAdvance(BP10,BP11,"-2D")</f>
        <v>44446</v>
      </c>
      <c r="BQ68" s="138">
        <f ca="1">_xll.qlCalendarAdvance(BQ10,BQ11,"-2D")</f>
        <v>44811</v>
      </c>
      <c r="BR68" s="138">
        <f ca="1">_xll.qlCalendarAdvance(BR10,BR11,"-2D")</f>
        <v>45176</v>
      </c>
      <c r="BS68" s="138">
        <f ca="1">_xll.qlCalendarAdvance(BS10,BS11,"-2D")</f>
        <v>45544</v>
      </c>
      <c r="BT68" s="138">
        <f ca="1">_xll.qlCalendarAdvance(BT10,BT11,"-2D")</f>
        <v>45908</v>
      </c>
      <c r="BU68" s="138">
        <f ca="1">_xll.qlCalendarAdvance(BU10,BU11,"-2D")</f>
        <v>42620</v>
      </c>
      <c r="BV68" s="138">
        <f ca="1">_xll.qlCalendarAdvance(BV10,BV11,"-2D")</f>
        <v>42985</v>
      </c>
      <c r="BW68" s="138">
        <f ca="1">_xll.qlCalendarAdvance(BW10,BW11,"-2D")</f>
        <v>43350</v>
      </c>
      <c r="BX68" s="138">
        <f ca="1">_xll.qlCalendarAdvance(BX10,BX11,"-2D")</f>
        <v>43717</v>
      </c>
      <c r="BY68" s="138">
        <f ca="1">_xll.qlCalendarAdvance(BY10,BY11,"-2D")</f>
        <v>44081</v>
      </c>
      <c r="BZ68" s="138">
        <f ca="1">_xll.qlCalendarAdvance(BZ10,BZ11,"-2D")</f>
        <v>44446</v>
      </c>
      <c r="CA68" s="138">
        <f ca="1">_xll.qlCalendarAdvance(CA10,CA11,"-2D")</f>
        <v>44811</v>
      </c>
      <c r="CB68" s="138">
        <f ca="1">_xll.qlCalendarAdvance(CB10,CB11,"-2D")</f>
        <v>45176</v>
      </c>
      <c r="CC68" s="138">
        <f ca="1">_xll.qlCalendarAdvance(CC10,CC11,"-2D")</f>
        <v>45544</v>
      </c>
      <c r="CD68" s="138">
        <f ca="1">_xll.qlCalendarAdvance(CD10,CD11,"-2D")</f>
        <v>45908</v>
      </c>
      <c r="CE68" s="138">
        <f ca="1">_xll.qlCalendarAdvance(CE10,CE11,"-2D")</f>
        <v>42620</v>
      </c>
      <c r="CF68" s="138">
        <f ca="1">_xll.qlCalendarAdvance(CF10,CF11,"-2D")</f>
        <v>42985</v>
      </c>
      <c r="CG68" s="138">
        <f ca="1">_xll.qlCalendarAdvance(CG10,CG11,"-2D")</f>
        <v>43350</v>
      </c>
      <c r="CH68" s="138">
        <f ca="1">_xll.qlCalendarAdvance(CH10,CH11,"-2D")</f>
        <v>43717</v>
      </c>
      <c r="CI68" s="138">
        <f ca="1">_xll.qlCalendarAdvance(CI10,CI11,"-2D")</f>
        <v>44081</v>
      </c>
      <c r="CJ68" s="138">
        <f ca="1">_xll.qlCalendarAdvance(CJ10,CJ11,"-2D")</f>
        <v>44446</v>
      </c>
      <c r="CK68" s="138">
        <f ca="1">_xll.qlCalendarAdvance(CK10,CK11,"-2D")</f>
        <v>44811</v>
      </c>
      <c r="CL68" s="138">
        <f ca="1">_xll.qlCalendarAdvance(CL10,CL11,"-2D")</f>
        <v>45176</v>
      </c>
      <c r="CM68" s="138">
        <f ca="1">_xll.qlCalendarAdvance(CM10,CM11,"-2D")</f>
        <v>45544</v>
      </c>
      <c r="CN68" s="138">
        <f ca="1">_xll.qlCalendarAdvance(CN10,CN11,"-2D")</f>
        <v>45908</v>
      </c>
      <c r="CO68" s="138">
        <f ca="1">_xll.qlCalendarAdvance(CO10,CO11,"-2D")</f>
        <v>42620</v>
      </c>
      <c r="CP68" s="138">
        <f ca="1">_xll.qlCalendarAdvance(CP10,CP11,"-2D")</f>
        <v>42985</v>
      </c>
      <c r="CQ68" s="138">
        <f ca="1">_xll.qlCalendarAdvance(CQ10,CQ11,"-2D")</f>
        <v>43350</v>
      </c>
      <c r="CR68" s="138">
        <f ca="1">_xll.qlCalendarAdvance(CR10,CR11,"-2D")</f>
        <v>43717</v>
      </c>
      <c r="CS68" s="138">
        <f ca="1">_xll.qlCalendarAdvance(CS10,CS11,"-2D")</f>
        <v>44081</v>
      </c>
      <c r="CT68" s="138">
        <f ca="1">_xll.qlCalendarAdvance(CT10,CT11,"-2D")</f>
        <v>44446</v>
      </c>
      <c r="CU68" s="138">
        <f ca="1">_xll.qlCalendarAdvance(CU10,CU11,"-2D")</f>
        <v>44811</v>
      </c>
      <c r="CV68" s="138">
        <f ca="1">_xll.qlCalendarAdvance(CV10,CV11,"-2D")</f>
        <v>45176</v>
      </c>
      <c r="CW68" s="138">
        <f ca="1">_xll.qlCalendarAdvance(CW10,CW11,"-2D")</f>
        <v>45544</v>
      </c>
      <c r="CX68" s="138">
        <f ca="1">_xll.qlCalendarAdvance(CX10,CX11,"-2D")</f>
        <v>45908</v>
      </c>
    </row>
    <row r="69" spans="2:126">
      <c r="B69" s="104" t="s">
        <v>30</v>
      </c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</row>
    <row r="70" spans="2:126" ht="13.5" thickBot="1">
      <c r="B70" s="107" t="s">
        <v>32</v>
      </c>
      <c r="C70" s="127"/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  <c r="AE70" s="127"/>
      <c r="AF70" s="127"/>
      <c r="AG70" s="127"/>
      <c r="AH70" s="127"/>
      <c r="AI70" s="127"/>
      <c r="AJ70" s="127"/>
      <c r="AK70" s="127"/>
      <c r="AL70" s="127"/>
      <c r="AM70" s="127"/>
      <c r="AN70" s="127"/>
      <c r="AO70" s="127"/>
      <c r="AP70" s="127"/>
      <c r="AQ70" s="127"/>
      <c r="AR70" s="127"/>
      <c r="AS70" s="127"/>
      <c r="AT70" s="127"/>
      <c r="AU70" s="127"/>
      <c r="AV70" s="127"/>
      <c r="AW70" s="127"/>
      <c r="AX70" s="127"/>
      <c r="AY70" s="127"/>
      <c r="AZ70" s="127"/>
      <c r="BA70" s="127"/>
      <c r="BB70" s="127"/>
      <c r="BC70" s="127"/>
      <c r="BD70" s="127"/>
      <c r="BE70" s="127"/>
      <c r="BF70" s="127"/>
      <c r="BG70" s="127"/>
      <c r="BH70" s="127"/>
      <c r="BI70" s="127"/>
      <c r="BJ70" s="127"/>
      <c r="BK70" s="127"/>
      <c r="BL70" s="127"/>
      <c r="BM70" s="127"/>
      <c r="BN70" s="127"/>
      <c r="BO70" s="127"/>
      <c r="BP70" s="127"/>
      <c r="BQ70" s="127"/>
      <c r="BR70" s="127"/>
      <c r="BS70" s="127"/>
      <c r="BT70" s="127"/>
      <c r="BU70" s="127"/>
      <c r="BV70" s="127"/>
      <c r="BW70" s="127"/>
      <c r="BX70" s="127"/>
      <c r="BY70" s="127"/>
      <c r="BZ70" s="127"/>
      <c r="CA70" s="127"/>
      <c r="CB70" s="127"/>
      <c r="CC70" s="127"/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27"/>
      <c r="CQ70" s="127"/>
      <c r="CR70" s="127"/>
      <c r="CS70" s="127"/>
      <c r="CT70" s="127"/>
      <c r="CU70" s="127"/>
      <c r="CV70" s="127"/>
      <c r="CW70" s="127"/>
      <c r="CX70" s="127"/>
    </row>
    <row r="72" spans="2:126">
      <c r="B72" s="48" t="s">
        <v>85</v>
      </c>
    </row>
    <row r="73" spans="2:126" ht="13.5" thickBot="1"/>
    <row r="74" spans="2:126">
      <c r="B74" s="102" t="s">
        <v>85</v>
      </c>
      <c r="C74" s="134" t="str">
        <f ca="1">_xll.qlSwaption(C76,C77,C78,C79,C80,C81)</f>
        <v>obj_00ae5#0000</v>
      </c>
      <c r="D74" s="134" t="str">
        <f ca="1">_xll.qlSwaption(D76,D77,D78,D79,D80,D81)</f>
        <v>obj_00b0c#0000</v>
      </c>
      <c r="E74" s="134" t="str">
        <f ca="1">_xll.qlSwaption(E76,E77,E78,E79,E80,E81)</f>
        <v>obj_00ad6#0000</v>
      </c>
      <c r="F74" s="134" t="str">
        <f ca="1">_xll.qlSwaption(F76,F77,F78,F79,F80,F81)</f>
        <v>obj_00ab3#0000</v>
      </c>
      <c r="G74" s="134" t="e">
        <f ca="1">_xll.qlSwaption(G76,G77,G78,G79,G80,G81)</f>
        <v>#NUM!</v>
      </c>
      <c r="H74" s="134" t="str">
        <f ca="1">_xll.qlSwaption(H76,H77,H78,H79,H80,H81)</f>
        <v>obj_00aca#0000</v>
      </c>
      <c r="I74" s="134" t="e">
        <f ca="1">_xll.qlSwaption(I76,I77,I78,I79,I80,I81)</f>
        <v>#NUM!</v>
      </c>
      <c r="J74" s="134" t="e">
        <f ca="1">_xll.qlSwaption(J76,J77,J78,J79,J80,J81)</f>
        <v>#NUM!</v>
      </c>
      <c r="K74" s="134" t="str">
        <f ca="1">_xll.qlSwaption(K76,K77,K78,K79,K80,K81)</f>
        <v>obj_00ad1#0000</v>
      </c>
      <c r="L74" s="134" t="str">
        <f ca="1">_xll.qlSwaption(L76,L77,L78,L79,L80,L81)</f>
        <v>obj_00ac2#0000</v>
      </c>
      <c r="M74" s="134" t="str">
        <f ca="1">_xll.qlSwaption(M76,M77,M78,M79,M80,M81)</f>
        <v>obj_00afe#0000</v>
      </c>
      <c r="N74" s="134" t="e">
        <f ca="1">_xll.qlSwaption(N76,N77,N78,N79,N80,N81)</f>
        <v>#NUM!</v>
      </c>
      <c r="O74" s="134" t="str">
        <f ca="1">_xll.qlSwaption(O76,O77,O78,O79,O80,O81)</f>
        <v>obj_00af0#0000</v>
      </c>
      <c r="P74" s="134" t="e">
        <f ca="1">_xll.qlSwaption(P76,P77,P78,P79,P80,P81)</f>
        <v>#NUM!</v>
      </c>
      <c r="Q74" s="134" t="str">
        <f ca="1">_xll.qlSwaption(Q76,Q77,Q78,Q79,Q80,Q81)</f>
        <v>obj_00ad2#0000</v>
      </c>
      <c r="R74" s="134" t="str">
        <f ca="1">_xll.qlSwaption(R76,R77,R78,R79,R80,R81)</f>
        <v>obj_00ae7#0000</v>
      </c>
      <c r="S74" s="134" t="str">
        <f ca="1">_xll.qlSwaption(S76,S77,S78,S79,S80,S81)</f>
        <v>obj_00ab7#0000</v>
      </c>
      <c r="T74" s="134" t="str">
        <f ca="1">_xll.qlSwaption(T76,T77,T78,T79,T80,T81)</f>
        <v>obj_00ae8#0000</v>
      </c>
      <c r="U74" s="134" t="str">
        <f ca="1">_xll.qlSwaption(U76,U77,U78,U79,U80,U81)</f>
        <v>obj_00ab8#0000</v>
      </c>
      <c r="V74" s="134" t="e">
        <f ca="1">_xll.qlSwaption(V76,V77,V78,V79,V80,V81)</f>
        <v>#NUM!</v>
      </c>
      <c r="W74" s="134" t="e">
        <f ca="1">_xll.qlSwaption(W76,W77,W78,W79,W80,W81)</f>
        <v>#NUM!</v>
      </c>
      <c r="X74" s="134" t="str">
        <f ca="1">_xll.qlSwaption(X76,X77,X78,X79,X80,X81)</f>
        <v>obj_00af3#0000</v>
      </c>
      <c r="Y74" s="134" t="str">
        <f ca="1">_xll.qlSwaption(Y76,Y77,Y78,Y79,Y80,Y81)</f>
        <v>obj_00ad8#0000</v>
      </c>
      <c r="Z74" s="134" t="e">
        <f ca="1">_xll.qlSwaption(Z76,Z77,Z78,Z79,Z80,Z81)</f>
        <v>#NUM!</v>
      </c>
      <c r="AA74" s="134" t="str">
        <f ca="1">_xll.qlSwaption(AA76,AA77,AA78,AA79,AA80,AA81)</f>
        <v>obj_00ada#0000</v>
      </c>
      <c r="AB74" s="134" t="e">
        <f ca="1">_xll.qlSwaption(AB76,AB77,AB78,AB79,AB80,AB81)</f>
        <v>#NUM!</v>
      </c>
      <c r="AC74" s="134" t="str">
        <f ca="1">_xll.qlSwaption(AC76,AC77,AC78,AC79,AC80,AC81)</f>
        <v>obj_00b01#0000</v>
      </c>
      <c r="AD74" s="134" t="e">
        <f ca="1">_xll.qlSwaption(AD76,AD77,AD78,AD79,AD80,AD81)</f>
        <v>#NUM!</v>
      </c>
      <c r="AE74" s="134" t="e">
        <f ca="1">_xll.qlSwaption(AE76,AE77,AE78,AE79,AE80,AE81)</f>
        <v>#NUM!</v>
      </c>
      <c r="AF74" s="134" t="str">
        <f ca="1">_xll.qlSwaption(AF76,AF77,AF78,AF79,AF80,AF81)</f>
        <v>obj_00af2#0000</v>
      </c>
      <c r="AG74" s="134" t="str">
        <f ca="1">_xll.qlSwaption(AG76,AG77,AG78,AG79,AG80,AG81)</f>
        <v>obj_00b14#0000</v>
      </c>
      <c r="AH74" s="134" t="str">
        <f ca="1">_xll.qlSwaption(AH76,AH77,AH78,AH79,AH80,AH81)</f>
        <v>obj_00af1#0000</v>
      </c>
      <c r="AI74" s="134" t="e">
        <f ca="1">_xll.qlSwaption(AI76,AI77,AI78,AI79,AI80,AI81)</f>
        <v>#NUM!</v>
      </c>
      <c r="AJ74" s="134" t="str">
        <f ca="1">_xll.qlSwaption(AJ76,AJ77,AJ78,AJ79,AJ80,AJ81)</f>
        <v>obj_00ad5#0000</v>
      </c>
      <c r="AK74" s="134" t="str">
        <f ca="1">_xll.qlSwaption(AK76,AK77,AK78,AK79,AK80,AK81)</f>
        <v>obj_00ae9#0000</v>
      </c>
      <c r="AL74" s="134" t="str">
        <f ca="1">_xll.qlSwaption(AL76,AL77,AL78,AL79,AL80,AL81)</f>
        <v>obj_00ac3#0000</v>
      </c>
      <c r="AM74" s="134" t="e">
        <f ca="1">_xll.qlSwaption(AM76,AM77,AM78,AM79,AM80,AM81)</f>
        <v>#NUM!</v>
      </c>
      <c r="AN74" s="134" t="e">
        <f ca="1">_xll.qlSwaption(AN76,AN77,AN78,AN79,AN80,AN81)</f>
        <v>#NUM!</v>
      </c>
      <c r="AO74" s="134" t="e">
        <f ca="1">_xll.qlSwaption(AO76,AO77,AO78,AO79,AO80,AO81)</f>
        <v>#NUM!</v>
      </c>
      <c r="AP74" s="134" t="str">
        <f ca="1">_xll.qlSwaption(AP76,AP77,AP78,AP79,AP80,AP81)</f>
        <v>obj_00ad4#0000</v>
      </c>
      <c r="AQ74" s="134" t="str">
        <f ca="1">_xll.qlSwaption(AQ76,AQ77,AQ78,AQ79,AQ80,AQ81)</f>
        <v>obj_00ac0#0000</v>
      </c>
      <c r="AR74" s="134" t="str">
        <f ca="1">_xll.qlSwaption(AR76,AR77,AR78,AR79,AR80,AR81)</f>
        <v>obj_00ad9#0000</v>
      </c>
      <c r="AS74" s="134" t="e">
        <f ca="1">_xll.qlSwaption(AS76,AS77,AS78,AS79,AS80,AS81)</f>
        <v>#NUM!</v>
      </c>
      <c r="AT74" s="134" t="e">
        <f ca="1">_xll.qlSwaption(AT76,AT77,AT78,AT79,AT80,AT81)</f>
        <v>#NUM!</v>
      </c>
      <c r="AU74" s="134" t="str">
        <f ca="1">_xll.qlSwaption(AU76,AU77,AU78,AU79,AU80,AU81)</f>
        <v>obj_00aff#0000</v>
      </c>
      <c r="AV74" s="134" t="e">
        <f ca="1">_xll.qlSwaption(AV76,AV77,AV78,AV79,AV80,AV81)</f>
        <v>#NUM!</v>
      </c>
      <c r="AW74" s="134" t="str">
        <f ca="1">_xll.qlSwaption(AW76,AW77,AW78,AW79,AW80,AW81)</f>
        <v>obj_00b12#0000</v>
      </c>
      <c r="AX74" s="134" t="e">
        <f ca="1">_xll.qlSwaption(AX76,AX77,AX78,AX79,AX80,AX81)</f>
        <v>#NUM!</v>
      </c>
      <c r="AY74" s="134" t="str">
        <f ca="1">_xll.qlSwaption(AY76,AY77,AY78,AY79,AY80,AY81)</f>
        <v>obj_00ace#0000</v>
      </c>
      <c r="AZ74" s="134" t="str">
        <f ca="1">_xll.qlSwaption(AZ76,AZ77,AZ78,AZ79,AZ80,AZ81)</f>
        <v>obj_00ab9#0000</v>
      </c>
      <c r="BA74" s="134" t="str">
        <f ca="1">_xll.qlSwaption(BA76,BA77,BA78,BA79,BA80,BA81)</f>
        <v>obj_00abb#0000</v>
      </c>
      <c r="BB74" s="134" t="str">
        <f ca="1">_xll.qlSwaption(BB76,BB77,BB78,BB79,BB80,BB81)</f>
        <v>obj_00ae3#0000</v>
      </c>
      <c r="BC74" s="134" t="str">
        <f ca="1">_xll.qlSwaption(BC76,BC77,BC78,BC79,BC80,BC81)</f>
        <v>obj_00abc#0000</v>
      </c>
      <c r="BD74" s="134" t="str">
        <f ca="1">_xll.qlSwaption(BD76,BD77,BD78,BD79,BD80,BD81)</f>
        <v>obj_00b0e#0000</v>
      </c>
      <c r="BE74" s="134" t="str">
        <f ca="1">_xll.qlSwaption(BE76,BE77,BE78,BE79,BE80,BE81)</f>
        <v>obj_00afb#0000</v>
      </c>
      <c r="BF74" s="134" t="str">
        <f ca="1">_xll.qlSwaption(BF76,BF77,BF78,BF79,BF80,BF81)</f>
        <v>obj_00abd#0000</v>
      </c>
      <c r="BG74" s="134" t="str">
        <f ca="1">_xll.qlSwaption(BG76,BG77,BG78,BG79,BG80,BG81)</f>
        <v>obj_00aba#0000</v>
      </c>
      <c r="BH74" s="134" t="e">
        <f ca="1">_xll.qlSwaption(BH76,BH77,BH78,BH79,BH80,BH81)</f>
        <v>#NUM!</v>
      </c>
      <c r="BI74" s="134" t="str">
        <f ca="1">_xll.qlSwaption(BI76,BI77,BI78,BI79,BI80,BI81)</f>
        <v>obj_00b02#0000</v>
      </c>
      <c r="BJ74" s="134" t="e">
        <f ca="1">_xll.qlSwaption(BJ76,BJ77,BJ78,BJ79,BJ80,BJ81)</f>
        <v>#NUM!</v>
      </c>
      <c r="BK74" s="134" t="e">
        <f ca="1">_xll.qlSwaption(BK76,BK77,BK78,BK79,BK80,BK81)</f>
        <v>#NUM!</v>
      </c>
      <c r="BL74" s="134" t="e">
        <f ca="1">_xll.qlSwaption(BL76,BL77,BL78,BL79,BL80,BL81)</f>
        <v>#NUM!</v>
      </c>
      <c r="BM74" s="134" t="str">
        <f ca="1">_xll.qlSwaption(BM76,BM77,BM78,BM79,BM80,BM81)</f>
        <v>obj_00abf#0000</v>
      </c>
      <c r="BN74" s="134" t="str">
        <f ca="1">_xll.qlSwaption(BN76,BN77,BN78,BN79,BN80,BN81)</f>
        <v>obj_00b00#0000</v>
      </c>
      <c r="BO74" s="134" t="e">
        <f ca="1">_xll.qlSwaption(BO76,BO77,BO78,BO79,BO80,BO81)</f>
        <v>#NUM!</v>
      </c>
      <c r="BP74" s="134" t="str">
        <f ca="1">_xll.qlSwaption(BP76,BP77,BP78,BP79,BP80,BP81)</f>
        <v>obj_00ad3#0000</v>
      </c>
      <c r="BQ74" s="134" t="str">
        <f ca="1">_xll.qlSwaption(BQ76,BQ77,BQ78,BQ79,BQ80,BQ81)</f>
        <v>obj_00af5#0000</v>
      </c>
      <c r="BR74" s="134" t="e">
        <f ca="1">_xll.qlSwaption(BR76,BR77,BR78,BR79,BR80,BR81)</f>
        <v>#NUM!</v>
      </c>
      <c r="BS74" s="134" t="e">
        <f ca="1">_xll.qlSwaption(BS76,BS77,BS78,BS79,BS80,BS81)</f>
        <v>#NUM!</v>
      </c>
      <c r="BT74" s="134" t="str">
        <f ca="1">_xll.qlSwaption(BT76,BT77,BT78,BT79,BT80,BT81)</f>
        <v>obj_00af4#0000</v>
      </c>
      <c r="BU74" s="134" t="str">
        <f ca="1">_xll.qlSwaption(BU76,BU77,BU78,BU79,BU80,BU81)</f>
        <v>obj_00ad7#0000</v>
      </c>
      <c r="BV74" s="134" t="str">
        <f ca="1">_xll.qlSwaption(BV76,BV77,BV78,BV79,BV80,BV81)</f>
        <v>obj_00b0d#0000</v>
      </c>
      <c r="BW74" s="134" t="str">
        <f ca="1">_xll.qlSwaption(BW76,BW77,BW78,BW79,BW80,BW81)</f>
        <v>obj_00ad0#0000</v>
      </c>
      <c r="BX74" s="134" t="str">
        <f ca="1">_xll.qlSwaption(BX76,BX77,BX78,BX79,BX80,BX81)</f>
        <v>obj_00acc#0000</v>
      </c>
      <c r="BY74" s="134" t="str">
        <f ca="1">_xll.qlSwaption(BY76,BY77,BY78,BY79,BY80,BY81)</f>
        <v>obj_00ae4#0000</v>
      </c>
      <c r="BZ74" s="134" t="e">
        <f ca="1">_xll.qlSwaption(BZ76,BZ77,BZ78,BZ79,BZ80,BZ81)</f>
        <v>#NUM!</v>
      </c>
      <c r="CA74" s="134" t="str">
        <f ca="1">_xll.qlSwaption(CA76,CA77,CA78,CA79,CA80,CA81)</f>
        <v>obj_00aed#0000</v>
      </c>
      <c r="CB74" s="134" t="str">
        <f ca="1">_xll.qlSwaption(CB76,CB77,CB78,CB79,CB80,CB81)</f>
        <v>obj_00ae2#0000</v>
      </c>
      <c r="CC74" s="134" t="str">
        <f ca="1">_xll.qlSwaption(CC76,CC77,CC78,CC79,CC80,CC81)</f>
        <v>obj_00ac1#0000</v>
      </c>
      <c r="CD74" s="134" t="str">
        <f ca="1">_xll.qlSwaption(CD76,CD77,CD78,CD79,CD80,CD81)</f>
        <v>obj_00b0f#0000</v>
      </c>
      <c r="CE74" s="134" t="str">
        <f ca="1">_xll.qlSwaption(CE76,CE77,CE78,CE79,CE80,CE81)</f>
        <v>obj_00acb#0000</v>
      </c>
      <c r="CF74" s="134" t="str">
        <f ca="1">_xll.qlSwaption(CF76,CF77,CF78,CF79,CF80,CF81)</f>
        <v>obj_00ae1#0000</v>
      </c>
      <c r="CG74" s="134" t="str">
        <f ca="1">_xll.qlSwaption(CG76,CG77,CG78,CG79,CG80,CG81)</f>
        <v>obj_00afc#0000</v>
      </c>
      <c r="CH74" s="134" t="e">
        <f ca="1">_xll.qlSwaption(CH76,CH77,CH78,CH79,CH80,CH81)</f>
        <v>#NUM!</v>
      </c>
      <c r="CI74" s="134" t="e">
        <f ca="1">_xll.qlSwaption(CI76,CI77,CI78,CI79,CI80,CI81)</f>
        <v>#NUM!</v>
      </c>
      <c r="CJ74" s="134" t="str">
        <f ca="1">_xll.qlSwaption(CJ76,CJ77,CJ78,CJ79,CJ80,CJ81)</f>
        <v>obj_00ab6#0000</v>
      </c>
      <c r="CK74" s="134" t="str">
        <f ca="1">_xll.qlSwaption(CK76,CK77,CK78,CK79,CK80,CK81)</f>
        <v>obj_00afd#0000</v>
      </c>
      <c r="CL74" s="134" t="e">
        <f ca="1">_xll.qlSwaption(CL76,CL77,CL78,CL79,CL80,CL81)</f>
        <v>#NUM!</v>
      </c>
      <c r="CM74" s="134" t="str">
        <f ca="1">_xll.qlSwaption(CM76,CM77,CM78,CM79,CM80,CM81)</f>
        <v>obj_00b10#0000</v>
      </c>
      <c r="CN74" s="134" t="str">
        <f ca="1">_xll.qlSwaption(CN76,CN77,CN78,CN79,CN80,CN81)</f>
        <v>obj_00acd#0000</v>
      </c>
      <c r="CO74" s="134" t="str">
        <f ca="1">_xll.qlSwaption(CO76,CO77,CO78,CO79,CO80,CO81)</f>
        <v>obj_00aef#0000</v>
      </c>
      <c r="CP74" s="134" t="str">
        <f ca="1">_xll.qlSwaption(CP76,CP77,CP78,CP79,CP80,CP81)</f>
        <v>obj_00b11#0000</v>
      </c>
      <c r="CQ74" s="134" t="e">
        <f ca="1">_xll.qlSwaption(CQ76,CQ77,CQ78,CQ79,CQ80,CQ81)</f>
        <v>#NUM!</v>
      </c>
      <c r="CR74" s="134" t="str">
        <f ca="1">_xll.qlSwaption(CR76,CR77,CR78,CR79,CR80,CR81)</f>
        <v>obj_00ab4#0000</v>
      </c>
      <c r="CS74" s="134" t="str">
        <f ca="1">_xll.qlSwaption(CS76,CS77,CS78,CS79,CS80,CS81)</f>
        <v>obj_00abe#0000</v>
      </c>
      <c r="CT74" s="134" t="str">
        <f ca="1">_xll.qlSwaption(CT76,CT77,CT78,CT79,CT80,CT81)</f>
        <v>obj_00aee#0000</v>
      </c>
      <c r="CU74" s="134" t="str">
        <f ca="1">_xll.qlSwaption(CU76,CU77,CU78,CU79,CU80,CU81)</f>
        <v>obj_00b13#0000</v>
      </c>
      <c r="CV74" s="134" t="str">
        <f ca="1">_xll.qlSwaption(CV76,CV77,CV78,CV79,CV80,CV81)</f>
        <v>obj_00acf#0000</v>
      </c>
      <c r="CW74" s="134" t="str">
        <f ca="1">_xll.qlSwaption(CW76,CW77,CW78,CW79,CW80,CW81)</f>
        <v>obj_00ae6#0000</v>
      </c>
      <c r="CX74" s="134" t="str">
        <f ca="1">_xll.qlSwaption(CX76,CX77,CX78,CX79,CX80,CX81)</f>
        <v>obj_00ab5#0000</v>
      </c>
    </row>
    <row r="75" spans="2:126" ht="13.5" thickBot="1">
      <c r="B75" s="107" t="s">
        <v>5</v>
      </c>
      <c r="C75" s="114" t="str">
        <f ca="1">_xll.ohRangeRetrieveError(C74)</f>
        <v/>
      </c>
      <c r="D75" s="114" t="str">
        <f ca="1">_xll.ohRangeRetrieveError(D74)</f>
        <v/>
      </c>
      <c r="E75" s="114" t="str">
        <f ca="1">_xll.ohRangeRetrieveError(E74)</f>
        <v/>
      </c>
      <c r="F75" s="114" t="str">
        <f ca="1">_xll.ohRangeRetrieveError(F74)</f>
        <v/>
      </c>
      <c r="G75" s="114" t="e">
        <f ca="1">_xll.ohRangeRetrieveError(G74)</f>
        <v>#NUM!</v>
      </c>
      <c r="H75" s="114" t="str">
        <f ca="1">_xll.ohRangeRetrieveError(H74)</f>
        <v/>
      </c>
      <c r="I75" s="114" t="e">
        <f ca="1">_xll.ohRangeRetrieveError(I74)</f>
        <v>#NUM!</v>
      </c>
      <c r="J75" s="114" t="e">
        <f ca="1">_xll.ohRangeRetrieveError(J74)</f>
        <v>#NUM!</v>
      </c>
      <c r="K75" s="114" t="str">
        <f ca="1">_xll.ohRangeRetrieveError(K74)</f>
        <v/>
      </c>
      <c r="L75" s="114" t="str">
        <f ca="1">_xll.ohRangeRetrieveError(L74)</f>
        <v/>
      </c>
      <c r="M75" s="114" t="str">
        <f ca="1">_xll.ohRangeRetrieveError(M74)</f>
        <v/>
      </c>
      <c r="N75" s="114" t="e">
        <f ca="1">_xll.ohRangeRetrieveError(N74)</f>
        <v>#NUM!</v>
      </c>
      <c r="O75" s="114" t="str">
        <f ca="1">_xll.ohRangeRetrieveError(O74)</f>
        <v/>
      </c>
      <c r="P75" s="114" t="e">
        <f ca="1">_xll.ohRangeRetrieveError(P74)</f>
        <v>#NUM!</v>
      </c>
      <c r="Q75" s="114" t="str">
        <f ca="1">_xll.ohRangeRetrieveError(Q74)</f>
        <v/>
      </c>
      <c r="R75" s="114" t="str">
        <f ca="1">_xll.ohRangeRetrieveError(R74)</f>
        <v/>
      </c>
      <c r="S75" s="114" t="str">
        <f ca="1">_xll.ohRangeRetrieveError(S74)</f>
        <v/>
      </c>
      <c r="T75" s="114" t="str">
        <f ca="1">_xll.ohRangeRetrieveError(T74)</f>
        <v/>
      </c>
      <c r="U75" s="114" t="str">
        <f ca="1">_xll.ohRangeRetrieveError(U74)</f>
        <v/>
      </c>
      <c r="V75" s="114" t="e">
        <f ca="1">_xll.ohRangeRetrieveError(V74)</f>
        <v>#NUM!</v>
      </c>
      <c r="W75" s="114" t="e">
        <f ca="1">_xll.ohRangeRetrieveError(W74)</f>
        <v>#NUM!</v>
      </c>
      <c r="X75" s="114" t="str">
        <f ca="1">_xll.ohRangeRetrieveError(X74)</f>
        <v/>
      </c>
      <c r="Y75" s="114" t="str">
        <f ca="1">_xll.ohRangeRetrieveError(Y74)</f>
        <v/>
      </c>
      <c r="Z75" s="114" t="e">
        <f ca="1">_xll.ohRangeRetrieveError(Z74)</f>
        <v>#NUM!</v>
      </c>
      <c r="AA75" s="114" t="str">
        <f ca="1">_xll.ohRangeRetrieveError(AA74)</f>
        <v/>
      </c>
      <c r="AB75" s="114" t="e">
        <f ca="1">_xll.ohRangeRetrieveError(AB74)</f>
        <v>#NUM!</v>
      </c>
      <c r="AC75" s="114" t="str">
        <f ca="1">_xll.ohRangeRetrieveError(AC74)</f>
        <v/>
      </c>
      <c r="AD75" s="114" t="e">
        <f ca="1">_xll.ohRangeRetrieveError(AD74)</f>
        <v>#NUM!</v>
      </c>
      <c r="AE75" s="114" t="e">
        <f ca="1">_xll.ohRangeRetrieveError(AE74)</f>
        <v>#NUM!</v>
      </c>
      <c r="AF75" s="114" t="str">
        <f ca="1">_xll.ohRangeRetrieveError(AF74)</f>
        <v/>
      </c>
      <c r="AG75" s="114" t="str">
        <f ca="1">_xll.ohRangeRetrieveError(AG74)</f>
        <v/>
      </c>
      <c r="AH75" s="114" t="str">
        <f ca="1">_xll.ohRangeRetrieveError(AH74)</f>
        <v/>
      </c>
      <c r="AI75" s="114" t="e">
        <f ca="1">_xll.ohRangeRetrieveError(AI74)</f>
        <v>#NUM!</v>
      </c>
      <c r="AJ75" s="114" t="str">
        <f ca="1">_xll.ohRangeRetrieveError(AJ74)</f>
        <v/>
      </c>
      <c r="AK75" s="114" t="str">
        <f ca="1">_xll.ohRangeRetrieveError(AK74)</f>
        <v/>
      </c>
      <c r="AL75" s="114" t="str">
        <f ca="1">_xll.ohRangeRetrieveError(AL74)</f>
        <v/>
      </c>
      <c r="AM75" s="114" t="e">
        <f ca="1">_xll.ohRangeRetrieveError(AM74)</f>
        <v>#NUM!</v>
      </c>
      <c r="AN75" s="114" t="e">
        <f ca="1">_xll.ohRangeRetrieveError(AN74)</f>
        <v>#NUM!</v>
      </c>
      <c r="AO75" s="114" t="e">
        <f ca="1">_xll.ohRangeRetrieveError(AO74)</f>
        <v>#NUM!</v>
      </c>
      <c r="AP75" s="114" t="str">
        <f ca="1">_xll.ohRangeRetrieveError(AP74)</f>
        <v/>
      </c>
      <c r="AQ75" s="114" t="str">
        <f ca="1">_xll.ohRangeRetrieveError(AQ74)</f>
        <v/>
      </c>
      <c r="AR75" s="114" t="str">
        <f ca="1">_xll.ohRangeRetrieveError(AR74)</f>
        <v/>
      </c>
      <c r="AS75" s="114" t="e">
        <f ca="1">_xll.ohRangeRetrieveError(AS74)</f>
        <v>#NUM!</v>
      </c>
      <c r="AT75" s="114" t="e">
        <f ca="1">_xll.ohRangeRetrieveError(AT74)</f>
        <v>#NUM!</v>
      </c>
      <c r="AU75" s="114" t="str">
        <f ca="1">_xll.ohRangeRetrieveError(AU74)</f>
        <v/>
      </c>
      <c r="AV75" s="114" t="e">
        <f ca="1">_xll.ohRangeRetrieveError(AV74)</f>
        <v>#NUM!</v>
      </c>
      <c r="AW75" s="114" t="str">
        <f ca="1">_xll.ohRangeRetrieveError(AW74)</f>
        <v/>
      </c>
      <c r="AX75" s="114" t="e">
        <f ca="1">_xll.ohRangeRetrieveError(AX74)</f>
        <v>#NUM!</v>
      </c>
      <c r="AY75" s="114" t="str">
        <f ca="1">_xll.ohRangeRetrieveError(AY74)</f>
        <v/>
      </c>
      <c r="AZ75" s="114" t="str">
        <f ca="1">_xll.ohRangeRetrieveError(AZ74)</f>
        <v/>
      </c>
      <c r="BA75" s="114" t="str">
        <f ca="1">_xll.ohRangeRetrieveError(BA74)</f>
        <v/>
      </c>
      <c r="BB75" s="114" t="str">
        <f ca="1">_xll.ohRangeRetrieveError(BB74)</f>
        <v/>
      </c>
      <c r="BC75" s="114" t="str">
        <f ca="1">_xll.ohRangeRetrieveError(BC74)</f>
        <v/>
      </c>
      <c r="BD75" s="114" t="str">
        <f ca="1">_xll.ohRangeRetrieveError(BD74)</f>
        <v/>
      </c>
      <c r="BE75" s="114" t="str">
        <f ca="1">_xll.ohRangeRetrieveError(BE74)</f>
        <v/>
      </c>
      <c r="BF75" s="114" t="str">
        <f ca="1">_xll.ohRangeRetrieveError(BF74)</f>
        <v/>
      </c>
      <c r="BG75" s="114" t="str">
        <f ca="1">_xll.ohRangeRetrieveError(BG74)</f>
        <v/>
      </c>
      <c r="BH75" s="114" t="e">
        <f ca="1">_xll.ohRangeRetrieveError(BH74)</f>
        <v>#NUM!</v>
      </c>
      <c r="BI75" s="114" t="str">
        <f ca="1">_xll.ohRangeRetrieveError(BI74)</f>
        <v/>
      </c>
      <c r="BJ75" s="114" t="e">
        <f ca="1">_xll.ohRangeRetrieveError(BJ74)</f>
        <v>#NUM!</v>
      </c>
      <c r="BK75" s="114" t="e">
        <f ca="1">_xll.ohRangeRetrieveError(BK74)</f>
        <v>#NUM!</v>
      </c>
      <c r="BL75" s="114" t="e">
        <f ca="1">_xll.ohRangeRetrieveError(BL74)</f>
        <v>#NUM!</v>
      </c>
      <c r="BM75" s="114" t="str">
        <f ca="1">_xll.ohRangeRetrieveError(BM74)</f>
        <v/>
      </c>
      <c r="BN75" s="114" t="str">
        <f ca="1">_xll.ohRangeRetrieveError(BN74)</f>
        <v/>
      </c>
      <c r="BO75" s="114" t="e">
        <f ca="1">_xll.ohRangeRetrieveError(BO74)</f>
        <v>#NUM!</v>
      </c>
      <c r="BP75" s="114" t="str">
        <f ca="1">_xll.ohRangeRetrieveError(BP74)</f>
        <v/>
      </c>
      <c r="BQ75" s="114" t="str">
        <f ca="1">_xll.ohRangeRetrieveError(BQ74)</f>
        <v/>
      </c>
      <c r="BR75" s="114" t="e">
        <f ca="1">_xll.ohRangeRetrieveError(BR74)</f>
        <v>#NUM!</v>
      </c>
      <c r="BS75" s="114" t="e">
        <f ca="1">_xll.ohRangeRetrieveError(BS74)</f>
        <v>#NUM!</v>
      </c>
      <c r="BT75" s="114" t="str">
        <f ca="1">_xll.ohRangeRetrieveError(BT74)</f>
        <v/>
      </c>
      <c r="BU75" s="114" t="str">
        <f ca="1">_xll.ohRangeRetrieveError(BU74)</f>
        <v/>
      </c>
      <c r="BV75" s="114" t="str">
        <f ca="1">_xll.ohRangeRetrieveError(BV74)</f>
        <v/>
      </c>
      <c r="BW75" s="114" t="str">
        <f ca="1">_xll.ohRangeRetrieveError(BW74)</f>
        <v/>
      </c>
      <c r="BX75" s="114" t="str">
        <f ca="1">_xll.ohRangeRetrieveError(BX74)</f>
        <v/>
      </c>
      <c r="BY75" s="114" t="str">
        <f ca="1">_xll.ohRangeRetrieveError(BY74)</f>
        <v/>
      </c>
      <c r="BZ75" s="114" t="e">
        <f ca="1">_xll.ohRangeRetrieveError(BZ74)</f>
        <v>#NUM!</v>
      </c>
      <c r="CA75" s="114" t="str">
        <f ca="1">_xll.ohRangeRetrieveError(CA74)</f>
        <v/>
      </c>
      <c r="CB75" s="114" t="str">
        <f ca="1">_xll.ohRangeRetrieveError(CB74)</f>
        <v/>
      </c>
      <c r="CC75" s="114" t="str">
        <f ca="1">_xll.ohRangeRetrieveError(CC74)</f>
        <v/>
      </c>
      <c r="CD75" s="114" t="str">
        <f ca="1">_xll.ohRangeRetrieveError(CD74)</f>
        <v/>
      </c>
      <c r="CE75" s="114" t="str">
        <f ca="1">_xll.ohRangeRetrieveError(CE74)</f>
        <v/>
      </c>
      <c r="CF75" s="114" t="str">
        <f ca="1">_xll.ohRangeRetrieveError(CF74)</f>
        <v/>
      </c>
      <c r="CG75" s="114" t="str">
        <f ca="1">_xll.ohRangeRetrieveError(CG74)</f>
        <v/>
      </c>
      <c r="CH75" s="114" t="e">
        <f ca="1">_xll.ohRangeRetrieveError(CH74)</f>
        <v>#NUM!</v>
      </c>
      <c r="CI75" s="114" t="e">
        <f ca="1">_xll.ohRangeRetrieveError(CI74)</f>
        <v>#NUM!</v>
      </c>
      <c r="CJ75" s="114" t="str">
        <f ca="1">_xll.ohRangeRetrieveError(CJ74)</f>
        <v/>
      </c>
      <c r="CK75" s="114" t="str">
        <f ca="1">_xll.ohRangeRetrieveError(CK74)</f>
        <v/>
      </c>
      <c r="CL75" s="114" t="e">
        <f ca="1">_xll.ohRangeRetrieveError(CL74)</f>
        <v>#NUM!</v>
      </c>
      <c r="CM75" s="114" t="str">
        <f ca="1">_xll.ohRangeRetrieveError(CM74)</f>
        <v/>
      </c>
      <c r="CN75" s="114" t="str">
        <f ca="1">_xll.ohRangeRetrieveError(CN74)</f>
        <v/>
      </c>
      <c r="CO75" s="114" t="str">
        <f ca="1">_xll.ohRangeRetrieveError(CO74)</f>
        <v/>
      </c>
      <c r="CP75" s="114" t="str">
        <f ca="1">_xll.ohRangeRetrieveError(CP74)</f>
        <v/>
      </c>
      <c r="CQ75" s="114" t="e">
        <f ca="1">_xll.ohRangeRetrieveError(CQ74)</f>
        <v>#NUM!</v>
      </c>
      <c r="CR75" s="114" t="str">
        <f ca="1">_xll.ohRangeRetrieveError(CR74)</f>
        <v/>
      </c>
      <c r="CS75" s="114" t="str">
        <f ca="1">_xll.ohRangeRetrieveError(CS74)</f>
        <v/>
      </c>
      <c r="CT75" s="114" t="str">
        <f ca="1">_xll.ohRangeRetrieveError(CT74)</f>
        <v/>
      </c>
      <c r="CU75" s="114" t="str">
        <f ca="1">_xll.ohRangeRetrieveError(CU74)</f>
        <v/>
      </c>
      <c r="CV75" s="114" t="str">
        <f ca="1">_xll.ohRangeRetrieveError(CV74)</f>
        <v/>
      </c>
      <c r="CW75" s="114" t="str">
        <f ca="1">_xll.ohRangeRetrieveError(CW74)</f>
        <v/>
      </c>
      <c r="CX75" s="114" t="str">
        <f ca="1">_xll.ohRangeRetrieveError(CX74)</f>
        <v/>
      </c>
    </row>
    <row r="76" spans="2:126">
      <c r="B76" s="102" t="s">
        <v>2</v>
      </c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15"/>
      <c r="BE76" s="115"/>
      <c r="BF76" s="115"/>
      <c r="BG76" s="115"/>
      <c r="BH76" s="115"/>
      <c r="BI76" s="115"/>
      <c r="BJ76" s="115"/>
      <c r="BK76" s="115"/>
      <c r="BL76" s="115"/>
      <c r="BM76" s="115"/>
      <c r="BN76" s="115"/>
      <c r="BO76" s="115"/>
      <c r="BP76" s="115"/>
      <c r="BQ76" s="115"/>
      <c r="BR76" s="115"/>
      <c r="BS76" s="115"/>
      <c r="BT76" s="115"/>
      <c r="BU76" s="115"/>
      <c r="BV76" s="115"/>
      <c r="BW76" s="115"/>
      <c r="BX76" s="115"/>
      <c r="BY76" s="115"/>
      <c r="BZ76" s="115"/>
      <c r="CA76" s="115"/>
      <c r="CB76" s="115"/>
      <c r="CC76" s="115"/>
      <c r="CD76" s="115"/>
      <c r="CE76" s="115"/>
      <c r="CF76" s="115"/>
      <c r="CG76" s="115"/>
      <c r="CH76" s="115"/>
      <c r="CI76" s="115"/>
      <c r="CJ76" s="115"/>
      <c r="CK76" s="115"/>
      <c r="CL76" s="115"/>
      <c r="CM76" s="115"/>
      <c r="CN76" s="115"/>
      <c r="CO76" s="115"/>
      <c r="CP76" s="115"/>
      <c r="CQ76" s="115"/>
      <c r="CR76" s="115"/>
      <c r="CS76" s="115"/>
      <c r="CT76" s="115"/>
      <c r="CU76" s="115"/>
      <c r="CV76" s="115"/>
      <c r="CW76" s="115"/>
      <c r="CX76" s="115"/>
    </row>
    <row r="77" spans="2:126">
      <c r="B77" s="104" t="s">
        <v>40</v>
      </c>
      <c r="C77" s="136" t="str">
        <f t="shared" ref="C77:AH77" ca="1" si="18">C48</f>
        <v>obj_00a8d#0000</v>
      </c>
      <c r="D77" s="136" t="str">
        <f t="shared" ca="1" si="18"/>
        <v>obj_00a9f#0000</v>
      </c>
      <c r="E77" s="136" t="str">
        <f t="shared" ca="1" si="18"/>
        <v>obj_00a79#0000</v>
      </c>
      <c r="F77" s="136" t="str">
        <f t="shared" ca="1" si="18"/>
        <v>obj_00a71#0000</v>
      </c>
      <c r="G77" s="136" t="str">
        <f t="shared" ca="1" si="18"/>
        <v>obj_00a69#0000</v>
      </c>
      <c r="H77" s="136" t="str">
        <f t="shared" ca="1" si="18"/>
        <v>obj_00aa2#0000</v>
      </c>
      <c r="I77" s="136" t="str">
        <f t="shared" ca="1" si="18"/>
        <v>obj_00aac#0000</v>
      </c>
      <c r="J77" s="136" t="str">
        <f t="shared" ca="1" si="18"/>
        <v>obj_00a70#0000</v>
      </c>
      <c r="K77" s="136" t="str">
        <f t="shared" ca="1" si="18"/>
        <v>obj_00a90#0000</v>
      </c>
      <c r="L77" s="136" t="str">
        <f t="shared" ca="1" si="18"/>
        <v>obj_00aa9#0000</v>
      </c>
      <c r="M77" s="136" t="str">
        <f t="shared" ca="1" si="18"/>
        <v>obj_00a89#0000</v>
      </c>
      <c r="N77" s="136" t="str">
        <f t="shared" ca="1" si="18"/>
        <v>obj_00a53#0000</v>
      </c>
      <c r="O77" s="136" t="str">
        <f t="shared" ca="1" si="18"/>
        <v>obj_00a92#0000</v>
      </c>
      <c r="P77" s="136" t="str">
        <f t="shared" ca="1" si="18"/>
        <v>obj_00aa3#0000</v>
      </c>
      <c r="Q77" s="136" t="str">
        <f t="shared" ca="1" si="18"/>
        <v>obj_00a8c#0000</v>
      </c>
      <c r="R77" s="136" t="str">
        <f t="shared" ca="1" si="18"/>
        <v>obj_00ab0#0000</v>
      </c>
      <c r="S77" s="136" t="str">
        <f t="shared" ca="1" si="18"/>
        <v>obj_00a9b#0000</v>
      </c>
      <c r="T77" s="136" t="str">
        <f t="shared" ca="1" si="18"/>
        <v>obj_00aa8#0000</v>
      </c>
      <c r="U77" s="136" t="str">
        <f t="shared" ca="1" si="18"/>
        <v>obj_00a99#0000</v>
      </c>
      <c r="V77" s="136" t="str">
        <f t="shared" ca="1" si="18"/>
        <v>obj_00a9e#0000</v>
      </c>
      <c r="W77" s="136" t="str">
        <f t="shared" ca="1" si="18"/>
        <v>obj_00aa4#0000</v>
      </c>
      <c r="X77" s="136" t="str">
        <f t="shared" ca="1" si="18"/>
        <v>obj_00a78#0000</v>
      </c>
      <c r="Y77" s="136" t="str">
        <f t="shared" ca="1" si="18"/>
        <v>obj_00a60#0000</v>
      </c>
      <c r="Z77" s="136" t="str">
        <f t="shared" ca="1" si="18"/>
        <v>obj_00a56#0000</v>
      </c>
      <c r="AA77" s="136" t="str">
        <f t="shared" ca="1" si="18"/>
        <v>obj_00a4e#0000</v>
      </c>
      <c r="AB77" s="136" t="str">
        <f t="shared" ca="1" si="18"/>
        <v>obj_00aa5#0000</v>
      </c>
      <c r="AC77" s="136" t="str">
        <f t="shared" ca="1" si="18"/>
        <v>obj_00aa6#0000</v>
      </c>
      <c r="AD77" s="136" t="str">
        <f t="shared" ca="1" si="18"/>
        <v>obj_00a4d#0000</v>
      </c>
      <c r="AE77" s="136" t="str">
        <f t="shared" ca="1" si="18"/>
        <v>obj_00a50#0000</v>
      </c>
      <c r="AF77" s="136" t="str">
        <f t="shared" ca="1" si="18"/>
        <v>obj_00a7c#0000</v>
      </c>
      <c r="AG77" s="136" t="str">
        <f t="shared" ca="1" si="18"/>
        <v>obj_00a52#0000</v>
      </c>
      <c r="AH77" s="136" t="str">
        <f t="shared" ca="1" si="18"/>
        <v>obj_00a8a#0000</v>
      </c>
      <c r="AI77" s="136" t="str">
        <f t="shared" ref="AI77:BN77" ca="1" si="19">AI48</f>
        <v>obj_00aa7#0000</v>
      </c>
      <c r="AJ77" s="136" t="str">
        <f t="shared" ca="1" si="19"/>
        <v>obj_00a7b#0000</v>
      </c>
      <c r="AK77" s="136" t="str">
        <f t="shared" ca="1" si="19"/>
        <v>obj_00a5d#0000</v>
      </c>
      <c r="AL77" s="136" t="str">
        <f t="shared" ca="1" si="19"/>
        <v>obj_00a54#0000</v>
      </c>
      <c r="AM77" s="136" t="str">
        <f t="shared" ca="1" si="19"/>
        <v>obj_00a5b#0000</v>
      </c>
      <c r="AN77" s="136" t="str">
        <f t="shared" ca="1" si="19"/>
        <v>obj_00a74#0000</v>
      </c>
      <c r="AO77" s="136" t="str">
        <f t="shared" ca="1" si="19"/>
        <v>obj_00a6a#0000</v>
      </c>
      <c r="AP77" s="136" t="str">
        <f t="shared" ca="1" si="19"/>
        <v>obj_00a84#0000</v>
      </c>
      <c r="AQ77" s="136" t="str">
        <f t="shared" ca="1" si="19"/>
        <v>obj_00aad#0000</v>
      </c>
      <c r="AR77" s="136" t="str">
        <f t="shared" ca="1" si="19"/>
        <v>obj_00a5c#0000</v>
      </c>
      <c r="AS77" s="136" t="str">
        <f t="shared" ca="1" si="19"/>
        <v>obj_00a64#0000</v>
      </c>
      <c r="AT77" s="136" t="str">
        <f t="shared" ca="1" si="19"/>
        <v>obj_00a68#0000</v>
      </c>
      <c r="AU77" s="136" t="str">
        <f t="shared" ca="1" si="19"/>
        <v>obj_00aae#0000</v>
      </c>
      <c r="AV77" s="136" t="str">
        <f t="shared" ca="1" si="19"/>
        <v>obj_00a58#0000</v>
      </c>
      <c r="AW77" s="136" t="str">
        <f t="shared" ca="1" si="19"/>
        <v>obj_00a7a#0000</v>
      </c>
      <c r="AX77" s="136" t="str">
        <f t="shared" ca="1" si="19"/>
        <v>obj_00a75#0000</v>
      </c>
      <c r="AY77" s="136" t="str">
        <f t="shared" ca="1" si="19"/>
        <v>obj_00a57#0000</v>
      </c>
      <c r="AZ77" s="136" t="str">
        <f t="shared" ca="1" si="19"/>
        <v>obj_00a97#0000</v>
      </c>
      <c r="BA77" s="136" t="str">
        <f t="shared" ca="1" si="19"/>
        <v>obj_00a93#0000</v>
      </c>
      <c r="BB77" s="136" t="str">
        <f t="shared" ca="1" si="19"/>
        <v>obj_00a5a#0000</v>
      </c>
      <c r="BC77" s="136" t="str">
        <f t="shared" ca="1" si="19"/>
        <v>obj_00a8f#0000</v>
      </c>
      <c r="BD77" s="136" t="str">
        <f t="shared" ca="1" si="19"/>
        <v>obj_00a96#0000</v>
      </c>
      <c r="BE77" s="136" t="str">
        <f t="shared" ca="1" si="19"/>
        <v>obj_00a98#0000</v>
      </c>
      <c r="BF77" s="136" t="str">
        <f t="shared" ca="1" si="19"/>
        <v>obj_00a87#0000</v>
      </c>
      <c r="BG77" s="136" t="str">
        <f t="shared" ca="1" si="19"/>
        <v>obj_00a55#0000</v>
      </c>
      <c r="BH77" s="136" t="str">
        <f t="shared" ca="1" si="19"/>
        <v>obj_00a5f#0000</v>
      </c>
      <c r="BI77" s="136" t="str">
        <f t="shared" ca="1" si="19"/>
        <v>obj_00a61#0000</v>
      </c>
      <c r="BJ77" s="136" t="str">
        <f t="shared" ca="1" si="19"/>
        <v>obj_00a5e#0000</v>
      </c>
      <c r="BK77" s="136" t="str">
        <f t="shared" ca="1" si="19"/>
        <v>obj_00a81#0000</v>
      </c>
      <c r="BL77" s="136" t="str">
        <f t="shared" ca="1" si="19"/>
        <v>obj_00a82#0000</v>
      </c>
      <c r="BM77" s="136" t="str">
        <f t="shared" ca="1" si="19"/>
        <v>obj_00aaf#0000</v>
      </c>
      <c r="BN77" s="136" t="str">
        <f t="shared" ca="1" si="19"/>
        <v>obj_00aaa#0000</v>
      </c>
      <c r="BO77" s="136" t="str">
        <f t="shared" ref="BO77:CX77" ca="1" si="20">BO48</f>
        <v>obj_00a7f#0000</v>
      </c>
      <c r="BP77" s="136" t="str">
        <f t="shared" ca="1" si="20"/>
        <v>obj_00a88#0000</v>
      </c>
      <c r="BQ77" s="136" t="str">
        <f t="shared" ca="1" si="20"/>
        <v>obj_00a59#0000</v>
      </c>
      <c r="BR77" s="136" t="str">
        <f t="shared" ca="1" si="20"/>
        <v>obj_00a65#0000</v>
      </c>
      <c r="BS77" s="136" t="str">
        <f t="shared" ca="1" si="20"/>
        <v>obj_00a7d#0000</v>
      </c>
      <c r="BT77" s="136" t="str">
        <f t="shared" ca="1" si="20"/>
        <v>obj_00a62#0000</v>
      </c>
      <c r="BU77" s="136" t="str">
        <f t="shared" ca="1" si="20"/>
        <v>obj_00a77#0000</v>
      </c>
      <c r="BV77" s="136" t="str">
        <f t="shared" ca="1" si="20"/>
        <v>obj_00a63#0000</v>
      </c>
      <c r="BW77" s="136" t="str">
        <f t="shared" ca="1" si="20"/>
        <v>obj_00a94#0000</v>
      </c>
      <c r="BX77" s="136" t="str">
        <f t="shared" ca="1" si="20"/>
        <v>obj_00a9c#0000</v>
      </c>
      <c r="BY77" s="136" t="str">
        <f t="shared" ca="1" si="20"/>
        <v>obj_00a95#0000</v>
      </c>
      <c r="BZ77" s="136" t="str">
        <f t="shared" ca="1" si="20"/>
        <v>obj_00a80#0000</v>
      </c>
      <c r="CA77" s="136" t="str">
        <f t="shared" ca="1" si="20"/>
        <v>obj_00aa1#0000</v>
      </c>
      <c r="CB77" s="136" t="str">
        <f t="shared" ca="1" si="20"/>
        <v>obj_00a9a#0000</v>
      </c>
      <c r="CC77" s="136" t="str">
        <f t="shared" ca="1" si="20"/>
        <v>obj_00aab#0000</v>
      </c>
      <c r="CD77" s="136" t="str">
        <f t="shared" ca="1" si="20"/>
        <v>obj_00a8e#0000</v>
      </c>
      <c r="CE77" s="136" t="str">
        <f t="shared" ca="1" si="20"/>
        <v>obj_00aa0#0000</v>
      </c>
      <c r="CF77" s="136" t="str">
        <f t="shared" ca="1" si="20"/>
        <v>obj_00a6c#0000</v>
      </c>
      <c r="CG77" s="136" t="str">
        <f t="shared" ca="1" si="20"/>
        <v>obj_00a51#0000</v>
      </c>
      <c r="CH77" s="136" t="str">
        <f t="shared" ca="1" si="20"/>
        <v>obj_00a8b#0000</v>
      </c>
      <c r="CI77" s="136" t="str">
        <f t="shared" ca="1" si="20"/>
        <v>obj_00a6e#0000</v>
      </c>
      <c r="CJ77" s="136" t="str">
        <f t="shared" ca="1" si="20"/>
        <v>obj_00a6b#0000</v>
      </c>
      <c r="CK77" s="136" t="str">
        <f t="shared" ca="1" si="20"/>
        <v>obj_00a91#0000</v>
      </c>
      <c r="CL77" s="136" t="str">
        <f t="shared" ca="1" si="20"/>
        <v>obj_00a76#0000</v>
      </c>
      <c r="CM77" s="136" t="str">
        <f t="shared" ca="1" si="20"/>
        <v>obj_00a86#0000</v>
      </c>
      <c r="CN77" s="136" t="str">
        <f t="shared" ca="1" si="20"/>
        <v>obj_00a66#0000</v>
      </c>
      <c r="CO77" s="136" t="str">
        <f t="shared" ca="1" si="20"/>
        <v>obj_00a67#0000</v>
      </c>
      <c r="CP77" s="136" t="str">
        <f t="shared" ca="1" si="20"/>
        <v>obj_00a7e#0000</v>
      </c>
      <c r="CQ77" s="136" t="str">
        <f t="shared" ca="1" si="20"/>
        <v>obj_00a73#0000</v>
      </c>
      <c r="CR77" s="136" t="str">
        <f t="shared" ca="1" si="20"/>
        <v>obj_00a6f#0000</v>
      </c>
      <c r="CS77" s="136" t="str">
        <f t="shared" ca="1" si="20"/>
        <v>obj_00a83#0000</v>
      </c>
      <c r="CT77" s="136" t="str">
        <f t="shared" ca="1" si="20"/>
        <v>obj_00a9d#0000</v>
      </c>
      <c r="CU77" s="136" t="str">
        <f t="shared" ca="1" si="20"/>
        <v>obj_00a72#0000</v>
      </c>
      <c r="CV77" s="136" t="str">
        <f t="shared" ca="1" si="20"/>
        <v>obj_00a4f#0000</v>
      </c>
      <c r="CW77" s="136" t="str">
        <f t="shared" ca="1" si="20"/>
        <v>obj_00a85#0000</v>
      </c>
      <c r="CX77" s="136" t="str">
        <f t="shared" ca="1" si="20"/>
        <v>obj_00a6d#0000</v>
      </c>
    </row>
    <row r="78" spans="2:126">
      <c r="B78" s="104" t="s">
        <v>65</v>
      </c>
      <c r="C78" s="136" t="str">
        <f t="shared" ref="C78:AH78" ca="1" si="21">C65</f>
        <v>obj_008e6#0000</v>
      </c>
      <c r="D78" s="136" t="str">
        <f t="shared" ca="1" si="21"/>
        <v>obj_008be#0000</v>
      </c>
      <c r="E78" s="136" t="str">
        <f t="shared" ca="1" si="21"/>
        <v>obj_008ba#0000</v>
      </c>
      <c r="F78" s="136" t="str">
        <f t="shared" ca="1" si="21"/>
        <v>obj_00908#0000</v>
      </c>
      <c r="G78" s="136" t="str">
        <f t="shared" ca="1" si="21"/>
        <v>obj_00859#0004</v>
      </c>
      <c r="H78" s="136" t="str">
        <f t="shared" ca="1" si="21"/>
        <v>obj_008b6#0000</v>
      </c>
      <c r="I78" s="136" t="str">
        <f t="shared" ca="1" si="21"/>
        <v>obj_008f3#0004</v>
      </c>
      <c r="J78" s="136" t="str">
        <f t="shared" ca="1" si="21"/>
        <v>obj_008ac#0004</v>
      </c>
      <c r="K78" s="136" t="str">
        <f t="shared" ca="1" si="21"/>
        <v>obj_0093d#0000</v>
      </c>
      <c r="L78" s="136" t="str">
        <f t="shared" ca="1" si="21"/>
        <v>obj_0093b#0000</v>
      </c>
      <c r="M78" s="136" t="str">
        <f t="shared" ca="1" si="21"/>
        <v>obj_008b4#0000</v>
      </c>
      <c r="N78" s="136" t="str">
        <f t="shared" ca="1" si="21"/>
        <v>obj_008ff#0004</v>
      </c>
      <c r="O78" s="136" t="str">
        <f t="shared" ca="1" si="21"/>
        <v>obj_00903#0000</v>
      </c>
      <c r="P78" s="136" t="str">
        <f t="shared" ca="1" si="21"/>
        <v>obj_00897#0004</v>
      </c>
      <c r="Q78" s="136" t="str">
        <f t="shared" ca="1" si="21"/>
        <v>obj_00939#0000</v>
      </c>
      <c r="R78" s="136" t="str">
        <f t="shared" ca="1" si="21"/>
        <v>obj_00937#0000</v>
      </c>
      <c r="S78" s="136" t="str">
        <f t="shared" ca="1" si="21"/>
        <v>obj_008e5#0000</v>
      </c>
      <c r="T78" s="136" t="str">
        <f t="shared" ca="1" si="21"/>
        <v>obj_00927#0000</v>
      </c>
      <c r="U78" s="136" t="str">
        <f t="shared" ca="1" si="21"/>
        <v>obj_00934#0000</v>
      </c>
      <c r="V78" s="136" t="str">
        <f t="shared" ca="1" si="21"/>
        <v>obj_008fc#0004</v>
      </c>
      <c r="W78" s="136" t="str">
        <f t="shared" ca="1" si="21"/>
        <v>obj_00837#0004</v>
      </c>
      <c r="X78" s="136" t="str">
        <f t="shared" ca="1" si="21"/>
        <v>obj_00906#0000</v>
      </c>
      <c r="Y78" s="136" t="str">
        <f t="shared" ca="1" si="21"/>
        <v>obj_00925#0000</v>
      </c>
      <c r="Z78" s="136" t="str">
        <f t="shared" ca="1" si="21"/>
        <v>obj_00811#0004</v>
      </c>
      <c r="AA78" s="136" t="str">
        <f t="shared" ca="1" si="21"/>
        <v>obj_00932#0000</v>
      </c>
      <c r="AB78" s="136" t="str">
        <f t="shared" ca="1" si="21"/>
        <v>obj_0088a#0004</v>
      </c>
      <c r="AC78" s="136" t="str">
        <f t="shared" ca="1" si="21"/>
        <v>obj_00921#0000</v>
      </c>
      <c r="AD78" s="136" t="str">
        <f t="shared" ca="1" si="21"/>
        <v>obj_0089f#0004</v>
      </c>
      <c r="AE78" s="136" t="str">
        <f t="shared" ca="1" si="21"/>
        <v>obj_008fd#0004</v>
      </c>
      <c r="AF78" s="136" t="str">
        <f t="shared" ca="1" si="21"/>
        <v>obj_008ea#0000</v>
      </c>
      <c r="AG78" s="136" t="str">
        <f t="shared" ca="1" si="21"/>
        <v>obj_008ef#0000</v>
      </c>
      <c r="AH78" s="136" t="str">
        <f t="shared" ca="1" si="21"/>
        <v>obj_008b7#0000</v>
      </c>
      <c r="AI78" s="136" t="str">
        <f t="shared" ref="AI78:BN78" ca="1" si="22">AI65</f>
        <v>obj_00896#0004</v>
      </c>
      <c r="AJ78" s="136" t="str">
        <f t="shared" ca="1" si="22"/>
        <v>obj_008bd#0000</v>
      </c>
      <c r="AK78" s="136" t="str">
        <f t="shared" ca="1" si="22"/>
        <v>obj_008e8#0000</v>
      </c>
      <c r="AL78" s="136" t="str">
        <f t="shared" ca="1" si="22"/>
        <v>obj_00916#0000</v>
      </c>
      <c r="AM78" s="136" t="str">
        <f t="shared" ca="1" si="22"/>
        <v>obj_00826#0004</v>
      </c>
      <c r="AN78" s="136" t="str">
        <f t="shared" ca="1" si="22"/>
        <v>obj_00838#0004</v>
      </c>
      <c r="AO78" s="136" t="str">
        <f t="shared" ca="1" si="22"/>
        <v>obj_008f9#0004</v>
      </c>
      <c r="AP78" s="136" t="str">
        <f t="shared" ca="1" si="22"/>
        <v>obj_00907#0000</v>
      </c>
      <c r="AQ78" s="136" t="str">
        <f t="shared" ca="1" si="22"/>
        <v>obj_0093c#0000</v>
      </c>
      <c r="AR78" s="136" t="str">
        <f t="shared" ca="1" si="22"/>
        <v>obj_00941#0000</v>
      </c>
      <c r="AS78" s="136" t="str">
        <f t="shared" ca="1" si="22"/>
        <v>obj_008f5#0004</v>
      </c>
      <c r="AT78" s="136" t="str">
        <f t="shared" ca="1" si="22"/>
        <v>obj_008f8#0004</v>
      </c>
      <c r="AU78" s="136" t="str">
        <f t="shared" ca="1" si="22"/>
        <v>obj_00902#0000</v>
      </c>
      <c r="AV78" s="136" t="str">
        <f t="shared" ca="1" si="22"/>
        <v>obj_008f6#0004</v>
      </c>
      <c r="AW78" s="136" t="str">
        <f t="shared" ca="1" si="22"/>
        <v>obj_008b9#0000</v>
      </c>
      <c r="AX78" s="136" t="str">
        <f t="shared" ca="1" si="22"/>
        <v>obj_0087c#0004</v>
      </c>
      <c r="AY78" s="136" t="str">
        <f t="shared" ca="1" si="22"/>
        <v>obj_008e4#0000</v>
      </c>
      <c r="AZ78" s="136" t="str">
        <f t="shared" ca="1" si="22"/>
        <v>obj_0090a#0000</v>
      </c>
      <c r="BA78" s="136" t="str">
        <f t="shared" ca="1" si="22"/>
        <v>obj_00915#0000</v>
      </c>
      <c r="BB78" s="136" t="str">
        <f t="shared" ca="1" si="22"/>
        <v>obj_00936#0000</v>
      </c>
      <c r="BC78" s="136" t="str">
        <f t="shared" ca="1" si="22"/>
        <v>obj_008b2#0000</v>
      </c>
      <c r="BD78" s="136" t="str">
        <f t="shared" ca="1" si="22"/>
        <v>obj_00922#0000</v>
      </c>
      <c r="BE78" s="136" t="str">
        <f t="shared" ca="1" si="22"/>
        <v>obj_00940#0000</v>
      </c>
      <c r="BF78" s="136" t="str">
        <f t="shared" ca="1" si="22"/>
        <v>obj_008e1#0000</v>
      </c>
      <c r="BG78" s="136" t="str">
        <f t="shared" ca="1" si="22"/>
        <v>obj_00931#0000</v>
      </c>
      <c r="BH78" s="136" t="str">
        <f t="shared" ca="1" si="22"/>
        <v>obj_00889#0004</v>
      </c>
      <c r="BI78" s="136" t="str">
        <f t="shared" ca="1" si="22"/>
        <v>obj_00904#0000</v>
      </c>
      <c r="BJ78" s="136" t="str">
        <f t="shared" ca="1" si="22"/>
        <v>obj_008f2#0004</v>
      </c>
      <c r="BK78" s="136" t="str">
        <f t="shared" ca="1" si="22"/>
        <v>obj_008fa#0004</v>
      </c>
      <c r="BL78" s="136" t="str">
        <f t="shared" ca="1" si="22"/>
        <v>obj_00875#0004</v>
      </c>
      <c r="BM78" s="136" t="str">
        <f t="shared" ca="1" si="22"/>
        <v>obj_00909#0000</v>
      </c>
      <c r="BN78" s="136" t="str">
        <f t="shared" ca="1" si="22"/>
        <v>obj_008ed#0000</v>
      </c>
      <c r="BO78" s="136" t="str">
        <f t="shared" ref="BO78:CX78" ca="1" si="23">BO65</f>
        <v>obj_0085f#0004</v>
      </c>
      <c r="BP78" s="136" t="str">
        <f t="shared" ca="1" si="23"/>
        <v>obj_008bc#0000</v>
      </c>
      <c r="BQ78" s="136" t="str">
        <f t="shared" ca="1" si="23"/>
        <v>obj_008e7#0000</v>
      </c>
      <c r="BR78" s="136" t="str">
        <f t="shared" ca="1" si="23"/>
        <v>obj_0089e#0004</v>
      </c>
      <c r="BS78" s="136" t="str">
        <f t="shared" ca="1" si="23"/>
        <v>obj_008f4#0004</v>
      </c>
      <c r="BT78" s="136" t="str">
        <f t="shared" ca="1" si="23"/>
        <v>obj_008b5#0000</v>
      </c>
      <c r="BU78" s="136" t="str">
        <f t="shared" ca="1" si="23"/>
        <v>obj_00900#0000</v>
      </c>
      <c r="BV78" s="136" t="str">
        <f t="shared" ca="1" si="23"/>
        <v>obj_0093f#0000</v>
      </c>
      <c r="BW78" s="136" t="str">
        <f t="shared" ca="1" si="23"/>
        <v>obj_00914#0000</v>
      </c>
      <c r="BX78" s="136" t="str">
        <f t="shared" ca="1" si="23"/>
        <v>obj_0093a#0000</v>
      </c>
      <c r="BY78" s="136" t="str">
        <f t="shared" ca="1" si="23"/>
        <v>obj_008ee#0000</v>
      </c>
      <c r="BZ78" s="136" t="str">
        <f t="shared" ca="1" si="23"/>
        <v>obj_008fe#0004</v>
      </c>
      <c r="CA78" s="136" t="str">
        <f t="shared" ca="1" si="23"/>
        <v>obj_00901#0000</v>
      </c>
      <c r="CB78" s="136" t="str">
        <f t="shared" ca="1" si="23"/>
        <v>obj_0093e#0000</v>
      </c>
      <c r="CC78" s="136" t="str">
        <f t="shared" ca="1" si="23"/>
        <v>obj_008b8#0000</v>
      </c>
      <c r="CD78" s="136" t="str">
        <f t="shared" ca="1" si="23"/>
        <v>obj_008ec#0000</v>
      </c>
      <c r="CE78" s="136" t="str">
        <f t="shared" ca="1" si="23"/>
        <v>obj_008e3#0000</v>
      </c>
      <c r="CF78" s="136" t="str">
        <f t="shared" ca="1" si="23"/>
        <v>obj_00926#0000</v>
      </c>
      <c r="CG78" s="136" t="str">
        <f t="shared" ca="1" si="23"/>
        <v>obj_008b3#0000</v>
      </c>
      <c r="CH78" s="136" t="str">
        <f t="shared" ca="1" si="23"/>
        <v>obj_008fb#0004</v>
      </c>
      <c r="CI78" s="136" t="str">
        <f t="shared" ca="1" si="23"/>
        <v>obj_00895#0004</v>
      </c>
      <c r="CJ78" s="136" t="str">
        <f t="shared" ca="1" si="23"/>
        <v>obj_00905#0000</v>
      </c>
      <c r="CK78" s="136" t="str">
        <f t="shared" ca="1" si="23"/>
        <v>obj_00938#0000</v>
      </c>
      <c r="CL78" s="136" t="str">
        <f t="shared" ca="1" si="23"/>
        <v>obj_00874#0004</v>
      </c>
      <c r="CM78" s="136" t="str">
        <f t="shared" ca="1" si="23"/>
        <v>obj_00930#0000</v>
      </c>
      <c r="CN78" s="136" t="str">
        <f t="shared" ca="1" si="23"/>
        <v>obj_00900#0004</v>
      </c>
      <c r="CO78" s="136" t="str">
        <f t="shared" ca="1" si="23"/>
        <v>obj_00933#0000</v>
      </c>
      <c r="CP78" s="136" t="str">
        <f t="shared" ca="1" si="23"/>
        <v>obj_00935#0000</v>
      </c>
      <c r="CQ78" s="136" t="str">
        <f t="shared" ca="1" si="23"/>
        <v>obj_008f7#0004</v>
      </c>
      <c r="CR78" s="136" t="str">
        <f t="shared" ca="1" si="23"/>
        <v>obj_008e9#0000</v>
      </c>
      <c r="CS78" s="136" t="str">
        <f t="shared" ca="1" si="23"/>
        <v>obj_00924#0000</v>
      </c>
      <c r="CT78" s="136" t="str">
        <f t="shared" ca="1" si="23"/>
        <v>obj_00923#0000</v>
      </c>
      <c r="CU78" s="136" t="str">
        <f t="shared" ca="1" si="23"/>
        <v>obj_008e2#0000</v>
      </c>
      <c r="CV78" s="136" t="str">
        <f t="shared" ca="1" si="23"/>
        <v>obj_008bb#0000</v>
      </c>
      <c r="CW78" s="136" t="str">
        <f t="shared" ca="1" si="23"/>
        <v>obj_00920#0000</v>
      </c>
      <c r="CX78" s="136" t="str">
        <f t="shared" ca="1" si="23"/>
        <v>obj_008eb#0000</v>
      </c>
    </row>
    <row r="79" spans="2:126">
      <c r="B79" s="104" t="s">
        <v>86</v>
      </c>
      <c r="C79" s="116" t="s">
        <v>44</v>
      </c>
      <c r="D79" s="116" t="s">
        <v>44</v>
      </c>
      <c r="E79" s="116" t="s">
        <v>44</v>
      </c>
      <c r="F79" s="116" t="s">
        <v>44</v>
      </c>
      <c r="G79" s="116" t="s">
        <v>44</v>
      </c>
      <c r="H79" s="116" t="s">
        <v>44</v>
      </c>
      <c r="I79" s="116" t="s">
        <v>44</v>
      </c>
      <c r="J79" s="116" t="s">
        <v>44</v>
      </c>
      <c r="K79" s="116" t="s">
        <v>44</v>
      </c>
      <c r="L79" s="116" t="s">
        <v>44</v>
      </c>
      <c r="M79" s="116" t="s">
        <v>44</v>
      </c>
      <c r="N79" s="116" t="s">
        <v>44</v>
      </c>
      <c r="O79" s="116" t="s">
        <v>44</v>
      </c>
      <c r="P79" s="116" t="s">
        <v>44</v>
      </c>
      <c r="Q79" s="116" t="s">
        <v>44</v>
      </c>
      <c r="R79" s="116" t="s">
        <v>44</v>
      </c>
      <c r="S79" s="116" t="s">
        <v>44</v>
      </c>
      <c r="T79" s="116" t="s">
        <v>44</v>
      </c>
      <c r="U79" s="116" t="s">
        <v>44</v>
      </c>
      <c r="V79" s="116" t="s">
        <v>44</v>
      </c>
      <c r="W79" s="116" t="s">
        <v>44</v>
      </c>
      <c r="X79" s="116" t="s">
        <v>44</v>
      </c>
      <c r="Y79" s="116" t="s">
        <v>44</v>
      </c>
      <c r="Z79" s="116" t="s">
        <v>44</v>
      </c>
      <c r="AA79" s="116" t="s">
        <v>44</v>
      </c>
      <c r="AB79" s="116" t="s">
        <v>44</v>
      </c>
      <c r="AC79" s="116" t="s">
        <v>44</v>
      </c>
      <c r="AD79" s="116" t="s">
        <v>44</v>
      </c>
      <c r="AE79" s="116" t="s">
        <v>44</v>
      </c>
      <c r="AF79" s="116" t="s">
        <v>44</v>
      </c>
      <c r="AG79" s="116" t="s">
        <v>44</v>
      </c>
      <c r="AH79" s="116" t="s">
        <v>44</v>
      </c>
      <c r="AI79" s="116" t="s">
        <v>44</v>
      </c>
      <c r="AJ79" s="116" t="s">
        <v>44</v>
      </c>
      <c r="AK79" s="116" t="s">
        <v>44</v>
      </c>
      <c r="AL79" s="116" t="s">
        <v>44</v>
      </c>
      <c r="AM79" s="116" t="s">
        <v>44</v>
      </c>
      <c r="AN79" s="116" t="s">
        <v>44</v>
      </c>
      <c r="AO79" s="116" t="s">
        <v>44</v>
      </c>
      <c r="AP79" s="116" t="s">
        <v>44</v>
      </c>
      <c r="AQ79" s="116" t="s">
        <v>44</v>
      </c>
      <c r="AR79" s="116" t="s">
        <v>44</v>
      </c>
      <c r="AS79" s="116" t="s">
        <v>44</v>
      </c>
      <c r="AT79" s="116" t="s">
        <v>44</v>
      </c>
      <c r="AU79" s="116" t="s">
        <v>44</v>
      </c>
      <c r="AV79" s="116" t="s">
        <v>44</v>
      </c>
      <c r="AW79" s="116" t="s">
        <v>44</v>
      </c>
      <c r="AX79" s="116" t="s">
        <v>44</v>
      </c>
      <c r="AY79" s="116" t="s">
        <v>44</v>
      </c>
      <c r="AZ79" s="116" t="s">
        <v>44</v>
      </c>
      <c r="BA79" s="116" t="s">
        <v>44</v>
      </c>
      <c r="BB79" s="116" t="s">
        <v>44</v>
      </c>
      <c r="BC79" s="116" t="s">
        <v>44</v>
      </c>
      <c r="BD79" s="116" t="s">
        <v>44</v>
      </c>
      <c r="BE79" s="116" t="s">
        <v>44</v>
      </c>
      <c r="BF79" s="116" t="s">
        <v>44</v>
      </c>
      <c r="BG79" s="116" t="s">
        <v>44</v>
      </c>
      <c r="BH79" s="116" t="s">
        <v>44</v>
      </c>
      <c r="BI79" s="116" t="s">
        <v>44</v>
      </c>
      <c r="BJ79" s="116" t="s">
        <v>44</v>
      </c>
      <c r="BK79" s="116" t="s">
        <v>44</v>
      </c>
      <c r="BL79" s="116" t="s">
        <v>44</v>
      </c>
      <c r="BM79" s="116" t="s">
        <v>44</v>
      </c>
      <c r="BN79" s="116" t="s">
        <v>44</v>
      </c>
      <c r="BO79" s="116" t="s">
        <v>44</v>
      </c>
      <c r="BP79" s="116" t="s">
        <v>44</v>
      </c>
      <c r="BQ79" s="116" t="s">
        <v>44</v>
      </c>
      <c r="BR79" s="116" t="s">
        <v>44</v>
      </c>
      <c r="BS79" s="116" t="s">
        <v>44</v>
      </c>
      <c r="BT79" s="116" t="s">
        <v>44</v>
      </c>
      <c r="BU79" s="116" t="s">
        <v>44</v>
      </c>
      <c r="BV79" s="116" t="s">
        <v>44</v>
      </c>
      <c r="BW79" s="116" t="s">
        <v>44</v>
      </c>
      <c r="BX79" s="116" t="s">
        <v>44</v>
      </c>
      <c r="BY79" s="116" t="s">
        <v>44</v>
      </c>
      <c r="BZ79" s="116" t="s">
        <v>44</v>
      </c>
      <c r="CA79" s="116" t="s">
        <v>44</v>
      </c>
      <c r="CB79" s="116" t="s">
        <v>44</v>
      </c>
      <c r="CC79" s="116" t="s">
        <v>44</v>
      </c>
      <c r="CD79" s="116" t="s">
        <v>44</v>
      </c>
      <c r="CE79" s="116" t="s">
        <v>44</v>
      </c>
      <c r="CF79" s="116" t="s">
        <v>44</v>
      </c>
      <c r="CG79" s="116" t="s">
        <v>44</v>
      </c>
      <c r="CH79" s="116" t="s">
        <v>44</v>
      </c>
      <c r="CI79" s="116" t="s">
        <v>44</v>
      </c>
      <c r="CJ79" s="116" t="s">
        <v>44</v>
      </c>
      <c r="CK79" s="116" t="s">
        <v>44</v>
      </c>
      <c r="CL79" s="116" t="s">
        <v>44</v>
      </c>
      <c r="CM79" s="116" t="s">
        <v>44</v>
      </c>
      <c r="CN79" s="116" t="s">
        <v>44</v>
      </c>
      <c r="CO79" s="116" t="s">
        <v>44</v>
      </c>
      <c r="CP79" s="116" t="s">
        <v>44</v>
      </c>
      <c r="CQ79" s="116" t="s">
        <v>44</v>
      </c>
      <c r="CR79" s="116" t="s">
        <v>44</v>
      </c>
      <c r="CS79" s="116" t="s">
        <v>44</v>
      </c>
      <c r="CT79" s="116" t="s">
        <v>44</v>
      </c>
      <c r="CU79" s="116" t="s">
        <v>44</v>
      </c>
      <c r="CV79" s="116" t="s">
        <v>44</v>
      </c>
      <c r="CW79" s="116" t="s">
        <v>44</v>
      </c>
      <c r="CX79" s="116" t="s">
        <v>44</v>
      </c>
    </row>
    <row r="80" spans="2:126">
      <c r="B80" s="104" t="s">
        <v>30</v>
      </c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3"/>
      <c r="BG80" s="123"/>
      <c r="BH80" s="123"/>
      <c r="BI80" s="123"/>
      <c r="BJ80" s="123"/>
      <c r="BK80" s="123"/>
      <c r="BL80" s="123"/>
      <c r="BM80" s="123"/>
      <c r="BN80" s="123"/>
      <c r="BO80" s="123"/>
      <c r="BP80" s="123"/>
      <c r="BQ80" s="123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</row>
    <row r="81" spans="2:102" ht="13.5" thickBot="1">
      <c r="B81" s="107" t="s">
        <v>32</v>
      </c>
      <c r="C81" s="127"/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127"/>
      <c r="AO81" s="127"/>
      <c r="AP81" s="127"/>
      <c r="AQ81" s="127"/>
      <c r="AR81" s="127"/>
      <c r="AS81" s="127"/>
      <c r="AT81" s="127"/>
      <c r="AU81" s="127"/>
      <c r="AV81" s="127"/>
      <c r="AW81" s="127"/>
      <c r="AX81" s="127"/>
      <c r="AY81" s="127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  <c r="BO81" s="127"/>
      <c r="BP81" s="127"/>
      <c r="BQ81" s="127"/>
      <c r="BR81" s="127"/>
      <c r="BS81" s="127"/>
      <c r="BT81" s="127"/>
      <c r="BU81" s="127"/>
      <c r="BV81" s="127"/>
      <c r="BW81" s="127"/>
      <c r="BX81" s="127"/>
      <c r="BY81" s="127"/>
      <c r="BZ81" s="127"/>
      <c r="CA81" s="127"/>
      <c r="CB81" s="127"/>
      <c r="CC81" s="127"/>
      <c r="CD81" s="127"/>
      <c r="CE81" s="127"/>
      <c r="CF81" s="127"/>
      <c r="CG81" s="127"/>
      <c r="CH81" s="127"/>
      <c r="CI81" s="127"/>
      <c r="CJ81" s="127"/>
      <c r="CK81" s="127"/>
      <c r="CL81" s="127"/>
      <c r="CM81" s="127"/>
      <c r="CN81" s="127"/>
      <c r="CO81" s="127"/>
      <c r="CP81" s="127"/>
      <c r="CQ81" s="127"/>
      <c r="CR81" s="127"/>
      <c r="CS81" s="127"/>
      <c r="CT81" s="127"/>
      <c r="CU81" s="127"/>
      <c r="CV81" s="127"/>
      <c r="CW81" s="127"/>
      <c r="CX81" s="127"/>
    </row>
    <row r="83" spans="2:102">
      <c r="B83" s="48" t="s">
        <v>87</v>
      </c>
    </row>
    <row r="84" spans="2:102" ht="13.5" thickBot="1"/>
    <row r="85" spans="2:102">
      <c r="B85" s="102" t="s">
        <v>252</v>
      </c>
      <c r="C85" s="134" t="str">
        <f ca="1">_xll.qlBachelierBlackSwaptionEngine(C87,C88,C89,C90,C91)</f>
        <v>obj_008b1#0000</v>
      </c>
      <c r="D85" s="134" t="str">
        <f ca="1">_xll.qlBachelierBlackSwaptionEngine(D87,D88,D89,D90,D91)</f>
        <v>obj_0088b#0000</v>
      </c>
      <c r="E85" s="134" t="str">
        <f ca="1">_xll.qlBachelierBlackSwaptionEngine(E87,E88,E89,E90,E91)</f>
        <v>obj_00918#0000</v>
      </c>
      <c r="F85" s="134" t="str">
        <f ca="1">_xll.qlBachelierBlackSwaptionEngine(F87,F88,F89,F90,F91)</f>
        <v>obj_0087a#0000</v>
      </c>
      <c r="G85" s="134" t="str">
        <f ca="1">_xll.qlBachelierBlackSwaptionEngine(G87,G88,G89,G90,G91)</f>
        <v>obj_0090d#0000</v>
      </c>
      <c r="H85" s="134" t="str">
        <f ca="1">_xll.qlBachelierBlackSwaptionEngine(H87,H88,H89,H90,H91)</f>
        <v>obj_008ce#0000</v>
      </c>
      <c r="I85" s="134" t="str">
        <f ca="1">_xll.qlBachelierBlackSwaptionEngine(I87,I88,I89,I90,I91)</f>
        <v>obj_00880#0000</v>
      </c>
      <c r="J85" s="134" t="str">
        <f ca="1">_xll.qlBachelierBlackSwaptionEngine(J87,J88,J89,J90,J91)</f>
        <v>obj_008c0#0000</v>
      </c>
      <c r="K85" s="134" t="str">
        <f ca="1">_xll.qlBachelierBlackSwaptionEngine(K87,K88,K89,K90,K91)</f>
        <v>obj_008f8#0000</v>
      </c>
      <c r="L85" s="134" t="str">
        <f ca="1">_xll.qlBachelierBlackSwaptionEngine(L87,L88,L89,L90,L91)</f>
        <v>obj_008d0#0000</v>
      </c>
      <c r="M85" s="134" t="str">
        <f ca="1">_xll.qlBachelierBlackSwaptionEngine(M87,M88,M89,M90,M91)</f>
        <v>obj_008c2#0000</v>
      </c>
      <c r="N85" s="134" t="str">
        <f ca="1">_xll.qlBachelierBlackSwaptionEngine(N87,N88,N89,N90,N91)</f>
        <v>obj_00893#0000</v>
      </c>
      <c r="O85" s="134" t="str">
        <f ca="1">_xll.qlBachelierBlackSwaptionEngine(O87,O88,O89,O90,O91)</f>
        <v>obj_00886#0000</v>
      </c>
      <c r="P85" s="134" t="str">
        <f ca="1">_xll.qlBachelierBlackSwaptionEngine(P87,P88,P89,P90,P91)</f>
        <v>obj_00883#0000</v>
      </c>
      <c r="Q85" s="134" t="str">
        <f ca="1">_xll.qlBachelierBlackSwaptionEngine(Q87,Q88,Q89,Q90,Q91)</f>
        <v>obj_00899#0000</v>
      </c>
      <c r="R85" s="134" t="str">
        <f ca="1">_xll.qlBachelierBlackSwaptionEngine(R87,R88,R89,R90,R91)</f>
        <v>obj_008c9#0000</v>
      </c>
      <c r="S85" s="134" t="str">
        <f ca="1">_xll.qlBachelierBlackSwaptionEngine(S87,S88,S89,S90,S91)</f>
        <v>obj_008a4#0000</v>
      </c>
      <c r="T85" s="134" t="str">
        <f ca="1">_xll.qlBachelierBlackSwaptionEngine(T87,T88,T89,T90,T91)</f>
        <v>obj_008c4#0000</v>
      </c>
      <c r="U85" s="134" t="str">
        <f ca="1">_xll.qlBachelierBlackSwaptionEngine(U87,U88,U89,U90,U91)</f>
        <v>obj_008cc#0000</v>
      </c>
      <c r="V85" s="134" t="str">
        <f ca="1">_xll.qlBachelierBlackSwaptionEngine(V87,V88,V89,V90,V91)</f>
        <v>obj_00879#0000</v>
      </c>
      <c r="W85" s="134" t="str">
        <f ca="1">_xll.qlBachelierBlackSwaptionEngine(W87,W88,W89,W90,W91)</f>
        <v>obj_008f3#0000</v>
      </c>
      <c r="X85" s="134" t="str">
        <f ca="1">_xll.qlBachelierBlackSwaptionEngine(X87,X88,X89,X90,X91)</f>
        <v>obj_008ad#0000</v>
      </c>
      <c r="Y85" s="134" t="str">
        <f ca="1">_xll.qlBachelierBlackSwaptionEngine(Y87,Y88,Y89,Y90,Y91)</f>
        <v>obj_0087f#0000</v>
      </c>
      <c r="Z85" s="134" t="str">
        <f ca="1">_xll.qlBachelierBlackSwaptionEngine(Z87,Z88,Z89,Z90,Z91)</f>
        <v>obj_008a8#0000</v>
      </c>
      <c r="AA85" s="134" t="str">
        <f ca="1">_xll.qlBachelierBlackSwaptionEngine(AA87,AA88,AA89,AA90,AA91)</f>
        <v>obj_0088a#0000</v>
      </c>
      <c r="AB85" s="134" t="str">
        <f ca="1">_xll.qlBachelierBlackSwaptionEngine(AB87,AB88,AB89,AB90,AB91)</f>
        <v>obj_00888#0000</v>
      </c>
      <c r="AC85" s="134" t="str">
        <f ca="1">_xll.qlBachelierBlackSwaptionEngine(AC87,AC88,AC89,AC90,AC91)</f>
        <v>obj_008ab#0000</v>
      </c>
      <c r="AD85" s="134" t="str">
        <f ca="1">_xll.qlBachelierBlackSwaptionEngine(AD87,AD88,AD89,AD90,AD91)</f>
        <v>obj_00892#0000</v>
      </c>
      <c r="AE85" s="134" t="str">
        <f ca="1">_xll.qlBachelierBlackSwaptionEngine(AE87,AE88,AE89,AE90,AE91)</f>
        <v>obj_0089f#0000</v>
      </c>
      <c r="AF85" s="134" t="str">
        <f ca="1">_xll.qlBachelierBlackSwaptionEngine(AF87,AF88,AF89,AF90,AF91)</f>
        <v>obj_0089c#0000</v>
      </c>
      <c r="AG85" s="134" t="str">
        <f ca="1">_xll.qlBachelierBlackSwaptionEngine(AG87,AG88,AG89,AG90,AG91)</f>
        <v>obj_00898#0000</v>
      </c>
      <c r="AH85" s="134" t="str">
        <f ca="1">_xll.qlBachelierBlackSwaptionEngine(AH87,AH88,AH89,AH90,AH91)</f>
        <v>obj_00917#0000</v>
      </c>
      <c r="AI85" s="134" t="str">
        <f ca="1">_xll.qlBachelierBlackSwaptionEngine(AI87,AI88,AI89,AI90,AI91)</f>
        <v>obj_008c5#0000</v>
      </c>
      <c r="AJ85" s="134" t="str">
        <f ca="1">_xll.qlBachelierBlackSwaptionEngine(AJ87,AJ88,AJ89,AJ90,AJ91)</f>
        <v>obj_0088d#0000</v>
      </c>
      <c r="AK85" s="134" t="str">
        <f ca="1">_xll.qlBachelierBlackSwaptionEngine(AK87,AK88,AK89,AK90,AK91)</f>
        <v>obj_0090c#0000</v>
      </c>
      <c r="AL85" s="134" t="str">
        <f ca="1">_xll.qlBachelierBlackSwaptionEngine(AL87,AL88,AL89,AL90,AL91)</f>
        <v>obj_00878#0000</v>
      </c>
      <c r="AM85" s="134" t="str">
        <f ca="1">_xll.qlBachelierBlackSwaptionEngine(AM87,AM88,AM89,AM90,AM91)</f>
        <v>obj_008cf#0000</v>
      </c>
      <c r="AN85" s="134" t="str">
        <f ca="1">_xll.qlBachelierBlackSwaptionEngine(AN87,AN88,AN89,AN90,AN91)</f>
        <v>obj_00929#0000</v>
      </c>
      <c r="AO85" s="134" t="str">
        <f ca="1">_xll.qlBachelierBlackSwaptionEngine(AO87,AO88,AO89,AO90,AO91)</f>
        <v>obj_0087e#0000</v>
      </c>
      <c r="AP85" s="134" t="str">
        <f ca="1">_xll.qlBachelierBlackSwaptionEngine(AP87,AP88,AP89,AP90,AP91)</f>
        <v>obj_008f0#0000</v>
      </c>
      <c r="AQ85" s="134" t="str">
        <f ca="1">_xll.qlBachelierBlackSwaptionEngine(AQ87,AQ88,AQ89,AQ90,AQ91)</f>
        <v>obj_008f4#0000</v>
      </c>
      <c r="AR85" s="134" t="str">
        <f ca="1">_xll.qlBachelierBlackSwaptionEngine(AR87,AR88,AR89,AR90,AR91)</f>
        <v>obj_008af#0000</v>
      </c>
      <c r="AS85" s="134" t="str">
        <f ca="1">_xll.qlBachelierBlackSwaptionEngine(AS87,AS88,AS89,AS90,AS91)</f>
        <v>obj_008f1#0000</v>
      </c>
      <c r="AT85" s="134" t="str">
        <f ca="1">_xll.qlBachelierBlackSwaptionEngine(AT87,AT88,AT89,AT90,AT91)</f>
        <v>obj_00891#0000</v>
      </c>
      <c r="AU85" s="134" t="str">
        <f ca="1">_xll.qlBachelierBlackSwaptionEngine(AU87,AU88,AU89,AU90,AU91)</f>
        <v>obj_00885#0000</v>
      </c>
      <c r="AV85" s="134" t="str">
        <f ca="1">_xll.qlBachelierBlackSwaptionEngine(AV87,AV88,AV89,AV90,AV91)</f>
        <v>obj_00882#0000</v>
      </c>
      <c r="AW85" s="134" t="str">
        <f ca="1">_xll.qlBachelierBlackSwaptionEngine(AW87,AW88,AW89,AW90,AW91)</f>
        <v>obj_00897#0000</v>
      </c>
      <c r="AX85" s="134" t="str">
        <f ca="1">_xll.qlBachelierBlackSwaptionEngine(AX87,AX88,AX89,AX90,AX91)</f>
        <v>obj_008c8#0000</v>
      </c>
      <c r="AY85" s="134" t="str">
        <f ca="1">_xll.qlBachelierBlackSwaptionEngine(AY87,AY88,AY89,AY90,AY91)</f>
        <v>obj_008d3#0000</v>
      </c>
      <c r="AZ85" s="134" t="str">
        <f ca="1">_xll.qlBachelierBlackSwaptionEngine(AZ87,AZ88,AZ89,AZ90,AZ91)</f>
        <v>obj_008a2#0000</v>
      </c>
      <c r="BA85" s="134" t="str">
        <f ca="1">_xll.qlBachelierBlackSwaptionEngine(BA87,BA88,BA89,BA90,BA91)</f>
        <v>obj_008cb#0000</v>
      </c>
      <c r="BB85" s="134" t="str">
        <f ca="1">_xll.qlBachelierBlackSwaptionEngine(BB87,BB88,BB89,BB90,BB91)</f>
        <v>obj_00877#0000</v>
      </c>
      <c r="BC85" s="134" t="str">
        <f ca="1">_xll.qlBachelierBlackSwaptionEngine(BC87,BC88,BC89,BC90,BC91)</f>
        <v>obj_008ae#0000</v>
      </c>
      <c r="BD85" s="134" t="str">
        <f ca="1">_xll.qlBachelierBlackSwaptionEngine(BD87,BD88,BD89,BD90,BD91)</f>
        <v>obj_008f2#0000</v>
      </c>
      <c r="BE85" s="134" t="str">
        <f ca="1">_xll.qlBachelierBlackSwaptionEngine(BE87,BE88,BE89,BE90,BE91)</f>
        <v>obj_0087d#0000</v>
      </c>
      <c r="BF85" s="134" t="str">
        <f ca="1">_xll.qlBachelierBlackSwaptionEngine(BF87,BF88,BF89,BF90,BF91)</f>
        <v>obj_008a7#0000</v>
      </c>
      <c r="BG85" s="134" t="str">
        <f ca="1">_xll.qlBachelierBlackSwaptionEngine(BG87,BG88,BG89,BG90,BG91)</f>
        <v>obj_008a1#0000</v>
      </c>
      <c r="BH85" s="134" t="str">
        <f ca="1">_xll.qlBachelierBlackSwaptionEngine(BH87,BH88,BH89,BH90,BH91)</f>
        <v>obj_008a0#0000</v>
      </c>
      <c r="BI85" s="134" t="str">
        <f ca="1">_xll.qlBachelierBlackSwaptionEngine(BI87,BI88,BI89,BI90,BI91)</f>
        <v>obj_008aa#0000</v>
      </c>
      <c r="BJ85" s="134" t="str">
        <f ca="1">_xll.qlBachelierBlackSwaptionEngine(BJ87,BJ88,BJ89,BJ90,BJ91)</f>
        <v>obj_00890#0000</v>
      </c>
      <c r="BK85" s="134" t="str">
        <f ca="1">_xll.qlBachelierBlackSwaptionEngine(BK87,BK88,BK89,BK90,BK91)</f>
        <v>obj_0089e#0000</v>
      </c>
      <c r="BL85" s="134" t="str">
        <f ca="1">_xll.qlBachelierBlackSwaptionEngine(BL87,BL88,BL89,BL90,BL91)</f>
        <v>obj_0089b#0000</v>
      </c>
      <c r="BM85" s="134" t="str">
        <f ca="1">_xll.qlBachelierBlackSwaptionEngine(BM87,BM88,BM89,BM90,BM91)</f>
        <v>obj_00896#0000</v>
      </c>
      <c r="BN85" s="134" t="str">
        <f ca="1">_xll.qlBachelierBlackSwaptionEngine(BN87,BN88,BN89,BN90,BN91)</f>
        <v>obj_0090b#0000</v>
      </c>
      <c r="BO85" s="134" t="str">
        <f ca="1">_xll.qlBachelierBlackSwaptionEngine(BO87,BO88,BO89,BO90,BO91)</f>
        <v>obj_008a3#0000</v>
      </c>
      <c r="BP85" s="134" t="str">
        <f ca="1">_xll.qlBachelierBlackSwaptionEngine(BP87,BP88,BP89,BP90,BP91)</f>
        <v>obj_008b0#0000</v>
      </c>
      <c r="BQ85" s="134" t="str">
        <f ca="1">_xll.qlBachelierBlackSwaptionEngine(BQ87,BQ88,BQ89,BQ90,BQ91)</f>
        <v>obj_008f6#0000</v>
      </c>
      <c r="BR85" s="134" t="str">
        <f ca="1">_xll.qlBachelierBlackSwaptionEngine(BR87,BR88,BR89,BR90,BR91)</f>
        <v>obj_00876#0000</v>
      </c>
      <c r="BS85" s="134" t="str">
        <f ca="1">_xll.qlBachelierBlackSwaptionEngine(BS87,BS88,BS89,BS90,BS91)</f>
        <v>obj_008f7#0000</v>
      </c>
      <c r="BT85" s="134" t="str">
        <f ca="1">_xll.qlBachelierBlackSwaptionEngine(BT87,BT88,BT89,BT90,BT91)</f>
        <v>obj_008cd#0000</v>
      </c>
      <c r="BU85" s="134" t="str">
        <f ca="1">_xll.qlBachelierBlackSwaptionEngine(BU87,BU88,BU89,BU90,BU91)</f>
        <v>obj_0087c#0000</v>
      </c>
      <c r="BV85" s="134" t="str">
        <f ca="1">_xll.qlBachelierBlackSwaptionEngine(BV87,BV88,BV89,BV90,BV91)</f>
        <v>obj_008bf#0000</v>
      </c>
      <c r="BW85" s="134" t="str">
        <f ca="1">_xll.qlBachelierBlackSwaptionEngine(BW87,BW88,BW89,BW90,BW91)</f>
        <v>obj_008d1#0000</v>
      </c>
      <c r="BX85" s="134" t="str">
        <f ca="1">_xll.qlBachelierBlackSwaptionEngine(BX87,BX88,BX89,BX90,BX91)</f>
        <v>obj_00919#0000</v>
      </c>
      <c r="BY85" s="134" t="str">
        <f ca="1">_xll.qlBachelierBlackSwaptionEngine(BY87,BY88,BY89,BY90,BY91)</f>
        <v>obj_008c1#0000</v>
      </c>
      <c r="BZ85" s="134" t="str">
        <f ca="1">_xll.qlBachelierBlackSwaptionEngine(BZ87,BZ88,BZ89,BZ90,BZ91)</f>
        <v>obj_0088f#0000</v>
      </c>
      <c r="CA85" s="134" t="str">
        <f ca="1">_xll.qlBachelierBlackSwaptionEngine(CA87,CA88,CA89,CA90,CA91)</f>
        <v>obj_00884#0000</v>
      </c>
      <c r="CB85" s="134" t="str">
        <f ca="1">_xll.qlBachelierBlackSwaptionEngine(CB87,CB88,CB89,CB90,CB91)</f>
        <v>obj_00881#0000</v>
      </c>
      <c r="CC85" s="134" t="str">
        <f ca="1">_xll.qlBachelierBlackSwaptionEngine(CC87,CC88,CC89,CC90,CC91)</f>
        <v>obj_00895#0000</v>
      </c>
      <c r="CD85" s="134" t="str">
        <f ca="1">_xll.qlBachelierBlackSwaptionEngine(CD87,CD88,CD89,CD90,CD91)</f>
        <v>obj_008c7#0000</v>
      </c>
      <c r="CE85" s="134" t="str">
        <f ca="1">_xll.qlBachelierBlackSwaptionEngine(CE87,CE88,CE89,CE90,CE91)</f>
        <v>obj_0088c#0000</v>
      </c>
      <c r="CF85" s="134" t="str">
        <f ca="1">_xll.qlBachelierBlackSwaptionEngine(CF87,CF88,CF89,CF90,CF91)</f>
        <v>obj_008d2#0000</v>
      </c>
      <c r="CG85" s="134" t="str">
        <f ca="1">_xll.qlBachelierBlackSwaptionEngine(CG87,CG88,CG89,CG90,CG91)</f>
        <v>obj_008ca#0000</v>
      </c>
      <c r="CH85" s="134" t="str">
        <f ca="1">_xll.qlBachelierBlackSwaptionEngine(CH87,CH88,CH89,CH90,CH91)</f>
        <v>obj_00875#0000</v>
      </c>
      <c r="CI85" s="134" t="str">
        <f ca="1">_xll.qlBachelierBlackSwaptionEngine(CI87,CI88,CI89,CI90,CI91)</f>
        <v>obj_008c3#0000</v>
      </c>
      <c r="CJ85" s="134" t="str">
        <f ca="1">_xll.qlBachelierBlackSwaptionEngine(CJ87,CJ88,CJ89,CJ90,CJ91)</f>
        <v>obj_008ac#0000</v>
      </c>
      <c r="CK85" s="134" t="str">
        <f ca="1">_xll.qlBachelierBlackSwaptionEngine(CK87,CK88,CK89,CK90,CK91)</f>
        <v>obj_0087b#0000</v>
      </c>
      <c r="CL85" s="134" t="str">
        <f ca="1">_xll.qlBachelierBlackSwaptionEngine(CL87,CL88,CL89,CL90,CL91)</f>
        <v>obj_008a6#0000</v>
      </c>
      <c r="CM85" s="134" t="str">
        <f ca="1">_xll.qlBachelierBlackSwaptionEngine(CM87,CM88,CM89,CM90,CM91)</f>
        <v>obj_00889#0000</v>
      </c>
      <c r="CN85" s="134" t="str">
        <f ca="1">_xll.qlBachelierBlackSwaptionEngine(CN87,CN88,CN89,CN90,CN91)</f>
        <v>obj_00887#0000</v>
      </c>
      <c r="CO85" s="134" t="str">
        <f ca="1">_xll.qlBachelierBlackSwaptionEngine(CO87,CO88,CO89,CO90,CO91)</f>
        <v>obj_008a9#0000</v>
      </c>
      <c r="CP85" s="134" t="str">
        <f ca="1">_xll.qlBachelierBlackSwaptionEngine(CP87,CP88,CP89,CP90,CP91)</f>
        <v>obj_0088e#0000</v>
      </c>
      <c r="CQ85" s="134" t="str">
        <f ca="1">_xll.qlBachelierBlackSwaptionEngine(CQ87,CQ88,CQ89,CQ90,CQ91)</f>
        <v>obj_0089d#0000</v>
      </c>
      <c r="CR85" s="134" t="str">
        <f ca="1">_xll.qlBachelierBlackSwaptionEngine(CR87,CR88,CR89,CR90,CR91)</f>
        <v>obj_0089a#0000</v>
      </c>
      <c r="CS85" s="134" t="str">
        <f ca="1">_xll.qlBachelierBlackSwaptionEngine(CS87,CS88,CS89,CS90,CS91)</f>
        <v>obj_00894#0000</v>
      </c>
      <c r="CT85" s="134" t="str">
        <f ca="1">_xll.qlBachelierBlackSwaptionEngine(CT87,CT88,CT89,CT90,CT91)</f>
        <v>obj_008f5#0000</v>
      </c>
      <c r="CU85" s="134" t="str">
        <f ca="1">_xll.qlBachelierBlackSwaptionEngine(CU87,CU88,CU89,CU90,CU91)</f>
        <v>obj_008a5#0000</v>
      </c>
      <c r="CV85" s="134" t="str">
        <f ca="1">_xll.qlBachelierBlackSwaptionEngine(CV87,CV88,CV89,CV90,CV91)</f>
        <v>obj_008f9#0000</v>
      </c>
      <c r="CW85" s="134" t="str">
        <f ca="1">_xll.qlBachelierBlackSwaptionEngine(CW87,CW88,CW89,CW90,CW91)</f>
        <v>obj_00928#0000</v>
      </c>
      <c r="CX85" s="134" t="str">
        <f ca="1">_xll.qlBachelierBlackSwaptionEngine(CX87,CX88,CX89,CX90,CX91)</f>
        <v>obj_00874#0000</v>
      </c>
    </row>
    <row r="86" spans="2:102" ht="13.5" thickBot="1">
      <c r="B86" s="107" t="s">
        <v>5</v>
      </c>
      <c r="C86" s="114" t="str">
        <f ca="1">_xll.ohRangeRetrieveError(C85)</f>
        <v/>
      </c>
      <c r="D86" s="114" t="str">
        <f ca="1">_xll.ohRangeRetrieveError(D85)</f>
        <v/>
      </c>
      <c r="E86" s="114" t="str">
        <f ca="1">_xll.ohRangeRetrieveError(E85)</f>
        <v/>
      </c>
      <c r="F86" s="114" t="str">
        <f ca="1">_xll.ohRangeRetrieveError(F85)</f>
        <v/>
      </c>
      <c r="G86" s="114" t="str">
        <f ca="1">_xll.ohRangeRetrieveError(G85)</f>
        <v/>
      </c>
      <c r="H86" s="114" t="str">
        <f ca="1">_xll.ohRangeRetrieveError(H85)</f>
        <v/>
      </c>
      <c r="I86" s="114" t="str">
        <f ca="1">_xll.ohRangeRetrieveError(I85)</f>
        <v/>
      </c>
      <c r="J86" s="114" t="str">
        <f ca="1">_xll.ohRangeRetrieveError(J85)</f>
        <v/>
      </c>
      <c r="K86" s="114" t="str">
        <f ca="1">_xll.ohRangeRetrieveError(K85)</f>
        <v/>
      </c>
      <c r="L86" s="114" t="str">
        <f ca="1">_xll.ohRangeRetrieveError(L85)</f>
        <v/>
      </c>
      <c r="M86" s="114" t="str">
        <f ca="1">_xll.ohRangeRetrieveError(M85)</f>
        <v/>
      </c>
      <c r="N86" s="114" t="str">
        <f ca="1">_xll.ohRangeRetrieveError(N85)</f>
        <v/>
      </c>
      <c r="O86" s="114" t="str">
        <f ca="1">_xll.ohRangeRetrieveError(O85)</f>
        <v/>
      </c>
      <c r="P86" s="114" t="str">
        <f ca="1">_xll.ohRangeRetrieveError(P85)</f>
        <v/>
      </c>
      <c r="Q86" s="114" t="str">
        <f ca="1">_xll.ohRangeRetrieveError(Q85)</f>
        <v/>
      </c>
      <c r="R86" s="114" t="str">
        <f ca="1">_xll.ohRangeRetrieveError(R85)</f>
        <v/>
      </c>
      <c r="S86" s="114" t="str">
        <f ca="1">_xll.ohRangeRetrieveError(S85)</f>
        <v/>
      </c>
      <c r="T86" s="114" t="str">
        <f ca="1">_xll.ohRangeRetrieveError(T85)</f>
        <v/>
      </c>
      <c r="U86" s="114" t="str">
        <f ca="1">_xll.ohRangeRetrieveError(U85)</f>
        <v/>
      </c>
      <c r="V86" s="114" t="str">
        <f ca="1">_xll.ohRangeRetrieveError(V85)</f>
        <v/>
      </c>
      <c r="W86" s="114" t="str">
        <f ca="1">_xll.ohRangeRetrieveError(W85)</f>
        <v/>
      </c>
      <c r="X86" s="114" t="str">
        <f ca="1">_xll.ohRangeRetrieveError(X85)</f>
        <v/>
      </c>
      <c r="Y86" s="114" t="str">
        <f ca="1">_xll.ohRangeRetrieveError(Y85)</f>
        <v/>
      </c>
      <c r="Z86" s="114" t="str">
        <f ca="1">_xll.ohRangeRetrieveError(Z85)</f>
        <v/>
      </c>
      <c r="AA86" s="114" t="str">
        <f ca="1">_xll.ohRangeRetrieveError(AA85)</f>
        <v/>
      </c>
      <c r="AB86" s="114" t="str">
        <f ca="1">_xll.ohRangeRetrieveError(AB85)</f>
        <v/>
      </c>
      <c r="AC86" s="114" t="str">
        <f ca="1">_xll.ohRangeRetrieveError(AC85)</f>
        <v/>
      </c>
      <c r="AD86" s="114" t="str">
        <f ca="1">_xll.ohRangeRetrieveError(AD85)</f>
        <v/>
      </c>
      <c r="AE86" s="114" t="str">
        <f ca="1">_xll.ohRangeRetrieveError(AE85)</f>
        <v/>
      </c>
      <c r="AF86" s="114" t="str">
        <f ca="1">_xll.ohRangeRetrieveError(AF85)</f>
        <v/>
      </c>
      <c r="AG86" s="114" t="str">
        <f ca="1">_xll.ohRangeRetrieveError(AG85)</f>
        <v/>
      </c>
      <c r="AH86" s="114" t="str">
        <f ca="1">_xll.ohRangeRetrieveError(AH85)</f>
        <v/>
      </c>
      <c r="AI86" s="114" t="str">
        <f ca="1">_xll.ohRangeRetrieveError(AI85)</f>
        <v/>
      </c>
      <c r="AJ86" s="114" t="str">
        <f ca="1">_xll.ohRangeRetrieveError(AJ85)</f>
        <v/>
      </c>
      <c r="AK86" s="114" t="str">
        <f ca="1">_xll.ohRangeRetrieveError(AK85)</f>
        <v/>
      </c>
      <c r="AL86" s="114" t="str">
        <f ca="1">_xll.ohRangeRetrieveError(AL85)</f>
        <v/>
      </c>
      <c r="AM86" s="114" t="str">
        <f ca="1">_xll.ohRangeRetrieveError(AM85)</f>
        <v/>
      </c>
      <c r="AN86" s="114" t="str">
        <f ca="1">_xll.ohRangeRetrieveError(AN85)</f>
        <v/>
      </c>
      <c r="AO86" s="114" t="str">
        <f ca="1">_xll.ohRangeRetrieveError(AO85)</f>
        <v/>
      </c>
      <c r="AP86" s="114" t="str">
        <f ca="1">_xll.ohRangeRetrieveError(AP85)</f>
        <v/>
      </c>
      <c r="AQ86" s="114" t="str">
        <f ca="1">_xll.ohRangeRetrieveError(AQ85)</f>
        <v/>
      </c>
      <c r="AR86" s="114" t="str">
        <f ca="1">_xll.ohRangeRetrieveError(AR85)</f>
        <v/>
      </c>
      <c r="AS86" s="114" t="str">
        <f ca="1">_xll.ohRangeRetrieveError(AS85)</f>
        <v/>
      </c>
      <c r="AT86" s="114" t="str">
        <f ca="1">_xll.ohRangeRetrieveError(AT85)</f>
        <v/>
      </c>
      <c r="AU86" s="114" t="str">
        <f ca="1">_xll.ohRangeRetrieveError(AU85)</f>
        <v/>
      </c>
      <c r="AV86" s="114" t="str">
        <f ca="1">_xll.ohRangeRetrieveError(AV85)</f>
        <v/>
      </c>
      <c r="AW86" s="114" t="str">
        <f ca="1">_xll.ohRangeRetrieveError(AW85)</f>
        <v/>
      </c>
      <c r="AX86" s="114" t="str">
        <f ca="1">_xll.ohRangeRetrieveError(AX85)</f>
        <v/>
      </c>
      <c r="AY86" s="114" t="str">
        <f ca="1">_xll.ohRangeRetrieveError(AY85)</f>
        <v/>
      </c>
      <c r="AZ86" s="114" t="str">
        <f ca="1">_xll.ohRangeRetrieveError(AZ85)</f>
        <v/>
      </c>
      <c r="BA86" s="114" t="str">
        <f ca="1">_xll.ohRangeRetrieveError(BA85)</f>
        <v/>
      </c>
      <c r="BB86" s="114" t="str">
        <f ca="1">_xll.ohRangeRetrieveError(BB85)</f>
        <v/>
      </c>
      <c r="BC86" s="114" t="str">
        <f ca="1">_xll.ohRangeRetrieveError(BC85)</f>
        <v/>
      </c>
      <c r="BD86" s="114" t="str">
        <f ca="1">_xll.ohRangeRetrieveError(BD85)</f>
        <v/>
      </c>
      <c r="BE86" s="114" t="str">
        <f ca="1">_xll.ohRangeRetrieveError(BE85)</f>
        <v/>
      </c>
      <c r="BF86" s="114" t="str">
        <f ca="1">_xll.ohRangeRetrieveError(BF85)</f>
        <v/>
      </c>
      <c r="BG86" s="114" t="str">
        <f ca="1">_xll.ohRangeRetrieveError(BG85)</f>
        <v/>
      </c>
      <c r="BH86" s="114" t="str">
        <f ca="1">_xll.ohRangeRetrieveError(BH85)</f>
        <v/>
      </c>
      <c r="BI86" s="114" t="str">
        <f ca="1">_xll.ohRangeRetrieveError(BI85)</f>
        <v/>
      </c>
      <c r="BJ86" s="114" t="str">
        <f ca="1">_xll.ohRangeRetrieveError(BJ85)</f>
        <v/>
      </c>
      <c r="BK86" s="114" t="str">
        <f ca="1">_xll.ohRangeRetrieveError(BK85)</f>
        <v/>
      </c>
      <c r="BL86" s="114" t="str">
        <f ca="1">_xll.ohRangeRetrieveError(BL85)</f>
        <v/>
      </c>
      <c r="BM86" s="114" t="str">
        <f ca="1">_xll.ohRangeRetrieveError(BM85)</f>
        <v/>
      </c>
      <c r="BN86" s="114" t="str">
        <f ca="1">_xll.ohRangeRetrieveError(BN85)</f>
        <v/>
      </c>
      <c r="BO86" s="114" t="str">
        <f ca="1">_xll.ohRangeRetrieveError(BO85)</f>
        <v/>
      </c>
      <c r="BP86" s="114" t="str">
        <f ca="1">_xll.ohRangeRetrieveError(BP85)</f>
        <v/>
      </c>
      <c r="BQ86" s="114" t="str">
        <f ca="1">_xll.ohRangeRetrieveError(BQ85)</f>
        <v/>
      </c>
      <c r="BR86" s="114" t="str">
        <f ca="1">_xll.ohRangeRetrieveError(BR85)</f>
        <v/>
      </c>
      <c r="BS86" s="114" t="str">
        <f ca="1">_xll.ohRangeRetrieveError(BS85)</f>
        <v/>
      </c>
      <c r="BT86" s="114" t="str">
        <f ca="1">_xll.ohRangeRetrieveError(BT85)</f>
        <v/>
      </c>
      <c r="BU86" s="114" t="str">
        <f ca="1">_xll.ohRangeRetrieveError(BU85)</f>
        <v/>
      </c>
      <c r="BV86" s="114" t="str">
        <f ca="1">_xll.ohRangeRetrieveError(BV85)</f>
        <v/>
      </c>
      <c r="BW86" s="114" t="str">
        <f ca="1">_xll.ohRangeRetrieveError(BW85)</f>
        <v/>
      </c>
      <c r="BX86" s="114" t="str">
        <f ca="1">_xll.ohRangeRetrieveError(BX85)</f>
        <v/>
      </c>
      <c r="BY86" s="114" t="str">
        <f ca="1">_xll.ohRangeRetrieveError(BY85)</f>
        <v/>
      </c>
      <c r="BZ86" s="114" t="str">
        <f ca="1">_xll.ohRangeRetrieveError(BZ85)</f>
        <v/>
      </c>
      <c r="CA86" s="114" t="str">
        <f ca="1">_xll.ohRangeRetrieveError(CA85)</f>
        <v/>
      </c>
      <c r="CB86" s="114" t="str">
        <f ca="1">_xll.ohRangeRetrieveError(CB85)</f>
        <v/>
      </c>
      <c r="CC86" s="114" t="str">
        <f ca="1">_xll.ohRangeRetrieveError(CC85)</f>
        <v/>
      </c>
      <c r="CD86" s="114" t="str">
        <f ca="1">_xll.ohRangeRetrieveError(CD85)</f>
        <v/>
      </c>
      <c r="CE86" s="114" t="str">
        <f ca="1">_xll.ohRangeRetrieveError(CE85)</f>
        <v/>
      </c>
      <c r="CF86" s="114" t="str">
        <f ca="1">_xll.ohRangeRetrieveError(CF85)</f>
        <v/>
      </c>
      <c r="CG86" s="114" t="str">
        <f ca="1">_xll.ohRangeRetrieveError(CG85)</f>
        <v/>
      </c>
      <c r="CH86" s="114" t="str">
        <f ca="1">_xll.ohRangeRetrieveError(CH85)</f>
        <v/>
      </c>
      <c r="CI86" s="114" t="str">
        <f ca="1">_xll.ohRangeRetrieveError(CI85)</f>
        <v/>
      </c>
      <c r="CJ86" s="114" t="str">
        <f ca="1">_xll.ohRangeRetrieveError(CJ85)</f>
        <v/>
      </c>
      <c r="CK86" s="114" t="str">
        <f ca="1">_xll.ohRangeRetrieveError(CK85)</f>
        <v/>
      </c>
      <c r="CL86" s="114" t="str">
        <f ca="1">_xll.ohRangeRetrieveError(CL85)</f>
        <v/>
      </c>
      <c r="CM86" s="114" t="str">
        <f ca="1">_xll.ohRangeRetrieveError(CM85)</f>
        <v/>
      </c>
      <c r="CN86" s="114" t="str">
        <f ca="1">_xll.ohRangeRetrieveError(CN85)</f>
        <v/>
      </c>
      <c r="CO86" s="114" t="str">
        <f ca="1">_xll.ohRangeRetrieveError(CO85)</f>
        <v/>
      </c>
      <c r="CP86" s="114" t="str">
        <f ca="1">_xll.ohRangeRetrieveError(CP85)</f>
        <v/>
      </c>
      <c r="CQ86" s="114" t="str">
        <f ca="1">_xll.ohRangeRetrieveError(CQ85)</f>
        <v/>
      </c>
      <c r="CR86" s="114" t="str">
        <f ca="1">_xll.ohRangeRetrieveError(CR85)</f>
        <v/>
      </c>
      <c r="CS86" s="114" t="str">
        <f ca="1">_xll.ohRangeRetrieveError(CS85)</f>
        <v/>
      </c>
      <c r="CT86" s="114" t="str">
        <f ca="1">_xll.ohRangeRetrieveError(CT85)</f>
        <v/>
      </c>
      <c r="CU86" s="114" t="str">
        <f ca="1">_xll.ohRangeRetrieveError(CU85)</f>
        <v/>
      </c>
      <c r="CV86" s="114" t="str">
        <f ca="1">_xll.ohRangeRetrieveError(CV85)</f>
        <v/>
      </c>
      <c r="CW86" s="114" t="str">
        <f ca="1">_xll.ohRangeRetrieveError(CW85)</f>
        <v/>
      </c>
      <c r="CX86" s="114" t="str">
        <f ca="1">_xll.ohRangeRetrieveError(CX85)</f>
        <v/>
      </c>
    </row>
    <row r="87" spans="2:102">
      <c r="B87" s="102" t="s">
        <v>2</v>
      </c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  <c r="BG87" s="115"/>
      <c r="BH87" s="115"/>
      <c r="BI87" s="115"/>
      <c r="BJ87" s="115"/>
      <c r="BK87" s="115"/>
      <c r="BL87" s="115"/>
      <c r="BM87" s="115"/>
      <c r="BN87" s="115"/>
      <c r="BO87" s="115"/>
      <c r="BP87" s="115"/>
      <c r="BQ87" s="115"/>
      <c r="BR87" s="115"/>
      <c r="BS87" s="115"/>
      <c r="BT87" s="115"/>
      <c r="BU87" s="115"/>
      <c r="BV87" s="115"/>
      <c r="BW87" s="115"/>
      <c r="BX87" s="115"/>
      <c r="BY87" s="115"/>
      <c r="BZ87" s="115"/>
      <c r="CA87" s="115"/>
      <c r="CB87" s="115"/>
      <c r="CC87" s="115"/>
      <c r="CD87" s="115"/>
      <c r="CE87" s="115"/>
      <c r="CF87" s="115"/>
      <c r="CG87" s="115"/>
      <c r="CH87" s="115"/>
      <c r="CI87" s="115"/>
      <c r="CJ87" s="115"/>
      <c r="CK87" s="115"/>
      <c r="CL87" s="115"/>
      <c r="CM87" s="115"/>
      <c r="CN87" s="115"/>
      <c r="CO87" s="115"/>
      <c r="CP87" s="115"/>
      <c r="CQ87" s="115"/>
      <c r="CR87" s="115"/>
      <c r="CS87" s="115"/>
      <c r="CT87" s="115"/>
      <c r="CU87" s="115"/>
      <c r="CV87" s="115"/>
      <c r="CW87" s="115"/>
      <c r="CX87" s="115"/>
    </row>
    <row r="88" spans="2:102">
      <c r="B88" s="104" t="s">
        <v>88</v>
      </c>
      <c r="C88" s="136" t="str">
        <f ca="1">Curve!$S$16</f>
        <v>EONIA-Curve#0000</v>
      </c>
      <c r="D88" s="136" t="str">
        <f ca="1">Curve!$S$16</f>
        <v>EONIA-Curve#0000</v>
      </c>
      <c r="E88" s="136" t="str">
        <f ca="1">Curve!$S$16</f>
        <v>EONIA-Curve#0000</v>
      </c>
      <c r="F88" s="136" t="str">
        <f ca="1">Curve!$S$16</f>
        <v>EONIA-Curve#0000</v>
      </c>
      <c r="G88" s="136" t="str">
        <f ca="1">Curve!$S$16</f>
        <v>EONIA-Curve#0000</v>
      </c>
      <c r="H88" s="136" t="str">
        <f ca="1">Curve!$S$16</f>
        <v>EONIA-Curve#0000</v>
      </c>
      <c r="I88" s="136" t="str">
        <f ca="1">Curve!$S$16</f>
        <v>EONIA-Curve#0000</v>
      </c>
      <c r="J88" s="136" t="str">
        <f ca="1">Curve!$S$16</f>
        <v>EONIA-Curve#0000</v>
      </c>
      <c r="K88" s="136" t="str">
        <f ca="1">Curve!$S$16</f>
        <v>EONIA-Curve#0000</v>
      </c>
      <c r="L88" s="136" t="str">
        <f ca="1">Curve!$S$16</f>
        <v>EONIA-Curve#0000</v>
      </c>
      <c r="M88" s="136" t="str">
        <f ca="1">Curve!$S$16</f>
        <v>EONIA-Curve#0000</v>
      </c>
      <c r="N88" s="136" t="str">
        <f ca="1">Curve!$S$16</f>
        <v>EONIA-Curve#0000</v>
      </c>
      <c r="O88" s="136" t="str">
        <f ca="1">Curve!$S$16</f>
        <v>EONIA-Curve#0000</v>
      </c>
      <c r="P88" s="136" t="str">
        <f ca="1">Curve!$S$16</f>
        <v>EONIA-Curve#0000</v>
      </c>
      <c r="Q88" s="136" t="str">
        <f ca="1">Curve!$S$16</f>
        <v>EONIA-Curve#0000</v>
      </c>
      <c r="R88" s="136" t="str">
        <f ca="1">Curve!$S$16</f>
        <v>EONIA-Curve#0000</v>
      </c>
      <c r="S88" s="136" t="str">
        <f ca="1">Curve!$S$16</f>
        <v>EONIA-Curve#0000</v>
      </c>
      <c r="T88" s="136" t="str">
        <f ca="1">Curve!$S$16</f>
        <v>EONIA-Curve#0000</v>
      </c>
      <c r="U88" s="136" t="str">
        <f ca="1">Curve!$S$16</f>
        <v>EONIA-Curve#0000</v>
      </c>
      <c r="V88" s="136" t="str">
        <f ca="1">Curve!$S$16</f>
        <v>EONIA-Curve#0000</v>
      </c>
      <c r="W88" s="136" t="str">
        <f ca="1">Curve!$S$16</f>
        <v>EONIA-Curve#0000</v>
      </c>
      <c r="X88" s="136" t="str">
        <f ca="1">Curve!$S$16</f>
        <v>EONIA-Curve#0000</v>
      </c>
      <c r="Y88" s="136" t="str">
        <f ca="1">Curve!$S$16</f>
        <v>EONIA-Curve#0000</v>
      </c>
      <c r="Z88" s="136" t="str">
        <f ca="1">Curve!$S$16</f>
        <v>EONIA-Curve#0000</v>
      </c>
      <c r="AA88" s="136" t="str">
        <f ca="1">Curve!$S$16</f>
        <v>EONIA-Curve#0000</v>
      </c>
      <c r="AB88" s="136" t="str">
        <f ca="1">Curve!$S$16</f>
        <v>EONIA-Curve#0000</v>
      </c>
      <c r="AC88" s="136" t="str">
        <f ca="1">Curve!$S$16</f>
        <v>EONIA-Curve#0000</v>
      </c>
      <c r="AD88" s="136" t="str">
        <f ca="1">Curve!$S$16</f>
        <v>EONIA-Curve#0000</v>
      </c>
      <c r="AE88" s="136" t="str">
        <f ca="1">Curve!$S$16</f>
        <v>EONIA-Curve#0000</v>
      </c>
      <c r="AF88" s="136" t="str">
        <f ca="1">Curve!$S$16</f>
        <v>EONIA-Curve#0000</v>
      </c>
      <c r="AG88" s="136" t="str">
        <f ca="1">Curve!$S$16</f>
        <v>EONIA-Curve#0000</v>
      </c>
      <c r="AH88" s="136" t="str">
        <f ca="1">Curve!$S$16</f>
        <v>EONIA-Curve#0000</v>
      </c>
      <c r="AI88" s="136" t="str">
        <f ca="1">Curve!$S$16</f>
        <v>EONIA-Curve#0000</v>
      </c>
      <c r="AJ88" s="136" t="str">
        <f ca="1">Curve!$S$16</f>
        <v>EONIA-Curve#0000</v>
      </c>
      <c r="AK88" s="136" t="str">
        <f ca="1">Curve!$S$16</f>
        <v>EONIA-Curve#0000</v>
      </c>
      <c r="AL88" s="136" t="str">
        <f ca="1">Curve!$S$16</f>
        <v>EONIA-Curve#0000</v>
      </c>
      <c r="AM88" s="136" t="str">
        <f ca="1">Curve!$S$16</f>
        <v>EONIA-Curve#0000</v>
      </c>
      <c r="AN88" s="136" t="str">
        <f ca="1">Curve!$S$16</f>
        <v>EONIA-Curve#0000</v>
      </c>
      <c r="AO88" s="136" t="str">
        <f ca="1">Curve!$S$16</f>
        <v>EONIA-Curve#0000</v>
      </c>
      <c r="AP88" s="136" t="str">
        <f ca="1">Curve!$S$16</f>
        <v>EONIA-Curve#0000</v>
      </c>
      <c r="AQ88" s="136" t="str">
        <f ca="1">Curve!$S$16</f>
        <v>EONIA-Curve#0000</v>
      </c>
      <c r="AR88" s="136" t="str">
        <f ca="1">Curve!$S$16</f>
        <v>EONIA-Curve#0000</v>
      </c>
      <c r="AS88" s="136" t="str">
        <f ca="1">Curve!$S$16</f>
        <v>EONIA-Curve#0000</v>
      </c>
      <c r="AT88" s="136" t="str">
        <f ca="1">Curve!$S$16</f>
        <v>EONIA-Curve#0000</v>
      </c>
      <c r="AU88" s="136" t="str">
        <f ca="1">Curve!$S$16</f>
        <v>EONIA-Curve#0000</v>
      </c>
      <c r="AV88" s="136" t="str">
        <f ca="1">Curve!$S$16</f>
        <v>EONIA-Curve#0000</v>
      </c>
      <c r="AW88" s="136" t="str">
        <f ca="1">Curve!$S$16</f>
        <v>EONIA-Curve#0000</v>
      </c>
      <c r="AX88" s="136" t="str">
        <f ca="1">Curve!$S$16</f>
        <v>EONIA-Curve#0000</v>
      </c>
      <c r="AY88" s="136" t="str">
        <f ca="1">Curve!$S$16</f>
        <v>EONIA-Curve#0000</v>
      </c>
      <c r="AZ88" s="136" t="str">
        <f ca="1">Curve!$S$16</f>
        <v>EONIA-Curve#0000</v>
      </c>
      <c r="BA88" s="136" t="str">
        <f ca="1">Curve!$S$16</f>
        <v>EONIA-Curve#0000</v>
      </c>
      <c r="BB88" s="136" t="str">
        <f ca="1">Curve!$S$16</f>
        <v>EONIA-Curve#0000</v>
      </c>
      <c r="BC88" s="136" t="str">
        <f ca="1">Curve!$S$16</f>
        <v>EONIA-Curve#0000</v>
      </c>
      <c r="BD88" s="136" t="str">
        <f ca="1">Curve!$S$16</f>
        <v>EONIA-Curve#0000</v>
      </c>
      <c r="BE88" s="136" t="str">
        <f ca="1">Curve!$S$16</f>
        <v>EONIA-Curve#0000</v>
      </c>
      <c r="BF88" s="136" t="str">
        <f ca="1">Curve!$S$16</f>
        <v>EONIA-Curve#0000</v>
      </c>
      <c r="BG88" s="136" t="str">
        <f ca="1">Curve!$S$16</f>
        <v>EONIA-Curve#0000</v>
      </c>
      <c r="BH88" s="136" t="str">
        <f ca="1">Curve!$S$16</f>
        <v>EONIA-Curve#0000</v>
      </c>
      <c r="BI88" s="136" t="str">
        <f ca="1">Curve!$S$16</f>
        <v>EONIA-Curve#0000</v>
      </c>
      <c r="BJ88" s="136" t="str">
        <f ca="1">Curve!$S$16</f>
        <v>EONIA-Curve#0000</v>
      </c>
      <c r="BK88" s="136" t="str">
        <f ca="1">Curve!$S$16</f>
        <v>EONIA-Curve#0000</v>
      </c>
      <c r="BL88" s="136" t="str">
        <f ca="1">Curve!$S$16</f>
        <v>EONIA-Curve#0000</v>
      </c>
      <c r="BM88" s="136" t="str">
        <f ca="1">Curve!$S$16</f>
        <v>EONIA-Curve#0000</v>
      </c>
      <c r="BN88" s="136" t="str">
        <f ca="1">Curve!$S$16</f>
        <v>EONIA-Curve#0000</v>
      </c>
      <c r="BO88" s="136" t="str">
        <f ca="1">Curve!$S$16</f>
        <v>EONIA-Curve#0000</v>
      </c>
      <c r="BP88" s="136" t="str">
        <f ca="1">Curve!$S$16</f>
        <v>EONIA-Curve#0000</v>
      </c>
      <c r="BQ88" s="136" t="str">
        <f ca="1">Curve!$S$16</f>
        <v>EONIA-Curve#0000</v>
      </c>
      <c r="BR88" s="136" t="str">
        <f ca="1">Curve!$S$16</f>
        <v>EONIA-Curve#0000</v>
      </c>
      <c r="BS88" s="136" t="str">
        <f ca="1">Curve!$S$16</f>
        <v>EONIA-Curve#0000</v>
      </c>
      <c r="BT88" s="136" t="str">
        <f ca="1">Curve!$S$16</f>
        <v>EONIA-Curve#0000</v>
      </c>
      <c r="BU88" s="136" t="str">
        <f ca="1">Curve!$S$16</f>
        <v>EONIA-Curve#0000</v>
      </c>
      <c r="BV88" s="136" t="str">
        <f ca="1">Curve!$S$16</f>
        <v>EONIA-Curve#0000</v>
      </c>
      <c r="BW88" s="136" t="str">
        <f ca="1">Curve!$S$16</f>
        <v>EONIA-Curve#0000</v>
      </c>
      <c r="BX88" s="136" t="str">
        <f ca="1">Curve!$S$16</f>
        <v>EONIA-Curve#0000</v>
      </c>
      <c r="BY88" s="136" t="str">
        <f ca="1">Curve!$S$16</f>
        <v>EONIA-Curve#0000</v>
      </c>
      <c r="BZ88" s="136" t="str">
        <f ca="1">Curve!$S$16</f>
        <v>EONIA-Curve#0000</v>
      </c>
      <c r="CA88" s="136" t="str">
        <f ca="1">Curve!$S$16</f>
        <v>EONIA-Curve#0000</v>
      </c>
      <c r="CB88" s="136" t="str">
        <f ca="1">Curve!$S$16</f>
        <v>EONIA-Curve#0000</v>
      </c>
      <c r="CC88" s="136" t="str">
        <f ca="1">Curve!$S$16</f>
        <v>EONIA-Curve#0000</v>
      </c>
      <c r="CD88" s="136" t="str">
        <f ca="1">Curve!$S$16</f>
        <v>EONIA-Curve#0000</v>
      </c>
      <c r="CE88" s="136" t="str">
        <f ca="1">Curve!$S$16</f>
        <v>EONIA-Curve#0000</v>
      </c>
      <c r="CF88" s="136" t="str">
        <f ca="1">Curve!$S$16</f>
        <v>EONIA-Curve#0000</v>
      </c>
      <c r="CG88" s="136" t="str">
        <f ca="1">Curve!$S$16</f>
        <v>EONIA-Curve#0000</v>
      </c>
      <c r="CH88" s="136" t="str">
        <f ca="1">Curve!$S$16</f>
        <v>EONIA-Curve#0000</v>
      </c>
      <c r="CI88" s="136" t="str">
        <f ca="1">Curve!$S$16</f>
        <v>EONIA-Curve#0000</v>
      </c>
      <c r="CJ88" s="136" t="str">
        <f ca="1">Curve!$S$16</f>
        <v>EONIA-Curve#0000</v>
      </c>
      <c r="CK88" s="136" t="str">
        <f ca="1">Curve!$S$16</f>
        <v>EONIA-Curve#0000</v>
      </c>
      <c r="CL88" s="136" t="str">
        <f ca="1">Curve!$S$16</f>
        <v>EONIA-Curve#0000</v>
      </c>
      <c r="CM88" s="136" t="str">
        <f ca="1">Curve!$S$16</f>
        <v>EONIA-Curve#0000</v>
      </c>
      <c r="CN88" s="136" t="str">
        <f ca="1">Curve!$S$16</f>
        <v>EONIA-Curve#0000</v>
      </c>
      <c r="CO88" s="136" t="str">
        <f ca="1">Curve!$S$16</f>
        <v>EONIA-Curve#0000</v>
      </c>
      <c r="CP88" s="136" t="str">
        <f ca="1">Curve!$S$16</f>
        <v>EONIA-Curve#0000</v>
      </c>
      <c r="CQ88" s="136" t="str">
        <f ca="1">Curve!$S$16</f>
        <v>EONIA-Curve#0000</v>
      </c>
      <c r="CR88" s="136" t="str">
        <f ca="1">Curve!$S$16</f>
        <v>EONIA-Curve#0000</v>
      </c>
      <c r="CS88" s="136" t="str">
        <f ca="1">Curve!$S$16</f>
        <v>EONIA-Curve#0000</v>
      </c>
      <c r="CT88" s="136" t="str">
        <f ca="1">Curve!$S$16</f>
        <v>EONIA-Curve#0000</v>
      </c>
      <c r="CU88" s="136" t="str">
        <f ca="1">Curve!$S$16</f>
        <v>EONIA-Curve#0000</v>
      </c>
      <c r="CV88" s="136" t="str">
        <f ca="1">Curve!$S$16</f>
        <v>EONIA-Curve#0000</v>
      </c>
      <c r="CW88" s="136" t="str">
        <f ca="1">Curve!$S$16</f>
        <v>EONIA-Curve#0000</v>
      </c>
      <c r="CX88" s="136" t="str">
        <f ca="1">Curve!$S$16</f>
        <v>EONIA-Curve#0000</v>
      </c>
    </row>
    <row r="89" spans="2:102">
      <c r="B89" s="104" t="s">
        <v>89</v>
      </c>
      <c r="C89" s="136" t="str">
        <f ca="1">SwaptionVols!$F$4</f>
        <v>EUR-ATM-Swaption-Surface-NVol#0001</v>
      </c>
      <c r="D89" s="136" t="str">
        <f ca="1">SwaptionVols!$F$4</f>
        <v>EUR-ATM-Swaption-Surface-NVol#0001</v>
      </c>
      <c r="E89" s="136" t="str">
        <f ca="1">SwaptionVols!$F$4</f>
        <v>EUR-ATM-Swaption-Surface-NVol#0001</v>
      </c>
      <c r="F89" s="136" t="str">
        <f ca="1">SwaptionVols!$F$4</f>
        <v>EUR-ATM-Swaption-Surface-NVol#0001</v>
      </c>
      <c r="G89" s="136" t="str">
        <f ca="1">SwaptionVols!$F$4</f>
        <v>EUR-ATM-Swaption-Surface-NVol#0001</v>
      </c>
      <c r="H89" s="136" t="str">
        <f ca="1">SwaptionVols!$F$4</f>
        <v>EUR-ATM-Swaption-Surface-NVol#0001</v>
      </c>
      <c r="I89" s="136" t="str">
        <f ca="1">SwaptionVols!$F$4</f>
        <v>EUR-ATM-Swaption-Surface-NVol#0001</v>
      </c>
      <c r="J89" s="136" t="str">
        <f ca="1">SwaptionVols!$F$4</f>
        <v>EUR-ATM-Swaption-Surface-NVol#0001</v>
      </c>
      <c r="K89" s="136" t="str">
        <f ca="1">SwaptionVols!$F$4</f>
        <v>EUR-ATM-Swaption-Surface-NVol#0001</v>
      </c>
      <c r="L89" s="136" t="str">
        <f ca="1">SwaptionVols!$F$4</f>
        <v>EUR-ATM-Swaption-Surface-NVol#0001</v>
      </c>
      <c r="M89" s="136" t="str">
        <f ca="1">SwaptionVols!$F$4</f>
        <v>EUR-ATM-Swaption-Surface-NVol#0001</v>
      </c>
      <c r="N89" s="136" t="str">
        <f ca="1">SwaptionVols!$F$4</f>
        <v>EUR-ATM-Swaption-Surface-NVol#0001</v>
      </c>
      <c r="O89" s="136" t="str">
        <f ca="1">SwaptionVols!$F$4</f>
        <v>EUR-ATM-Swaption-Surface-NVol#0001</v>
      </c>
      <c r="P89" s="136" t="str">
        <f ca="1">SwaptionVols!$F$4</f>
        <v>EUR-ATM-Swaption-Surface-NVol#0001</v>
      </c>
      <c r="Q89" s="136" t="str">
        <f ca="1">SwaptionVols!$F$4</f>
        <v>EUR-ATM-Swaption-Surface-NVol#0001</v>
      </c>
      <c r="R89" s="136" t="str">
        <f ca="1">SwaptionVols!$F$4</f>
        <v>EUR-ATM-Swaption-Surface-NVol#0001</v>
      </c>
      <c r="S89" s="136" t="str">
        <f ca="1">SwaptionVols!$F$4</f>
        <v>EUR-ATM-Swaption-Surface-NVol#0001</v>
      </c>
      <c r="T89" s="136" t="str">
        <f ca="1">SwaptionVols!$F$4</f>
        <v>EUR-ATM-Swaption-Surface-NVol#0001</v>
      </c>
      <c r="U89" s="136" t="str">
        <f ca="1">SwaptionVols!$F$4</f>
        <v>EUR-ATM-Swaption-Surface-NVol#0001</v>
      </c>
      <c r="V89" s="136" t="str">
        <f ca="1">SwaptionVols!$F$4</f>
        <v>EUR-ATM-Swaption-Surface-NVol#0001</v>
      </c>
      <c r="W89" s="136" t="str">
        <f ca="1">SwaptionVols!$F$4</f>
        <v>EUR-ATM-Swaption-Surface-NVol#0001</v>
      </c>
      <c r="X89" s="136" t="str">
        <f ca="1">SwaptionVols!$F$4</f>
        <v>EUR-ATM-Swaption-Surface-NVol#0001</v>
      </c>
      <c r="Y89" s="136" t="str">
        <f ca="1">SwaptionVols!$F$4</f>
        <v>EUR-ATM-Swaption-Surface-NVol#0001</v>
      </c>
      <c r="Z89" s="136" t="str">
        <f ca="1">SwaptionVols!$F$4</f>
        <v>EUR-ATM-Swaption-Surface-NVol#0001</v>
      </c>
      <c r="AA89" s="136" t="str">
        <f ca="1">SwaptionVols!$F$4</f>
        <v>EUR-ATM-Swaption-Surface-NVol#0001</v>
      </c>
      <c r="AB89" s="136" t="str">
        <f ca="1">SwaptionVols!$F$4</f>
        <v>EUR-ATM-Swaption-Surface-NVol#0001</v>
      </c>
      <c r="AC89" s="136" t="str">
        <f ca="1">SwaptionVols!$F$4</f>
        <v>EUR-ATM-Swaption-Surface-NVol#0001</v>
      </c>
      <c r="AD89" s="136" t="str">
        <f ca="1">SwaptionVols!$F$4</f>
        <v>EUR-ATM-Swaption-Surface-NVol#0001</v>
      </c>
      <c r="AE89" s="136" t="str">
        <f ca="1">SwaptionVols!$F$4</f>
        <v>EUR-ATM-Swaption-Surface-NVol#0001</v>
      </c>
      <c r="AF89" s="136" t="str">
        <f ca="1">SwaptionVols!$F$4</f>
        <v>EUR-ATM-Swaption-Surface-NVol#0001</v>
      </c>
      <c r="AG89" s="136" t="str">
        <f ca="1">SwaptionVols!$F$4</f>
        <v>EUR-ATM-Swaption-Surface-NVol#0001</v>
      </c>
      <c r="AH89" s="136" t="str">
        <f ca="1">SwaptionVols!$F$4</f>
        <v>EUR-ATM-Swaption-Surface-NVol#0001</v>
      </c>
      <c r="AI89" s="136" t="str">
        <f ca="1">SwaptionVols!$F$4</f>
        <v>EUR-ATM-Swaption-Surface-NVol#0001</v>
      </c>
      <c r="AJ89" s="136" t="str">
        <f ca="1">SwaptionVols!$F$4</f>
        <v>EUR-ATM-Swaption-Surface-NVol#0001</v>
      </c>
      <c r="AK89" s="136" t="str">
        <f ca="1">SwaptionVols!$F$4</f>
        <v>EUR-ATM-Swaption-Surface-NVol#0001</v>
      </c>
      <c r="AL89" s="136" t="str">
        <f ca="1">SwaptionVols!$F$4</f>
        <v>EUR-ATM-Swaption-Surface-NVol#0001</v>
      </c>
      <c r="AM89" s="136" t="str">
        <f ca="1">SwaptionVols!$F$4</f>
        <v>EUR-ATM-Swaption-Surface-NVol#0001</v>
      </c>
      <c r="AN89" s="136" t="str">
        <f ca="1">SwaptionVols!$F$4</f>
        <v>EUR-ATM-Swaption-Surface-NVol#0001</v>
      </c>
      <c r="AO89" s="136" t="str">
        <f ca="1">SwaptionVols!$F$4</f>
        <v>EUR-ATM-Swaption-Surface-NVol#0001</v>
      </c>
      <c r="AP89" s="136" t="str">
        <f ca="1">SwaptionVols!$F$4</f>
        <v>EUR-ATM-Swaption-Surface-NVol#0001</v>
      </c>
      <c r="AQ89" s="136" t="str">
        <f ca="1">SwaptionVols!$F$4</f>
        <v>EUR-ATM-Swaption-Surface-NVol#0001</v>
      </c>
      <c r="AR89" s="136" t="str">
        <f ca="1">SwaptionVols!$F$4</f>
        <v>EUR-ATM-Swaption-Surface-NVol#0001</v>
      </c>
      <c r="AS89" s="136" t="str">
        <f ca="1">SwaptionVols!$F$4</f>
        <v>EUR-ATM-Swaption-Surface-NVol#0001</v>
      </c>
      <c r="AT89" s="136" t="str">
        <f ca="1">SwaptionVols!$F$4</f>
        <v>EUR-ATM-Swaption-Surface-NVol#0001</v>
      </c>
      <c r="AU89" s="136" t="str">
        <f ca="1">SwaptionVols!$F$4</f>
        <v>EUR-ATM-Swaption-Surface-NVol#0001</v>
      </c>
      <c r="AV89" s="136" t="str">
        <f ca="1">SwaptionVols!$F$4</f>
        <v>EUR-ATM-Swaption-Surface-NVol#0001</v>
      </c>
      <c r="AW89" s="136" t="str">
        <f ca="1">SwaptionVols!$F$4</f>
        <v>EUR-ATM-Swaption-Surface-NVol#0001</v>
      </c>
      <c r="AX89" s="136" t="str">
        <f ca="1">SwaptionVols!$F$4</f>
        <v>EUR-ATM-Swaption-Surface-NVol#0001</v>
      </c>
      <c r="AY89" s="136" t="str">
        <f ca="1">SwaptionVols!$F$4</f>
        <v>EUR-ATM-Swaption-Surface-NVol#0001</v>
      </c>
      <c r="AZ89" s="136" t="str">
        <f ca="1">SwaptionVols!$F$4</f>
        <v>EUR-ATM-Swaption-Surface-NVol#0001</v>
      </c>
      <c r="BA89" s="136" t="str">
        <f ca="1">SwaptionVols!$F$4</f>
        <v>EUR-ATM-Swaption-Surface-NVol#0001</v>
      </c>
      <c r="BB89" s="136" t="str">
        <f ca="1">SwaptionVols!$F$4</f>
        <v>EUR-ATM-Swaption-Surface-NVol#0001</v>
      </c>
      <c r="BC89" s="136" t="str">
        <f ca="1">SwaptionVols!$F$4</f>
        <v>EUR-ATM-Swaption-Surface-NVol#0001</v>
      </c>
      <c r="BD89" s="136" t="str">
        <f ca="1">SwaptionVols!$F$4</f>
        <v>EUR-ATM-Swaption-Surface-NVol#0001</v>
      </c>
      <c r="BE89" s="136" t="str">
        <f ca="1">SwaptionVols!$F$4</f>
        <v>EUR-ATM-Swaption-Surface-NVol#0001</v>
      </c>
      <c r="BF89" s="136" t="str">
        <f ca="1">SwaptionVols!$F$4</f>
        <v>EUR-ATM-Swaption-Surface-NVol#0001</v>
      </c>
      <c r="BG89" s="136" t="str">
        <f ca="1">SwaptionVols!$F$4</f>
        <v>EUR-ATM-Swaption-Surface-NVol#0001</v>
      </c>
      <c r="BH89" s="136" t="str">
        <f ca="1">SwaptionVols!$F$4</f>
        <v>EUR-ATM-Swaption-Surface-NVol#0001</v>
      </c>
      <c r="BI89" s="136" t="str">
        <f ca="1">SwaptionVols!$F$4</f>
        <v>EUR-ATM-Swaption-Surface-NVol#0001</v>
      </c>
      <c r="BJ89" s="136" t="str">
        <f ca="1">SwaptionVols!$F$4</f>
        <v>EUR-ATM-Swaption-Surface-NVol#0001</v>
      </c>
      <c r="BK89" s="136" t="str">
        <f ca="1">SwaptionVols!$F$4</f>
        <v>EUR-ATM-Swaption-Surface-NVol#0001</v>
      </c>
      <c r="BL89" s="136" t="str">
        <f ca="1">SwaptionVols!$F$4</f>
        <v>EUR-ATM-Swaption-Surface-NVol#0001</v>
      </c>
      <c r="BM89" s="136" t="str">
        <f ca="1">SwaptionVols!$F$4</f>
        <v>EUR-ATM-Swaption-Surface-NVol#0001</v>
      </c>
      <c r="BN89" s="136" t="str">
        <f ca="1">SwaptionVols!$F$4</f>
        <v>EUR-ATM-Swaption-Surface-NVol#0001</v>
      </c>
      <c r="BO89" s="136" t="str">
        <f ca="1">SwaptionVols!$F$4</f>
        <v>EUR-ATM-Swaption-Surface-NVol#0001</v>
      </c>
      <c r="BP89" s="136" t="str">
        <f ca="1">SwaptionVols!$F$4</f>
        <v>EUR-ATM-Swaption-Surface-NVol#0001</v>
      </c>
      <c r="BQ89" s="136" t="str">
        <f ca="1">SwaptionVols!$F$4</f>
        <v>EUR-ATM-Swaption-Surface-NVol#0001</v>
      </c>
      <c r="BR89" s="136" t="str">
        <f ca="1">SwaptionVols!$F$4</f>
        <v>EUR-ATM-Swaption-Surface-NVol#0001</v>
      </c>
      <c r="BS89" s="136" t="str">
        <f ca="1">SwaptionVols!$F$4</f>
        <v>EUR-ATM-Swaption-Surface-NVol#0001</v>
      </c>
      <c r="BT89" s="136" t="str">
        <f ca="1">SwaptionVols!$F$4</f>
        <v>EUR-ATM-Swaption-Surface-NVol#0001</v>
      </c>
      <c r="BU89" s="136" t="str">
        <f ca="1">SwaptionVols!$F$4</f>
        <v>EUR-ATM-Swaption-Surface-NVol#0001</v>
      </c>
      <c r="BV89" s="136" t="str">
        <f ca="1">SwaptionVols!$F$4</f>
        <v>EUR-ATM-Swaption-Surface-NVol#0001</v>
      </c>
      <c r="BW89" s="136" t="str">
        <f ca="1">SwaptionVols!$F$4</f>
        <v>EUR-ATM-Swaption-Surface-NVol#0001</v>
      </c>
      <c r="BX89" s="136" t="str">
        <f ca="1">SwaptionVols!$F$4</f>
        <v>EUR-ATM-Swaption-Surface-NVol#0001</v>
      </c>
      <c r="BY89" s="136" t="str">
        <f ca="1">SwaptionVols!$F$4</f>
        <v>EUR-ATM-Swaption-Surface-NVol#0001</v>
      </c>
      <c r="BZ89" s="136" t="str">
        <f ca="1">SwaptionVols!$F$4</f>
        <v>EUR-ATM-Swaption-Surface-NVol#0001</v>
      </c>
      <c r="CA89" s="136" t="str">
        <f ca="1">SwaptionVols!$F$4</f>
        <v>EUR-ATM-Swaption-Surface-NVol#0001</v>
      </c>
      <c r="CB89" s="136" t="str">
        <f ca="1">SwaptionVols!$F$4</f>
        <v>EUR-ATM-Swaption-Surface-NVol#0001</v>
      </c>
      <c r="CC89" s="136" t="str">
        <f ca="1">SwaptionVols!$F$4</f>
        <v>EUR-ATM-Swaption-Surface-NVol#0001</v>
      </c>
      <c r="CD89" s="136" t="str">
        <f ca="1">SwaptionVols!$F$4</f>
        <v>EUR-ATM-Swaption-Surface-NVol#0001</v>
      </c>
      <c r="CE89" s="136" t="str">
        <f ca="1">SwaptionVols!$F$4</f>
        <v>EUR-ATM-Swaption-Surface-NVol#0001</v>
      </c>
      <c r="CF89" s="136" t="str">
        <f ca="1">SwaptionVols!$F$4</f>
        <v>EUR-ATM-Swaption-Surface-NVol#0001</v>
      </c>
      <c r="CG89" s="136" t="str">
        <f ca="1">SwaptionVols!$F$4</f>
        <v>EUR-ATM-Swaption-Surface-NVol#0001</v>
      </c>
      <c r="CH89" s="136" t="str">
        <f ca="1">SwaptionVols!$F$4</f>
        <v>EUR-ATM-Swaption-Surface-NVol#0001</v>
      </c>
      <c r="CI89" s="136" t="str">
        <f ca="1">SwaptionVols!$F$4</f>
        <v>EUR-ATM-Swaption-Surface-NVol#0001</v>
      </c>
      <c r="CJ89" s="136" t="str">
        <f ca="1">SwaptionVols!$F$4</f>
        <v>EUR-ATM-Swaption-Surface-NVol#0001</v>
      </c>
      <c r="CK89" s="136" t="str">
        <f ca="1">SwaptionVols!$F$4</f>
        <v>EUR-ATM-Swaption-Surface-NVol#0001</v>
      </c>
      <c r="CL89" s="136" t="str">
        <f ca="1">SwaptionVols!$F$4</f>
        <v>EUR-ATM-Swaption-Surface-NVol#0001</v>
      </c>
      <c r="CM89" s="136" t="str">
        <f ca="1">SwaptionVols!$F$4</f>
        <v>EUR-ATM-Swaption-Surface-NVol#0001</v>
      </c>
      <c r="CN89" s="136" t="str">
        <f ca="1">SwaptionVols!$F$4</f>
        <v>EUR-ATM-Swaption-Surface-NVol#0001</v>
      </c>
      <c r="CO89" s="136" t="str">
        <f ca="1">SwaptionVols!$F$4</f>
        <v>EUR-ATM-Swaption-Surface-NVol#0001</v>
      </c>
      <c r="CP89" s="136" t="str">
        <f ca="1">SwaptionVols!$F$4</f>
        <v>EUR-ATM-Swaption-Surface-NVol#0001</v>
      </c>
      <c r="CQ89" s="136" t="str">
        <f ca="1">SwaptionVols!$F$4</f>
        <v>EUR-ATM-Swaption-Surface-NVol#0001</v>
      </c>
      <c r="CR89" s="136" t="str">
        <f ca="1">SwaptionVols!$F$4</f>
        <v>EUR-ATM-Swaption-Surface-NVol#0001</v>
      </c>
      <c r="CS89" s="136" t="str">
        <f ca="1">SwaptionVols!$F$4</f>
        <v>EUR-ATM-Swaption-Surface-NVol#0001</v>
      </c>
      <c r="CT89" s="136" t="str">
        <f ca="1">SwaptionVols!$F$4</f>
        <v>EUR-ATM-Swaption-Surface-NVol#0001</v>
      </c>
      <c r="CU89" s="136" t="str">
        <f ca="1">SwaptionVols!$F$4</f>
        <v>EUR-ATM-Swaption-Surface-NVol#0001</v>
      </c>
      <c r="CV89" s="136" t="str">
        <f ca="1">SwaptionVols!$F$4</f>
        <v>EUR-ATM-Swaption-Surface-NVol#0001</v>
      </c>
      <c r="CW89" s="136" t="str">
        <f ca="1">SwaptionVols!$F$4</f>
        <v>EUR-ATM-Swaption-Surface-NVol#0001</v>
      </c>
      <c r="CX89" s="136" t="str">
        <f ca="1">SwaptionVols!$F$4</f>
        <v>EUR-ATM-Swaption-Surface-NVol#0001</v>
      </c>
    </row>
    <row r="90" spans="2:102">
      <c r="B90" s="104" t="s">
        <v>30</v>
      </c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</row>
    <row r="91" spans="2:102" ht="13.5" thickBot="1">
      <c r="B91" s="107" t="s">
        <v>32</v>
      </c>
      <c r="C91" s="127"/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27"/>
      <c r="R91" s="127"/>
      <c r="S91" s="127"/>
      <c r="T91" s="127"/>
      <c r="U91" s="127"/>
      <c r="V91" s="127"/>
      <c r="W91" s="127"/>
      <c r="X91" s="127"/>
      <c r="Y91" s="127"/>
      <c r="Z91" s="127"/>
      <c r="AA91" s="127"/>
      <c r="AB91" s="127"/>
      <c r="AC91" s="127"/>
      <c r="AD91" s="127"/>
      <c r="AE91" s="127"/>
      <c r="AF91" s="127"/>
      <c r="AG91" s="127"/>
      <c r="AH91" s="127"/>
      <c r="AI91" s="127"/>
      <c r="AJ91" s="127"/>
      <c r="AK91" s="127"/>
      <c r="AL91" s="127"/>
      <c r="AM91" s="127"/>
      <c r="AN91" s="127"/>
      <c r="AO91" s="127"/>
      <c r="AP91" s="127"/>
      <c r="AQ91" s="127"/>
      <c r="AR91" s="127"/>
      <c r="AS91" s="127"/>
      <c r="AT91" s="127"/>
      <c r="AU91" s="127"/>
      <c r="AV91" s="127"/>
      <c r="AW91" s="127"/>
      <c r="AX91" s="127"/>
      <c r="AY91" s="127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  <c r="BO91" s="127"/>
      <c r="BP91" s="127"/>
      <c r="BQ91" s="127"/>
      <c r="BR91" s="127"/>
      <c r="BS91" s="127"/>
      <c r="BT91" s="127"/>
      <c r="BU91" s="127"/>
      <c r="BV91" s="127"/>
      <c r="BW91" s="127"/>
      <c r="BX91" s="127"/>
      <c r="BY91" s="127"/>
      <c r="BZ91" s="127"/>
      <c r="CA91" s="127"/>
      <c r="CB91" s="127"/>
      <c r="CC91" s="127"/>
      <c r="CD91" s="127"/>
      <c r="CE91" s="127"/>
      <c r="CF91" s="127"/>
      <c r="CG91" s="127"/>
      <c r="CH91" s="127"/>
      <c r="CI91" s="127"/>
      <c r="CJ91" s="127"/>
      <c r="CK91" s="127"/>
      <c r="CL91" s="127"/>
      <c r="CM91" s="127"/>
      <c r="CN91" s="127"/>
      <c r="CO91" s="127"/>
      <c r="CP91" s="127"/>
      <c r="CQ91" s="127"/>
      <c r="CR91" s="127"/>
      <c r="CS91" s="127"/>
      <c r="CT91" s="127"/>
      <c r="CU91" s="127"/>
      <c r="CV91" s="127"/>
      <c r="CW91" s="127"/>
      <c r="CX91" s="127"/>
    </row>
    <row r="93" spans="2:102">
      <c r="B93" s="48" t="s">
        <v>90</v>
      </c>
    </row>
    <row r="94" spans="2:102" ht="13.5" thickBot="1"/>
    <row r="95" spans="2:102">
      <c r="B95" s="102" t="s">
        <v>64</v>
      </c>
      <c r="C95" s="140" t="b">
        <f ca="1">_xll.qlInstrumentSetPricingEngine(C74,C85,C88:C89)</f>
        <v>1</v>
      </c>
      <c r="D95" s="140" t="b">
        <f ca="1">_xll.qlInstrumentSetPricingEngine(D74,D85,D88:D89)</f>
        <v>1</v>
      </c>
      <c r="E95" s="140" t="b">
        <f ca="1">_xll.qlInstrumentSetPricingEngine(E74,E85,E88:E89)</f>
        <v>1</v>
      </c>
      <c r="F95" s="140" t="b">
        <f ca="1">_xll.qlInstrumentSetPricingEngine(F74,F85,F88:F89)</f>
        <v>1</v>
      </c>
      <c r="G95" s="140" t="e">
        <f ca="1">_xll.qlInstrumentSetPricingEngine(G74,G85,G88:G89)</f>
        <v>#VALUE!</v>
      </c>
      <c r="H95" s="140" t="b">
        <f ca="1">_xll.qlInstrumentSetPricingEngine(H74,H85,H88:H89)</f>
        <v>1</v>
      </c>
      <c r="I95" s="140" t="e">
        <f ca="1">_xll.qlInstrumentSetPricingEngine(I74,I85,I88:I89)</f>
        <v>#VALUE!</v>
      </c>
      <c r="J95" s="140" t="e">
        <f ca="1">_xll.qlInstrumentSetPricingEngine(J74,J85,J88:J89)</f>
        <v>#VALUE!</v>
      </c>
      <c r="K95" s="140" t="b">
        <f ca="1">_xll.qlInstrumentSetPricingEngine(K74,K85,K88:K89)</f>
        <v>1</v>
      </c>
      <c r="L95" s="140" t="b">
        <f ca="1">_xll.qlInstrumentSetPricingEngine(L74,L85,L88:L89)</f>
        <v>1</v>
      </c>
      <c r="M95" s="140" t="b">
        <f ca="1">_xll.qlInstrumentSetPricingEngine(M74,M85,M88:M89)</f>
        <v>1</v>
      </c>
      <c r="N95" s="140" t="e">
        <f ca="1">_xll.qlInstrumentSetPricingEngine(N74,N85,N88:N89)</f>
        <v>#VALUE!</v>
      </c>
      <c r="O95" s="140" t="b">
        <f ca="1">_xll.qlInstrumentSetPricingEngine(O74,O85,O88:O89)</f>
        <v>1</v>
      </c>
      <c r="P95" s="140" t="e">
        <f ca="1">_xll.qlInstrumentSetPricingEngine(P74,P85,P88:P89)</f>
        <v>#VALUE!</v>
      </c>
      <c r="Q95" s="140" t="b">
        <f ca="1">_xll.qlInstrumentSetPricingEngine(Q74,Q85,Q88:Q89)</f>
        <v>1</v>
      </c>
      <c r="R95" s="140" t="b">
        <f ca="1">_xll.qlInstrumentSetPricingEngine(R74,R85,R88:R89)</f>
        <v>1</v>
      </c>
      <c r="S95" s="140" t="b">
        <f ca="1">_xll.qlInstrumentSetPricingEngine(S74,S85,S88:S89)</f>
        <v>1</v>
      </c>
      <c r="T95" s="140" t="b">
        <f ca="1">_xll.qlInstrumentSetPricingEngine(T74,T85,T88:T89)</f>
        <v>1</v>
      </c>
      <c r="U95" s="140" t="b">
        <f ca="1">_xll.qlInstrumentSetPricingEngine(U74,U85,U88:U89)</f>
        <v>1</v>
      </c>
      <c r="V95" s="140" t="e">
        <f ca="1">_xll.qlInstrumentSetPricingEngine(V74,V85,V88:V89)</f>
        <v>#VALUE!</v>
      </c>
      <c r="W95" s="140" t="e">
        <f ca="1">_xll.qlInstrumentSetPricingEngine(W74,W85,W88:W89)</f>
        <v>#VALUE!</v>
      </c>
      <c r="X95" s="140" t="b">
        <f ca="1">_xll.qlInstrumentSetPricingEngine(X74,X85,X88:X89)</f>
        <v>1</v>
      </c>
      <c r="Y95" s="140" t="b">
        <f ca="1">_xll.qlInstrumentSetPricingEngine(Y74,Y85,Y88:Y89)</f>
        <v>1</v>
      </c>
      <c r="Z95" s="140" t="e">
        <f ca="1">_xll.qlInstrumentSetPricingEngine(Z74,Z85,Z88:Z89)</f>
        <v>#VALUE!</v>
      </c>
      <c r="AA95" s="140" t="b">
        <f ca="1">_xll.qlInstrumentSetPricingEngine(AA74,AA85,AA88:AA89)</f>
        <v>1</v>
      </c>
      <c r="AB95" s="140" t="e">
        <f ca="1">_xll.qlInstrumentSetPricingEngine(AB74,AB85,AB88:AB89)</f>
        <v>#VALUE!</v>
      </c>
      <c r="AC95" s="140" t="b">
        <f ca="1">_xll.qlInstrumentSetPricingEngine(AC74,AC85,AC88:AC89)</f>
        <v>1</v>
      </c>
      <c r="AD95" s="140" t="e">
        <f ca="1">_xll.qlInstrumentSetPricingEngine(AD74,AD85,AD88:AD89)</f>
        <v>#VALUE!</v>
      </c>
      <c r="AE95" s="140" t="e">
        <f ca="1">_xll.qlInstrumentSetPricingEngine(AE74,AE85,AE88:AE89)</f>
        <v>#VALUE!</v>
      </c>
      <c r="AF95" s="140" t="b">
        <f ca="1">_xll.qlInstrumentSetPricingEngine(AF74,AF85,AF88:AF89)</f>
        <v>1</v>
      </c>
      <c r="AG95" s="140" t="b">
        <f ca="1">_xll.qlInstrumentSetPricingEngine(AG74,AG85,AG88:AG89)</f>
        <v>1</v>
      </c>
      <c r="AH95" s="140" t="b">
        <f ca="1">_xll.qlInstrumentSetPricingEngine(AH74,AH85,AH88:AH89)</f>
        <v>1</v>
      </c>
      <c r="AI95" s="140" t="e">
        <f ca="1">_xll.qlInstrumentSetPricingEngine(AI74,AI85,AI88:AI89)</f>
        <v>#VALUE!</v>
      </c>
      <c r="AJ95" s="140" t="b">
        <f ca="1">_xll.qlInstrumentSetPricingEngine(AJ74,AJ85,AJ88:AJ89)</f>
        <v>1</v>
      </c>
      <c r="AK95" s="140" t="b">
        <f ca="1">_xll.qlInstrumentSetPricingEngine(AK74,AK85,AK88:AK89)</f>
        <v>1</v>
      </c>
      <c r="AL95" s="140" t="b">
        <f ca="1">_xll.qlInstrumentSetPricingEngine(AL74,AL85,AL88:AL89)</f>
        <v>1</v>
      </c>
      <c r="AM95" s="140" t="e">
        <f ca="1">_xll.qlInstrumentSetPricingEngine(AM74,AM85,AM88:AM89)</f>
        <v>#VALUE!</v>
      </c>
      <c r="AN95" s="140" t="e">
        <f ca="1">_xll.qlInstrumentSetPricingEngine(AN74,AN85,AN88:AN89)</f>
        <v>#VALUE!</v>
      </c>
      <c r="AO95" s="140" t="e">
        <f ca="1">_xll.qlInstrumentSetPricingEngine(AO74,AO85,AO88:AO89)</f>
        <v>#VALUE!</v>
      </c>
      <c r="AP95" s="140" t="b">
        <f ca="1">_xll.qlInstrumentSetPricingEngine(AP74,AP85,AP88:AP89)</f>
        <v>1</v>
      </c>
      <c r="AQ95" s="140" t="b">
        <f ca="1">_xll.qlInstrumentSetPricingEngine(AQ74,AQ85,AQ88:AQ89)</f>
        <v>1</v>
      </c>
      <c r="AR95" s="140" t="b">
        <f ca="1">_xll.qlInstrumentSetPricingEngine(AR74,AR85,AR88:AR89)</f>
        <v>1</v>
      </c>
      <c r="AS95" s="140" t="e">
        <f ca="1">_xll.qlInstrumentSetPricingEngine(AS74,AS85,AS88:AS89)</f>
        <v>#VALUE!</v>
      </c>
      <c r="AT95" s="140" t="e">
        <f ca="1">_xll.qlInstrumentSetPricingEngine(AT74,AT85,AT88:AT89)</f>
        <v>#VALUE!</v>
      </c>
      <c r="AU95" s="140" t="b">
        <f ca="1">_xll.qlInstrumentSetPricingEngine(AU74,AU85,AU88:AU89)</f>
        <v>1</v>
      </c>
      <c r="AV95" s="140" t="e">
        <f ca="1">_xll.qlInstrumentSetPricingEngine(AV74,AV85,AV88:AV89)</f>
        <v>#VALUE!</v>
      </c>
      <c r="AW95" s="140" t="b">
        <f ca="1">_xll.qlInstrumentSetPricingEngine(AW74,AW85,AW88:AW89)</f>
        <v>1</v>
      </c>
      <c r="AX95" s="140" t="e">
        <f ca="1">_xll.qlInstrumentSetPricingEngine(AX74,AX85,AX88:AX89)</f>
        <v>#VALUE!</v>
      </c>
      <c r="AY95" s="140" t="b">
        <f ca="1">_xll.qlInstrumentSetPricingEngine(AY74,AY85,AY88:AY89)</f>
        <v>1</v>
      </c>
      <c r="AZ95" s="140" t="b">
        <f ca="1">_xll.qlInstrumentSetPricingEngine(AZ74,AZ85,AZ88:AZ89)</f>
        <v>1</v>
      </c>
      <c r="BA95" s="140" t="b">
        <f ca="1">_xll.qlInstrumentSetPricingEngine(BA74,BA85,BA88:BA89)</f>
        <v>1</v>
      </c>
      <c r="BB95" s="140" t="b">
        <f ca="1">_xll.qlInstrumentSetPricingEngine(BB74,BB85,BB88:BB89)</f>
        <v>1</v>
      </c>
      <c r="BC95" s="140" t="b">
        <f ca="1">_xll.qlInstrumentSetPricingEngine(BC74,BC85,BC88:BC89)</f>
        <v>1</v>
      </c>
      <c r="BD95" s="140" t="b">
        <f ca="1">_xll.qlInstrumentSetPricingEngine(BD74,BD85,BD88:BD89)</f>
        <v>1</v>
      </c>
      <c r="BE95" s="140" t="b">
        <f ca="1">_xll.qlInstrumentSetPricingEngine(BE74,BE85,BE88:BE89)</f>
        <v>1</v>
      </c>
      <c r="BF95" s="140" t="b">
        <f ca="1">_xll.qlInstrumentSetPricingEngine(BF74,BF85,BF88:BF89)</f>
        <v>1</v>
      </c>
      <c r="BG95" s="140" t="b">
        <f ca="1">_xll.qlInstrumentSetPricingEngine(BG74,BG85,BG88:BG89)</f>
        <v>1</v>
      </c>
      <c r="BH95" s="140" t="e">
        <f ca="1">_xll.qlInstrumentSetPricingEngine(BH74,BH85,BH88:BH89)</f>
        <v>#VALUE!</v>
      </c>
      <c r="BI95" s="140" t="b">
        <f ca="1">_xll.qlInstrumentSetPricingEngine(BI74,BI85,BI88:BI89)</f>
        <v>1</v>
      </c>
      <c r="BJ95" s="140" t="e">
        <f ca="1">_xll.qlInstrumentSetPricingEngine(BJ74,BJ85,BJ88:BJ89)</f>
        <v>#VALUE!</v>
      </c>
      <c r="BK95" s="140" t="e">
        <f ca="1">_xll.qlInstrumentSetPricingEngine(BK74,BK85,BK88:BK89)</f>
        <v>#VALUE!</v>
      </c>
      <c r="BL95" s="140" t="e">
        <f ca="1">_xll.qlInstrumentSetPricingEngine(BL74,BL85,BL88:BL89)</f>
        <v>#VALUE!</v>
      </c>
      <c r="BM95" s="140" t="b">
        <f ca="1">_xll.qlInstrumentSetPricingEngine(BM74,BM85,BM88:BM89)</f>
        <v>1</v>
      </c>
      <c r="BN95" s="140" t="b">
        <f ca="1">_xll.qlInstrumentSetPricingEngine(BN74,BN85,BN88:BN89)</f>
        <v>1</v>
      </c>
      <c r="BO95" s="140" t="e">
        <f ca="1">_xll.qlInstrumentSetPricingEngine(BO74,BO85,BO88:BO89)</f>
        <v>#VALUE!</v>
      </c>
      <c r="BP95" s="140" t="b">
        <f ca="1">_xll.qlInstrumentSetPricingEngine(BP74,BP85,BP88:BP89)</f>
        <v>1</v>
      </c>
      <c r="BQ95" s="140" t="b">
        <f ca="1">_xll.qlInstrumentSetPricingEngine(BQ74,BQ85,BQ88:BQ89)</f>
        <v>1</v>
      </c>
      <c r="BR95" s="140" t="e">
        <f ca="1">_xll.qlInstrumentSetPricingEngine(BR74,BR85,BR88:BR89)</f>
        <v>#VALUE!</v>
      </c>
      <c r="BS95" s="140" t="e">
        <f ca="1">_xll.qlInstrumentSetPricingEngine(BS74,BS85,BS88:BS89)</f>
        <v>#VALUE!</v>
      </c>
      <c r="BT95" s="140" t="b">
        <f ca="1">_xll.qlInstrumentSetPricingEngine(BT74,BT85,BT88:BT89)</f>
        <v>1</v>
      </c>
      <c r="BU95" s="140" t="b">
        <f ca="1">_xll.qlInstrumentSetPricingEngine(BU74,BU85,BU88:BU89)</f>
        <v>1</v>
      </c>
      <c r="BV95" s="140" t="b">
        <f ca="1">_xll.qlInstrumentSetPricingEngine(BV74,BV85,BV88:BV89)</f>
        <v>1</v>
      </c>
      <c r="BW95" s="140" t="b">
        <f ca="1">_xll.qlInstrumentSetPricingEngine(BW74,BW85,BW88:BW89)</f>
        <v>1</v>
      </c>
      <c r="BX95" s="140" t="b">
        <f ca="1">_xll.qlInstrumentSetPricingEngine(BX74,BX85,BX88:BX89)</f>
        <v>1</v>
      </c>
      <c r="BY95" s="140" t="b">
        <f ca="1">_xll.qlInstrumentSetPricingEngine(BY74,BY85,BY88:BY89)</f>
        <v>1</v>
      </c>
      <c r="BZ95" s="140" t="e">
        <f ca="1">_xll.qlInstrumentSetPricingEngine(BZ74,BZ85,BZ88:BZ89)</f>
        <v>#VALUE!</v>
      </c>
      <c r="CA95" s="140" t="b">
        <f ca="1">_xll.qlInstrumentSetPricingEngine(CA74,CA85,CA88:CA89)</f>
        <v>1</v>
      </c>
      <c r="CB95" s="140" t="b">
        <f ca="1">_xll.qlInstrumentSetPricingEngine(CB74,CB85,CB88:CB89)</f>
        <v>1</v>
      </c>
      <c r="CC95" s="140" t="b">
        <f ca="1">_xll.qlInstrumentSetPricingEngine(CC74,CC85,CC88:CC89)</f>
        <v>1</v>
      </c>
      <c r="CD95" s="140" t="b">
        <f ca="1">_xll.qlInstrumentSetPricingEngine(CD74,CD85,CD88:CD89)</f>
        <v>1</v>
      </c>
      <c r="CE95" s="140" t="b">
        <f ca="1">_xll.qlInstrumentSetPricingEngine(CE74,CE85,CE88:CE89)</f>
        <v>1</v>
      </c>
      <c r="CF95" s="140" t="b">
        <f ca="1">_xll.qlInstrumentSetPricingEngine(CF74,CF85,CF88:CF89)</f>
        <v>1</v>
      </c>
      <c r="CG95" s="140" t="b">
        <f ca="1">_xll.qlInstrumentSetPricingEngine(CG74,CG85,CG88:CG89)</f>
        <v>1</v>
      </c>
      <c r="CH95" s="140" t="e">
        <f ca="1">_xll.qlInstrumentSetPricingEngine(CH74,CH85,CH88:CH89)</f>
        <v>#VALUE!</v>
      </c>
      <c r="CI95" s="140" t="e">
        <f ca="1">_xll.qlInstrumentSetPricingEngine(CI74,CI85,CI88:CI89)</f>
        <v>#VALUE!</v>
      </c>
      <c r="CJ95" s="140" t="b">
        <f ca="1">_xll.qlInstrumentSetPricingEngine(CJ74,CJ85,CJ88:CJ89)</f>
        <v>1</v>
      </c>
      <c r="CK95" s="140" t="b">
        <f ca="1">_xll.qlInstrumentSetPricingEngine(CK74,CK85,CK88:CK89)</f>
        <v>1</v>
      </c>
      <c r="CL95" s="140" t="e">
        <f ca="1">_xll.qlInstrumentSetPricingEngine(CL74,CL85,CL88:CL89)</f>
        <v>#VALUE!</v>
      </c>
      <c r="CM95" s="140" t="b">
        <f ca="1">_xll.qlInstrumentSetPricingEngine(CM74,CM85,CM88:CM89)</f>
        <v>1</v>
      </c>
      <c r="CN95" s="140" t="b">
        <f ca="1">_xll.qlInstrumentSetPricingEngine(CN74,CN85,CN88:CN89)</f>
        <v>1</v>
      </c>
      <c r="CO95" s="140" t="b">
        <f ca="1">_xll.qlInstrumentSetPricingEngine(CO74,CO85,CO88:CO89)</f>
        <v>1</v>
      </c>
      <c r="CP95" s="140" t="b">
        <f ca="1">_xll.qlInstrumentSetPricingEngine(CP74,CP85,CP88:CP89)</f>
        <v>1</v>
      </c>
      <c r="CQ95" s="140" t="e">
        <f ca="1">_xll.qlInstrumentSetPricingEngine(CQ74,CQ85,CQ88:CQ89)</f>
        <v>#VALUE!</v>
      </c>
      <c r="CR95" s="140" t="b">
        <f ca="1">_xll.qlInstrumentSetPricingEngine(CR74,CR85,CR88:CR89)</f>
        <v>1</v>
      </c>
      <c r="CS95" s="140" t="b">
        <f ca="1">_xll.qlInstrumentSetPricingEngine(CS74,CS85,CS88:CS89)</f>
        <v>1</v>
      </c>
      <c r="CT95" s="140" t="b">
        <f ca="1">_xll.qlInstrumentSetPricingEngine(CT74,CT85,CT88:CT89)</f>
        <v>1</v>
      </c>
      <c r="CU95" s="140" t="b">
        <f ca="1">_xll.qlInstrumentSetPricingEngine(CU74,CU85,CU88:CU89)</f>
        <v>1</v>
      </c>
      <c r="CV95" s="140" t="b">
        <f ca="1">_xll.qlInstrumentSetPricingEngine(CV74,CV85,CV88:CV89)</f>
        <v>1</v>
      </c>
      <c r="CW95" s="140" t="b">
        <f ca="1">_xll.qlInstrumentSetPricingEngine(CW74,CW85,CW88:CW89)</f>
        <v>1</v>
      </c>
      <c r="CX95" s="140" t="b">
        <f ca="1">_xll.qlInstrumentSetPricingEngine(CX74,CX85,CX88:CX89)</f>
        <v>1</v>
      </c>
    </row>
    <row r="96" spans="2:102">
      <c r="B96" s="104" t="s">
        <v>91</v>
      </c>
      <c r="C96" s="141">
        <f ca="1">_xll.qlInstrumentNPV(C74,C95)</f>
        <v>10.046923668014655</v>
      </c>
      <c r="D96" s="141">
        <f ca="1">_xll.qlInstrumentNPV(D74,D95)</f>
        <v>22.742661036552661</v>
      </c>
      <c r="E96" s="141">
        <f ca="1">_xll.qlInstrumentNPV(E74,E95)</f>
        <v>38.261806984735877</v>
      </c>
      <c r="F96" s="141">
        <f ca="1">_xll.qlInstrumentNPV(F74,F95)</f>
        <v>52.051871569147217</v>
      </c>
      <c r="G96" s="141" t="e">
        <f ca="1">_xll.qlInstrumentNPV(G74,G95)</f>
        <v>#VALUE!</v>
      </c>
      <c r="H96" s="141">
        <f ca="1">_xll.qlInstrumentNPV(H74,H95)</f>
        <v>72.001441217043592</v>
      </c>
      <c r="I96" s="141" t="e">
        <f ca="1">_xll.qlInstrumentNPV(I74,I95)</f>
        <v>#VALUE!</v>
      </c>
      <c r="J96" s="141" t="e">
        <f ca="1">_xll.qlInstrumentNPV(J74,J95)</f>
        <v>#VALUE!</v>
      </c>
      <c r="K96" s="141">
        <f ca="1">_xll.qlInstrumentNPV(K74,K95)</f>
        <v>90.452237625597135</v>
      </c>
      <c r="L96" s="141">
        <f ca="1">_xll.qlInstrumentNPV(L74,L95)</f>
        <v>95.200613563676498</v>
      </c>
      <c r="M96" s="141">
        <f ca="1">_xll.qlInstrumentNPV(M74,M95)</f>
        <v>23.465304992262713</v>
      </c>
      <c r="N96" s="141" t="e">
        <f ca="1">_xll.qlInstrumentNPV(N74,N95)</f>
        <v>#VALUE!</v>
      </c>
      <c r="O96" s="141">
        <f ca="1">_xll.qlInstrumentNPV(O74,O95)</f>
        <v>80.965943430500502</v>
      </c>
      <c r="P96" s="141" t="e">
        <f ca="1">_xll.qlInstrumentNPV(P74,P95)</f>
        <v>#VALUE!</v>
      </c>
      <c r="Q96" s="141" t="e">
        <f ca="1">_xll.qlInstrumentNPV(Q74,Q95)</f>
        <v>#NUM!</v>
      </c>
      <c r="R96" s="141">
        <f ca="1">_xll.qlInstrumentNPV(R74,R95)</f>
        <v>146.45518944991773</v>
      </c>
      <c r="S96" s="141">
        <f ca="1">_xll.qlInstrumentNPV(S74,S95)</f>
        <v>161.25750029857039</v>
      </c>
      <c r="T96" s="141">
        <f ca="1">_xll.qlInstrumentNPV(T74,T95)</f>
        <v>172.0341206285799</v>
      </c>
      <c r="U96" s="141">
        <f ca="1">_xll.qlInstrumentNPV(U74,U95)</f>
        <v>181.9595853158832</v>
      </c>
      <c r="V96" s="141" t="e">
        <f ca="1">_xll.qlInstrumentNPV(V74,V95)</f>
        <v>#VALUE!</v>
      </c>
      <c r="W96" s="141" t="e">
        <f ca="1">_xll.qlInstrumentNPV(W74,W95)</f>
        <v>#VALUE!</v>
      </c>
      <c r="X96" s="141">
        <f ca="1">_xll.qlInstrumentNPV(X74,X95)</f>
        <v>86.047382496426593</v>
      </c>
      <c r="Y96" s="141">
        <f ca="1">_xll.qlInstrumentNPV(Y74,Y95)</f>
        <v>128.84332554208154</v>
      </c>
      <c r="Z96" s="141" t="e">
        <f ca="1">_xll.qlInstrumentNPV(Z74,Z95)</f>
        <v>#VALUE!</v>
      </c>
      <c r="AA96" s="141">
        <f ca="1">_xll.qlInstrumentNPV(AA74,AA95)</f>
        <v>197.42020780262908</v>
      </c>
      <c r="AB96" s="141" t="e">
        <f ca="1">_xll.qlInstrumentNPV(AB74,AB95)</f>
        <v>#VALUE!</v>
      </c>
      <c r="AC96" s="141">
        <f ca="1">_xll.qlInstrumentNPV(AC74,AC95)</f>
        <v>242.42508705566431</v>
      </c>
      <c r="AD96" s="141">
        <f ca="1">_xll.qlInstrumentNPV(AD74,AD95)</f>
        <v>258.08095028245367</v>
      </c>
      <c r="AE96" s="141" t="e">
        <f ca="1">_xll.qlInstrumentNPV(AE74,AE95)</f>
        <v>#VALUE!</v>
      </c>
      <c r="AF96" s="141">
        <f ca="1">_xll.qlInstrumentNPV(AF74,AF95)</f>
        <v>285.60408448353115</v>
      </c>
      <c r="AG96" s="141">
        <f ca="1">_xll.qlInstrumentNPV(AG74,AG95)</f>
        <v>67.134297691978958</v>
      </c>
      <c r="AH96" s="141">
        <f ca="1">_xll.qlInstrumentNPV(AH74,AH95)</f>
        <v>124.20392327269407</v>
      </c>
      <c r="AI96" s="141" t="e">
        <f ca="1">_xll.qlInstrumentNPV(AI74,AI95)</f>
        <v>#VALUE!</v>
      </c>
      <c r="AJ96" s="141">
        <f ca="1">_xll.qlInstrumentNPV(AJ74,AJ95)</f>
        <v>223.83795715476319</v>
      </c>
      <c r="AK96" s="141">
        <f ca="1">_xll.qlInstrumentNPV(AK74,AK95)</f>
        <v>264.68954730550359</v>
      </c>
      <c r="AL96" s="141">
        <f ca="1">_xll.qlInstrumentNPV(AL74,AL95)</f>
        <v>295.04124981149448</v>
      </c>
      <c r="AM96" s="141" t="e">
        <f ca="1">_xll.qlInstrumentNPV(AM74,AM95)</f>
        <v>#VALUE!</v>
      </c>
      <c r="AN96" s="141" t="e">
        <f ca="1">_xll.qlInstrumentNPV(AN74,AN95)</f>
        <v>#VALUE!</v>
      </c>
      <c r="AO96" s="141" t="e">
        <f ca="1">_xll.qlInstrumentNPV(AO74,AO95)</f>
        <v>#VALUE!</v>
      </c>
      <c r="AP96" s="141">
        <f ca="1">_xll.qlInstrumentNPV(AP74,AP95)</f>
        <v>376.13064075467247</v>
      </c>
      <c r="AQ96" s="141">
        <f ca="1">_xll.qlInstrumentNPV(AQ74,AQ95)</f>
        <v>95.583539179847605</v>
      </c>
      <c r="AR96" s="141">
        <f ca="1">_xll.qlInstrumentNPV(AR74,AR95)</f>
        <v>167.54388942833046</v>
      </c>
      <c r="AS96" s="141" t="e">
        <f ca="1">_xll.qlInstrumentNPV(AS74,AS95)</f>
        <v>#VALUE!</v>
      </c>
      <c r="AT96" s="141" t="e">
        <f ca="1">_xll.qlInstrumentNPV(AT74,AT95)</f>
        <v>#VALUE!</v>
      </c>
      <c r="AU96" s="141">
        <f ca="1">_xll.qlInstrumentNPV(AU74,AU95)</f>
        <v>334.13082755091875</v>
      </c>
      <c r="AV96" s="141" t="e">
        <f ca="1">_xll.qlInstrumentNPV(AV74,AV95)</f>
        <v>#VALUE!</v>
      </c>
      <c r="AW96" s="141">
        <f ca="1">_xll.qlInstrumentNPV(AW74,AW95)</f>
        <v>402.63616691653868</v>
      </c>
      <c r="AX96" s="141" t="e">
        <f ca="1">_xll.qlInstrumentNPV(AX74,AX95)</f>
        <v>#VALUE!</v>
      </c>
      <c r="AY96" s="141">
        <f ca="1">_xll.qlInstrumentNPV(AY74,AY95)</f>
        <v>445.44003767881344</v>
      </c>
      <c r="AZ96" s="141">
        <f ca="1">_xll.qlInstrumentNPV(AZ74,AZ95)</f>
        <v>463.22576254059049</v>
      </c>
      <c r="BA96" s="141">
        <f ca="1">_xll.qlInstrumentNPV(BA74,BA95)</f>
        <v>127.9636399365489</v>
      </c>
      <c r="BB96" s="141">
        <f ca="1">_xll.qlInstrumentNPV(BB74,BB95)</f>
        <v>212.47547770254303</v>
      </c>
      <c r="BC96" s="141">
        <f ca="1">_xll.qlInstrumentNPV(BC74,BC95)</f>
        <v>286.66462663349091</v>
      </c>
      <c r="BD96" s="141">
        <f ca="1">_xll.qlInstrumentNPV(BD74,BD95)</f>
        <v>348.10478572057423</v>
      </c>
      <c r="BE96" s="141">
        <f ca="1">_xll.qlInstrumentNPV(BE74,BE95)</f>
        <v>401.49992590047947</v>
      </c>
      <c r="BF96" s="141">
        <f ca="1">_xll.qlInstrumentNPV(BF74,BF95)</f>
        <v>442.50711333892423</v>
      </c>
      <c r="BG96" s="141">
        <f ca="1">_xll.qlInstrumentNPV(BG74,BG95)</f>
        <v>480.41965542727957</v>
      </c>
      <c r="BH96" s="141" t="e">
        <f ca="1">_xll.qlInstrumentNPV(BH74,BH95)</f>
        <v>#VALUE!</v>
      </c>
      <c r="BI96" s="141">
        <f ca="1">_xll.qlInstrumentNPV(BI74,BI95)</f>
        <v>528.90251520631364</v>
      </c>
      <c r="BJ96" s="141" t="e">
        <f ca="1">_xll.qlInstrumentNPV(BJ74,BJ95)</f>
        <v>#VALUE!</v>
      </c>
      <c r="BK96" s="141" t="e">
        <f ca="1">_xll.qlInstrumentNPV(BK74,BK95)</f>
        <v>#VALUE!</v>
      </c>
      <c r="BL96" s="141" t="e">
        <f ca="1">_xll.qlInstrumentNPV(BL74,BL95)</f>
        <v>#VALUE!</v>
      </c>
      <c r="BM96" s="141">
        <f ca="1">_xll.qlInstrumentNPV(BM74,BM95)</f>
        <v>340.65111299412109</v>
      </c>
      <c r="BN96" s="141">
        <f ca="1">_xll.qlInstrumentNPV(BN74,BN95)</f>
        <v>410.75407523323946</v>
      </c>
      <c r="BO96" s="141" t="e">
        <f ca="1">_xll.qlInstrumentNPV(BO74,BO95)</f>
        <v>#VALUE!</v>
      </c>
      <c r="BP96" s="141">
        <f ca="1">_xll.qlInstrumentNPV(BP74,BP95)</f>
        <v>514.78068936102216</v>
      </c>
      <c r="BQ96" s="141">
        <f ca="1">_xll.qlInstrumentNPV(BQ74,BQ95)</f>
        <v>556.03898770387536</v>
      </c>
      <c r="BR96" s="141" t="e">
        <f ca="1">_xll.qlInstrumentNPV(BR74,BR95)</f>
        <v>#VALUE!</v>
      </c>
      <c r="BS96" s="141" t="e">
        <f ca="1">_xll.qlInstrumentNPV(BS74,BS95)</f>
        <v>#VALUE!</v>
      </c>
      <c r="BT96" s="141">
        <f ca="1">_xll.qlInstrumentNPV(BT74,BT95)</f>
        <v>633.02273621979793</v>
      </c>
      <c r="BU96" s="141">
        <f ca="1">_xll.qlInstrumentNPV(BU74,BU95)</f>
        <v>199.47510204928454</v>
      </c>
      <c r="BV96" s="141">
        <f ca="1">_xll.qlInstrumentNPV(BV74,BV95)</f>
        <v>308.35789101891817</v>
      </c>
      <c r="BW96" s="141">
        <f ca="1">_xll.qlInstrumentNPV(BW74,BW95)</f>
        <v>395.61770391274757</v>
      </c>
      <c r="BX96" s="141">
        <f ca="1">_xll.qlInstrumentNPV(BX74,BX95)</f>
        <v>473.19549528491984</v>
      </c>
      <c r="BY96" s="141">
        <f ca="1">_xll.qlInstrumentNPV(BY74,BY95)</f>
        <v>534.33542390215973</v>
      </c>
      <c r="BZ96" s="141" t="e">
        <f ca="1">_xll.qlInstrumentNPV(BZ74,BZ95)</f>
        <v>#VALUE!</v>
      </c>
      <c r="CA96" s="141">
        <f ca="1">_xll.qlInstrumentNPV(CA74,CA95)</f>
        <v>629.81434946840284</v>
      </c>
      <c r="CB96" s="141">
        <f ca="1">_xll.qlInstrumentNPV(CB74,CB95)</f>
        <v>661.09014704430888</v>
      </c>
      <c r="CC96" s="141">
        <f ca="1">_xll.qlInstrumentNPV(CC74,CC95)</f>
        <v>689.05770846894745</v>
      </c>
      <c r="CD96" s="141">
        <f ca="1">_xll.qlInstrumentNPV(CD74,CD95)</f>
        <v>712.75777401948801</v>
      </c>
      <c r="CE96" s="141">
        <f ca="1">_xll.qlInstrumentNPV(CE74,CE95)</f>
        <v>235.90708149009291</v>
      </c>
      <c r="CF96" s="141">
        <f ca="1">_xll.qlInstrumentNPV(CF74,CF95)</f>
        <v>355.51900100815521</v>
      </c>
      <c r="CG96" s="141">
        <f ca="1">_xll.qlInstrumentNPV(CG74,CG95)</f>
        <v>451.94624722278854</v>
      </c>
      <c r="CH96" s="141" t="e">
        <f ca="1">_xll.qlInstrumentNPV(CH74,CH95)</f>
        <v>#VALUE!</v>
      </c>
      <c r="CI96" s="141" t="e">
        <f ca="1">_xll.qlInstrumentNPV(CI74,CI95)</f>
        <v>#VALUE!</v>
      </c>
      <c r="CJ96" s="141">
        <f ca="1">_xll.qlInstrumentNPV(CJ74,CJ95)</f>
        <v>652.84718965461252</v>
      </c>
      <c r="CK96" s="141">
        <f ca="1">_xll.qlInstrumentNPV(CK74,CK95)</f>
        <v>701.78231074750011</v>
      </c>
      <c r="CL96" s="141" t="e">
        <f ca="1">_xll.qlInstrumentNPV(CL74,CL95)</f>
        <v>#VALUE!</v>
      </c>
      <c r="CM96" s="141">
        <f ca="1">_xll.qlInstrumentNPV(CM74,CM95)</f>
        <v>764.75755613854176</v>
      </c>
      <c r="CN96" s="141">
        <f ca="1">_xll.qlInstrumentNPV(CN74,CN95)</f>
        <v>235.12203495606809</v>
      </c>
      <c r="CO96" s="141">
        <f ca="1">_xll.qlInstrumentNPV(CO74,CO95)</f>
        <v>274.17684538381366</v>
      </c>
      <c r="CP96" s="141">
        <f ca="1">_xll.qlInstrumentNPV(CP74,CP95)</f>
        <v>405.04938856113904</v>
      </c>
      <c r="CQ96" s="141" t="e">
        <f ca="1">_xll.qlInstrumentNPV(CQ74,CQ95)</f>
        <v>#VALUE!</v>
      </c>
      <c r="CR96" s="141">
        <f ca="1">_xll.qlInstrumentNPV(CR74,CR95)</f>
        <v>594.49181756325845</v>
      </c>
      <c r="CS96" s="141">
        <f ca="1">_xll.qlInstrumentNPV(CS74,CS95)</f>
        <v>663.90045631411806</v>
      </c>
      <c r="CT96" s="141">
        <f ca="1">_xll.qlInstrumentNPV(CT74,CT95)</f>
        <v>721.24164639389539</v>
      </c>
      <c r="CU96" s="141">
        <f ca="1">_xll.qlInstrumentNPV(CU74,CU95)</f>
        <v>771.91158386086886</v>
      </c>
      <c r="CV96" s="141">
        <f ca="1">_xll.qlInstrumentNPV(CV74,CV95)</f>
        <v>807.81245775997786</v>
      </c>
      <c r="CW96" s="141">
        <f ca="1">_xll.qlInstrumentNPV(CW74,CW95)</f>
        <v>838.60522181212195</v>
      </c>
      <c r="CX96" s="141">
        <f ca="1">_xll.qlInstrumentNPV(CX74,CX95)</f>
        <v>864.89462022554346</v>
      </c>
    </row>
    <row r="97" spans="2:102">
      <c r="B97" s="104" t="s">
        <v>255</v>
      </c>
      <c r="C97" s="149">
        <f ca="1">_xll.qlInstrumentResults(C74,"stdDev",C95)/SQRT(_xll.qlDayCounterYearFraction("Act/365 (Fixed)",Curve!$D$6,C68))</f>
        <v>2.4941389927416536E-3</v>
      </c>
      <c r="D97" s="149">
        <f ca="1">_xll.qlInstrumentResults(D74,"stdDev",D95)/SQRT(_xll.qlDayCounterYearFraction("Act/365 (Fixed)",Curve!$D$6,D68))</f>
        <v>4.0179506736833489E-3</v>
      </c>
      <c r="E97" s="149">
        <f ca="1">_xll.qlInstrumentResults(E74,"stdDev",E95)/SQRT(_xll.qlDayCounterYearFraction("Act/365 (Fixed)",Curve!$D$6,E68))</f>
        <v>5.5352608372532305E-3</v>
      </c>
      <c r="F97" s="149">
        <f ca="1">_xll.qlInstrumentResults(F74,"stdDev",F95)/SQRT(_xll.qlDayCounterYearFraction("Act/365 (Fixed)",Curve!$D$6,F68))</f>
        <v>6.5535127428382259E-3</v>
      </c>
      <c r="G97" s="149" t="e">
        <f ca="1">_xll.qlInstrumentResults(G74,"stdDev",G95)/SQRT(_xll.qlDayCounterYearFraction("Act/365 (Fixed)",Curve!$D$6,G68))</f>
        <v>#VALUE!</v>
      </c>
      <c r="H97" s="149">
        <f ca="1">_xll.qlInstrumentResults(H74,"stdDev",H95)/SQRT(_xll.qlDayCounterYearFraction("Act/365 (Fixed)",Curve!$D$6,H68))</f>
        <v>7.5644925073481764E-3</v>
      </c>
      <c r="I97" s="149" t="e">
        <f ca="1">_xll.qlInstrumentResults(I74,"stdDev",I95)/SQRT(_xll.qlDayCounterYearFraction("Act/365 (Fixed)",Curve!$D$6,I68))</f>
        <v>#VALUE!</v>
      </c>
      <c r="J97" s="149" t="e">
        <f ca="1">_xll.qlInstrumentResults(J74,"stdDev",J95)/SQRT(_xll.qlDayCounterYearFraction("Act/365 (Fixed)",Curve!$D$6,J68))</f>
        <v>#VALUE!</v>
      </c>
      <c r="K97" s="149">
        <f ca="1">_xll.qlInstrumentResults(K74,"stdDev",K95)/SQRT(_xll.qlDayCounterYearFraction("Act/365 (Fixed)",Curve!$D$6,K68))</f>
        <v>8.1510200667335945E-3</v>
      </c>
      <c r="L97" s="149">
        <f ca="1">_xll.qlInstrumentResults(L74,"stdDev",L95)/SQRT(_xll.qlDayCounterYearFraction("Act/365 (Fixed)",Curve!$D$6,L68))</f>
        <v>8.2973177037058178E-3</v>
      </c>
      <c r="M97" s="149">
        <f ca="1">_xll.qlInstrumentResults(M74,"stdDev",M95)/SQRT(_xll.qlDayCounterYearFraction("Act/365 (Fixed)",Curve!$D$6,M68))</f>
        <v>2.9250278353032282E-3</v>
      </c>
      <c r="N97" s="149" t="e">
        <f ca="1">_xll.qlInstrumentResults(N74,"stdDev",N95)/SQRT(_xll.qlDayCounterYearFraction("Act/365 (Fixed)",Curve!$D$6,N68))</f>
        <v>#VALUE!</v>
      </c>
      <c r="O97" s="149">
        <f ca="1">_xll.qlInstrumentResults(O74,"stdDev",O95)/SQRT(_xll.qlDayCounterYearFraction("Act/365 (Fixed)",Curve!$D$6,O68))</f>
        <v>5.8726538266170008E-3</v>
      </c>
      <c r="P97" s="149" t="e">
        <f ca="1">_xll.qlInstrumentResults(P74,"stdDev",P95)/SQRT(_xll.qlDayCounterYearFraction("Act/365 (Fixed)",Curve!$D$6,P68))</f>
        <v>#VALUE!</v>
      </c>
      <c r="Q97" s="149" t="e">
        <f ca="1">_xll.qlInstrumentResults(Q74,"stdDev",Q95)/SQRT(_xll.qlDayCounterYearFraction("Act/365 (Fixed)",Curve!$D$6,Q68))</f>
        <v>#NUM!</v>
      </c>
      <c r="R97" s="149">
        <f ca="1">_xll.qlInstrumentResults(R74,"stdDev",R95)/SQRT(_xll.qlDayCounterYearFraction("Act/365 (Fixed)",Curve!$D$6,R68))</f>
        <v>7.7282358740865514E-3</v>
      </c>
      <c r="S97" s="149">
        <f ca="1">_xll.qlInstrumentResults(S74,"stdDev",S95)/SQRT(_xll.qlDayCounterYearFraction("Act/365 (Fixed)",Curve!$D$6,S68))</f>
        <v>8.0257978185064392E-3</v>
      </c>
      <c r="T97" s="149">
        <f ca="1">_xll.qlInstrumentResults(T74,"stdDev",T95)/SQRT(_xll.qlDayCounterYearFraction("Act/365 (Fixed)",Curve!$D$6,T68))</f>
        <v>8.150905951251463E-3</v>
      </c>
      <c r="U97" s="149">
        <f ca="1">_xll.qlInstrumentResults(U74,"stdDev",U95)/SQRT(_xll.qlDayCounterYearFraction("Act/365 (Fixed)",Curve!$D$6,U68))</f>
        <v>8.2770423700190485E-3</v>
      </c>
      <c r="V97" s="149" t="e">
        <f ca="1">_xll.qlInstrumentResults(V74,"stdDev",V95)/SQRT(_xll.qlDayCounterYearFraction("Act/365 (Fixed)",Curve!$D$6,V68))</f>
        <v>#VALUE!</v>
      </c>
      <c r="W97" s="149" t="e">
        <f ca="1">_xll.qlInstrumentResults(W74,"stdDev",W95)/SQRT(_xll.qlDayCounterYearFraction("Act/365 (Fixed)",Curve!$D$6,W68))</f>
        <v>#VALUE!</v>
      </c>
      <c r="X97" s="149">
        <f ca="1">_xll.qlInstrumentResults(X74,"stdDev",X95)/SQRT(_xll.qlDayCounterYearFraction("Act/365 (Fixed)",Curve!$D$6,X68))</f>
        <v>5.0855958634060412E-3</v>
      </c>
      <c r="Y97" s="149">
        <f ca="1">_xll.qlInstrumentResults(Y74,"stdDev",Y95)/SQRT(_xll.qlDayCounterYearFraction("Act/365 (Fixed)",Curve!$D$6,Y68))</f>
        <v>6.2432001071332692E-3</v>
      </c>
      <c r="Z97" s="149">
        <f ca="1">_xll.qlInstrumentResults(Z74,"stdDev",Z95)/SQRT(_xll.qlDayCounterYearFraction("Act/365 (Fixed)",Curve!$D$6,Z68))</f>
        <v>6.946644463351621E-3</v>
      </c>
      <c r="AA97" s="149">
        <f ca="1">_xll.qlInstrumentResults(AA74,"stdDev",AA95)/SQRT(_xll.qlDayCounterYearFraction("Act/365 (Fixed)",Curve!$D$6,AA68))</f>
        <v>7.5648595232297991E-3</v>
      </c>
      <c r="AB97" s="149" t="e">
        <f ca="1">_xll.qlInstrumentResults(AB74,"stdDev",AB95)/SQRT(_xll.qlDayCounterYearFraction("Act/365 (Fixed)",Curve!$D$6,AB68))</f>
        <v>#VALUE!</v>
      </c>
      <c r="AC97" s="149">
        <f ca="1">_xll.qlInstrumentResults(AC74,"stdDev",AC95)/SQRT(_xll.qlDayCounterYearFraction("Act/365 (Fixed)",Curve!$D$6,AC68))</f>
        <v>8.1142525585247184E-3</v>
      </c>
      <c r="AD97" s="149" t="e">
        <f ca="1">_xll.qlInstrumentResults(AD74,"stdDev",AD95)/SQRT(_xll.qlDayCounterYearFraction("Act/365 (Fixed)",Curve!$D$6,AD68))</f>
        <v>#VALUE!</v>
      </c>
      <c r="AE97" s="149" t="e">
        <f ca="1">_xll.qlInstrumentResults(AE74,"stdDev",AE95)/SQRT(_xll.qlDayCounterYearFraction("Act/365 (Fixed)",Curve!$D$6,AE68))</f>
        <v>#VALUE!</v>
      </c>
      <c r="AF97" s="149">
        <f ca="1">_xll.qlInstrumentResults(AF74,"stdDev",AF95)/SQRT(_xll.qlDayCounterYearFraction("Act/365 (Fixed)",Curve!$D$6,AF68))</f>
        <v>8.456394647453248E-3</v>
      </c>
      <c r="AG97" s="149">
        <f ca="1">_xll.qlInstrumentResults(AG74,"stdDev",AG95)/SQRT(_xll.qlDayCounterYearFraction("Act/365 (Fixed)",Curve!$D$6,AG68))</f>
        <v>4.2015148286001815E-3</v>
      </c>
      <c r="AH97" s="149">
        <f ca="1">_xll.qlInstrumentResults(AH74,"stdDev",AH95)/SQRT(_xll.qlDayCounterYearFraction("Act/365 (Fixed)",Curve!$D$6,AH68))</f>
        <v>5.5166371998574791E-3</v>
      </c>
      <c r="AI97" s="149" t="e">
        <f ca="1">_xll.qlInstrumentResults(AI74,"stdDev",AI95)/SQRT(_xll.qlDayCounterYearFraction("Act/365 (Fixed)",Curve!$D$6,AI68))</f>
        <v>#VALUE!</v>
      </c>
      <c r="AJ97" s="149">
        <f ca="1">_xll.qlInstrumentResults(AJ74,"stdDev",AJ95)/SQRT(_xll.qlDayCounterYearFraction("Act/365 (Fixed)",Curve!$D$6,AJ68))</f>
        <v>7.1624670591156694E-3</v>
      </c>
      <c r="AK97" s="149">
        <f ca="1">_xll.qlInstrumentResults(AK74,"stdDev",AK95)/SQRT(_xll.qlDayCounterYearFraction("Act/365 (Fixed)",Curve!$D$6,AK68))</f>
        <v>7.6788037496689889E-3</v>
      </c>
      <c r="AL97" s="149">
        <f ca="1">_xll.qlInstrumentResults(AL74,"stdDev",AL95)/SQRT(_xll.qlDayCounterYearFraction("Act/365 (Fixed)",Curve!$D$6,AL68))</f>
        <v>7.9354043081833001E-3</v>
      </c>
      <c r="AM97" s="149" t="e">
        <f ca="1">_xll.qlInstrumentResults(AM74,"stdDev",AM95)/SQRT(_xll.qlDayCounterYearFraction("Act/365 (Fixed)",Curve!$D$6,AM68))</f>
        <v>#VALUE!</v>
      </c>
      <c r="AN97" s="149" t="e">
        <f ca="1">_xll.qlInstrumentResults(AN74,"stdDev",AN95)/SQRT(_xll.qlDayCounterYearFraction("Act/365 (Fixed)",Curve!$D$6,AN68))</f>
        <v>#VALUE!</v>
      </c>
      <c r="AO97" s="149" t="e">
        <f ca="1">_xll.qlInstrumentResults(AO74,"stdDev",AO95)/SQRT(_xll.qlDayCounterYearFraction("Act/365 (Fixed)",Curve!$D$6,AO68))</f>
        <v>#VALUE!</v>
      </c>
      <c r="AP97" s="149">
        <f ca="1">_xll.qlInstrumentResults(AP74,"stdDev",AP95)/SQRT(_xll.qlDayCounterYearFraction("Act/365 (Fixed)",Curve!$D$6,AP68))</f>
        <v>8.4441405925685629E-3</v>
      </c>
      <c r="AQ97" s="149">
        <f ca="1">_xll.qlInstrumentResults(AQ74,"stdDev",AQ95)/SQRT(_xll.qlDayCounterYearFraction("Act/365 (Fixed)",Curve!$D$6,AQ68))</f>
        <v>4.7993963474995023E-3</v>
      </c>
      <c r="AR97" s="149">
        <f ca="1">_xll.qlInstrumentResults(AR74,"stdDev",AR95)/SQRT(_xll.qlDayCounterYearFraction("Act/365 (Fixed)",Curve!$D$6,AR68))</f>
        <v>5.9847425532581055E-3</v>
      </c>
      <c r="AS97" s="149" t="e">
        <f ca="1">_xll.qlInstrumentResults(AS74,"stdDev",AS95)/SQRT(_xll.qlDayCounterYearFraction("Act/365 (Fixed)",Curve!$D$6,AS68))</f>
        <v>#VALUE!</v>
      </c>
      <c r="AT97" s="149" t="e">
        <f ca="1">_xll.qlInstrumentResults(AT74,"stdDev",AT95)/SQRT(_xll.qlDayCounterYearFraction("Act/365 (Fixed)",Curve!$D$6,AT68))</f>
        <v>#VALUE!</v>
      </c>
      <c r="AU97" s="149">
        <f ca="1">_xll.qlInstrumentResults(AU74,"stdDev",AU95)/SQRT(_xll.qlDayCounterYearFraction("Act/365 (Fixed)",Curve!$D$6,AU68))</f>
        <v>7.8176656474285514E-3</v>
      </c>
      <c r="AV97" s="149" t="e">
        <f ca="1">_xll.qlInstrumentResults(AV74,"stdDev",AV95)/SQRT(_xll.qlDayCounterYearFraction("Act/365 (Fixed)",Curve!$D$6,AV68))</f>
        <v>#VALUE!</v>
      </c>
      <c r="AW97" s="149">
        <f ca="1">_xll.qlInstrumentResults(AW74,"stdDev",AW95)/SQRT(_xll.qlDayCounterYearFraction("Act/365 (Fixed)",Curve!$D$6,AW68))</f>
        <v>8.2364846066712814E-3</v>
      </c>
      <c r="AX97" s="149" t="e">
        <f ca="1">_xll.qlInstrumentResults(AX74,"stdDev",AX95)/SQRT(_xll.qlDayCounterYearFraction("Act/365 (Fixed)",Curve!$D$6,AX68))</f>
        <v>#VALUE!</v>
      </c>
      <c r="AY97" s="149">
        <f ca="1">_xll.qlInstrumentResults(AY74,"stdDev",AY95)/SQRT(_xll.qlDayCounterYearFraction("Act/365 (Fixed)",Curve!$D$6,AY68))</f>
        <v>8.3476249391850749E-3</v>
      </c>
      <c r="AZ97" s="149">
        <f ca="1">_xll.qlInstrumentResults(AZ74,"stdDev",AZ95)/SQRT(_xll.qlDayCounterYearFraction("Act/365 (Fixed)",Curve!$D$6,AZ68))</f>
        <v>8.4028160456448581E-3</v>
      </c>
      <c r="BA97" s="149">
        <f ca="1">_xll.qlInstrumentResults(BA74,"stdDev",BA95)/SQRT(_xll.qlDayCounterYearFraction("Act/365 (Fixed)",Curve!$D$6,BA68))</f>
        <v>5.3754640870856303E-3</v>
      </c>
      <c r="BB97" s="149">
        <f ca="1">_xll.qlInstrumentResults(BB74,"stdDev",BB95)/SQRT(_xll.qlDayCounterYearFraction("Act/365 (Fixed)",Curve!$D$6,BB68))</f>
        <v>6.3622863453775711E-3</v>
      </c>
      <c r="BC97" s="149">
        <f ca="1">_xll.qlInstrumentResults(BC74,"stdDev",BC95)/SQRT(_xll.qlDayCounterYearFraction("Act/365 (Fixed)",Curve!$D$6,BC68))</f>
        <v>7.08112552499153E-3</v>
      </c>
      <c r="BD97" s="149">
        <f ca="1">_xll.qlInstrumentResults(BD74,"stdDev",BD95)/SQRT(_xll.qlDayCounterYearFraction("Act/365 (Fixed)",Curve!$D$6,BD68))</f>
        <v>7.5370164338000954E-3</v>
      </c>
      <c r="BE97" s="149">
        <f ca="1">_xll.qlInstrumentResults(BE74,"stdDev",BE95)/SQRT(_xll.qlDayCounterYearFraction("Act/365 (Fixed)",Curve!$D$6,BE68))</f>
        <v>7.8951454371909754E-3</v>
      </c>
      <c r="BF97" s="149">
        <f ca="1">_xll.qlInstrumentResults(BF74,"stdDev",BF95)/SQRT(_xll.qlDayCounterYearFraction("Act/365 (Fixed)",Curve!$D$6,BF68))</f>
        <v>8.0779667332886752E-3</v>
      </c>
      <c r="BG97" s="149">
        <f ca="1">_xll.qlInstrumentResults(BG74,"stdDev",BG95)/SQRT(_xll.qlDayCounterYearFraction("Act/365 (Fixed)",Curve!$D$6,BG68))</f>
        <v>8.2607880293863734E-3</v>
      </c>
      <c r="BH97" s="149" t="e">
        <f ca="1">_xll.qlInstrumentResults(BH74,"stdDev",BH95)/SQRT(_xll.qlDayCounterYearFraction("Act/365 (Fixed)",Curve!$D$6,BH68))</f>
        <v>#VALUE!</v>
      </c>
      <c r="BI97" s="149">
        <f ca="1">_xll.qlInstrumentResults(BI74,"stdDev",BI95)/SQRT(_xll.qlDayCounterYearFraction("Act/365 (Fixed)",Curve!$D$6,BI68))</f>
        <v>8.3418124731011907E-3</v>
      </c>
      <c r="BJ97" s="149" t="e">
        <f ca="1">_xll.qlInstrumentResults(BJ74,"stdDev",BJ95)/SQRT(_xll.qlDayCounterYearFraction("Act/365 (Fixed)",Curve!$D$6,BJ68))</f>
        <v>#VALUE!</v>
      </c>
      <c r="BK97" s="149" t="e">
        <f ca="1">_xll.qlInstrumentResults(BK74,"stdDev",BK95)/SQRT(_xll.qlDayCounterYearFraction("Act/365 (Fixed)",Curve!$D$6,BK68))</f>
        <v>#VALUE!</v>
      </c>
      <c r="BL97" s="149" t="e">
        <f ca="1">_xll.qlInstrumentResults(BL74,"stdDev",BL95)/SQRT(_xll.qlDayCounterYearFraction("Act/365 (Fixed)",Curve!$D$6,BL68))</f>
        <v>#VALUE!</v>
      </c>
      <c r="BM97" s="149">
        <f ca="1">_xll.qlInstrumentResults(BM74,"stdDev",BM95)/SQRT(_xll.qlDayCounterYearFraction("Act/365 (Fixed)",Curve!$D$6,BM68))</f>
        <v>7.2652316835182789E-3</v>
      </c>
      <c r="BN97" s="149">
        <f ca="1">_xll.qlInstrumentResults(BN74,"stdDev",BN95)/SQRT(_xll.qlDayCounterYearFraction("Act/365 (Fixed)",Curve!$D$6,BN68))</f>
        <v>7.6854488812897409E-3</v>
      </c>
      <c r="BO97" s="149" t="e">
        <f ca="1">_xll.qlInstrumentResults(BO74,"stdDev",BO95)/SQRT(_xll.qlDayCounterYearFraction("Act/365 (Fixed)",Curve!$D$6,BO68))</f>
        <v>#VALUE!</v>
      </c>
      <c r="BP97" s="149">
        <f ca="1">_xll.qlInstrumentResults(BP74,"stdDev",BP95)/SQRT(_xll.qlDayCounterYearFraction("Act/365 (Fixed)",Curve!$D$6,BP68))</f>
        <v>8.1240956138277989E-3</v>
      </c>
      <c r="BQ97" s="149">
        <f ca="1">_xll.qlInstrumentResults(BQ74,"stdDev",BQ95)/SQRT(_xll.qlDayCounterYearFraction("Act/365 (Fixed)",Curve!$D$6,BQ68))</f>
        <v>8.2785484153102343E-3</v>
      </c>
      <c r="BR97" s="149" t="e">
        <f ca="1">_xll.qlInstrumentResults(BR74,"stdDev",BR95)/SQRT(_xll.qlDayCounterYearFraction("Act/365 (Fixed)",Curve!$D$6,BR68))</f>
        <v>#VALUE!</v>
      </c>
      <c r="BS97" s="149">
        <f ca="1">_xll.qlInstrumentResults(BS74,"stdDev",BS95)/SQRT(_xll.qlDayCounterYearFraction("Act/365 (Fixed)",Curve!$D$6,BS68))</f>
        <v>8.3363593552130081E-3</v>
      </c>
      <c r="BT97" s="149">
        <f ca="1">_xll.qlInstrumentResults(BT74,"stdDev",BT95)/SQRT(_xll.qlDayCounterYearFraction("Act/365 (Fixed)",Curve!$D$6,BT68))</f>
        <v>8.3650676527909206E-3</v>
      </c>
      <c r="BU97" s="149">
        <f ca="1">_xll.qlInstrumentResults(BU74,"stdDev",BU95)/SQRT(_xll.qlDayCounterYearFraction("Act/365 (Fixed)",Curve!$D$6,BU68))</f>
        <v>6.3513416335593507E-3</v>
      </c>
      <c r="BV97" s="149">
        <f ca="1">_xll.qlInstrumentResults(BV74,"stdDev",BV95)/SQRT(_xll.qlDayCounterYearFraction("Act/365 (Fixed)",Curve!$D$6,BV68))</f>
        <v>7.0156650592418908E-3</v>
      </c>
      <c r="BW97" s="149">
        <f ca="1">_xll.qlInstrumentResults(BW74,"stdDev",BW95)/SQRT(_xll.qlDayCounterYearFraction("Act/365 (Fixed)",Curve!$D$6,BW68))</f>
        <v>7.440433426867156E-3</v>
      </c>
      <c r="BX97" s="149">
        <f ca="1">_xll.qlInstrumentResults(BX74,"stdDev",BX95)/SQRT(_xll.qlDayCounterYearFraction("Act/365 (Fixed)",Curve!$D$6,BX68))</f>
        <v>7.8083031899410498E-3</v>
      </c>
      <c r="BY97" s="149">
        <f ca="1">_xll.qlInstrumentResults(BY74,"stdDev",BY95)/SQRT(_xll.qlDayCounterYearFraction("Act/365 (Fixed)",Curve!$D$6,BY68))</f>
        <v>8.0176406551796184E-3</v>
      </c>
      <c r="BZ97" s="149" t="e">
        <f ca="1">_xll.qlInstrumentResults(BZ74,"stdDev",BZ95)/SQRT(_xll.qlDayCounterYearFraction("Act/365 (Fixed)",Curve!$D$6,BZ68))</f>
        <v>#VALUE!</v>
      </c>
      <c r="CA97" s="149">
        <f ca="1">_xll.qlInstrumentResults(CA74,"stdDev",CA95)/SQRT(_xll.qlDayCounterYearFraction("Act/365 (Fixed)",Curve!$D$6,CA68))</f>
        <v>8.2876083780749482E-3</v>
      </c>
      <c r="CB97" s="149">
        <f ca="1">_xll.qlInstrumentResults(CB74,"stdDev",CB95)/SQRT(_xll.qlDayCounterYearFraction("Act/365 (Fixed)",Curve!$D$6,CB68))</f>
        <v>8.2970474282847637E-3</v>
      </c>
      <c r="CC97" s="149">
        <f ca="1">_xll.qlInstrumentResults(CC74,"stdDev",CC95)/SQRT(_xll.qlDayCounterYearFraction("Act/365 (Fixed)",Curve!$D$6,CC68))</f>
        <v>8.3065640597291789E-3</v>
      </c>
      <c r="CD97" s="149">
        <f ca="1">_xll.qlInstrumentResults(CD74,"stdDev",CD95)/SQRT(_xll.qlDayCounterYearFraction("Act/365 (Fixed)",Curve!$D$6,CD68))</f>
        <v>8.3159772495274582E-3</v>
      </c>
      <c r="CE97" s="149">
        <f ca="1">_xll.qlInstrumentResults(CE74,"stdDev",CE95)/SQRT(_xll.qlDayCounterYearFraction("Act/365 (Fixed)",Curve!$D$6,CE68))</f>
        <v>6.7193901748420683E-3</v>
      </c>
      <c r="CF97" s="149">
        <f ca="1">_xll.qlInstrumentResults(CF74,"stdDev",CF95)/SQRT(_xll.qlDayCounterYearFraction("Act/365 (Fixed)",Curve!$D$6,CF68))</f>
        <v>7.2430184197317445E-3</v>
      </c>
      <c r="CG97" s="149">
        <f ca="1">_xll.qlInstrumentResults(CG74,"stdDev",CG95)/SQRT(_xll.qlDayCounterYearFraction("Act/365 (Fixed)",Curve!$D$6,CG68))</f>
        <v>7.6130171274824705E-3</v>
      </c>
      <c r="CH97" s="149" t="e">
        <f ca="1">_xll.qlInstrumentResults(CH74,"stdDev",CH95)/SQRT(_xll.qlDayCounterYearFraction("Act/365 (Fixed)",Curve!$D$6,CH68))</f>
        <v>#VALUE!</v>
      </c>
      <c r="CI97" s="149" t="e">
        <f ca="1">_xll.qlInstrumentResults(CI74,"stdDev",CI95)/SQRT(_xll.qlDayCounterYearFraction("Act/365 (Fixed)",Curve!$D$6,CI68))</f>
        <v>#VALUE!</v>
      </c>
      <c r="CJ97" s="149">
        <f ca="1">_xll.qlInstrumentResults(CJ74,"stdDev",CJ95)/SQRT(_xll.qlDayCounterYearFraction("Act/365 (Fixed)",Curve!$D$6,CJ68))</f>
        <v>8.1728128664458367E-3</v>
      </c>
      <c r="CK97" s="149">
        <f ca="1">_xll.qlInstrumentResults(CK74,"stdDev",CK95)/SQRT(_xll.qlDayCounterYearFraction("Act/365 (Fixed)",Curve!$D$6,CK68))</f>
        <v>8.2880612691413579E-3</v>
      </c>
      <c r="CL97" s="149" t="e">
        <f ca="1">_xll.qlInstrumentResults(CL74,"stdDev",CL95)/SQRT(_xll.qlDayCounterYearFraction("Act/365 (Fixed)",Curve!$D$6,CL68))</f>
        <v>#VALUE!</v>
      </c>
      <c r="CM97" s="149">
        <f ca="1">_xll.qlInstrumentResults(CM74,"stdDev",CM95)/SQRT(_xll.qlDayCounterYearFraction("Act/365 (Fixed)",Curve!$D$6,CM68))</f>
        <v>8.2770771845391347E-3</v>
      </c>
      <c r="CN97" s="149">
        <f ca="1">_xll.qlInstrumentResults(CN74,"stdDev",CN95)/SQRT(_xll.qlDayCounterYearFraction("Act/365 (Fixed)",Curve!$D$6,CN68))</f>
        <v>2.4626268655713987E-3</v>
      </c>
      <c r="CO97" s="149">
        <f ca="1">_xll.qlInstrumentResults(CO74,"stdDev",CO95)/SQRT(_xll.qlDayCounterYearFraction("Act/365 (Fixed)",Curve!$D$6,CO68))</f>
        <v>7.0773817533792546E-3</v>
      </c>
      <c r="CP97" s="149">
        <f ca="1">_xll.qlInstrumentResults(CP74,"stdDev",CP95)/SQRT(_xll.qlDayCounterYearFraction("Act/365 (Fixed)",Curve!$D$6,CP68))</f>
        <v>7.4811659253270048E-3</v>
      </c>
      <c r="CQ97" s="149" t="e">
        <f ca="1">_xll.qlInstrumentResults(CQ74,"stdDev",CQ95)/SQRT(_xll.qlDayCounterYearFraction("Act/365 (Fixed)",Curve!$D$6,CQ68))</f>
        <v>#VALUE!</v>
      </c>
      <c r="CR97" s="149">
        <f ca="1">_xll.qlInstrumentResults(CR74,"stdDev",CR95)/SQRT(_xll.qlDayCounterYearFraction("Act/365 (Fixed)",Curve!$D$6,CR68))</f>
        <v>7.9937395873876591E-3</v>
      </c>
      <c r="CS97" s="149">
        <f ca="1">_xll.qlInstrumentResults(CS74,"stdDev",CS95)/SQRT(_xll.qlDayCounterYearFraction("Act/365 (Fixed)",Curve!$D$6,CS68))</f>
        <v>8.1237280652517105E-3</v>
      </c>
      <c r="CT97" s="149">
        <f ca="1">_xll.qlInstrumentResults(CT74,"stdDev",CT95)/SQRT(_xll.qlDayCounterYearFraction("Act/365 (Fixed)",Curve!$D$6,CT68))</f>
        <v>8.2037368189944206E-3</v>
      </c>
      <c r="CU97" s="149">
        <f ca="1">_xll.qlInstrumentResults(CU74,"stdDev",CU95)/SQRT(_xll.qlDayCounterYearFraction("Act/365 (Fixed)",Curve!$D$6,CU68))</f>
        <v>8.2837455727371289E-3</v>
      </c>
      <c r="CV97" s="149">
        <f ca="1">_xll.qlInstrumentResults(CV74,"stdDev",CV95)/SQRT(_xll.qlDayCounterYearFraction("Act/365 (Fixed)",Curve!$D$6,CV68))</f>
        <v>8.2664176719206024E-3</v>
      </c>
      <c r="CW97" s="149">
        <f ca="1">_xll.qlInstrumentResults(CW74,"stdDev",CW95)/SQRT(_xll.qlDayCounterYearFraction("Act/365 (Fixed)",Curve!$D$6,CW68))</f>
        <v>8.2489473500014683E-3</v>
      </c>
      <c r="CX97" s="149">
        <f ca="1">_xll.qlInstrumentResults(CX74,"stdDev",CX95)/SQRT(_xll.qlDayCounterYearFraction("Act/365 (Fixed)",Curve!$D$6,CX68))</f>
        <v>8.2316669228858063E-3</v>
      </c>
    </row>
    <row r="98" spans="2:102">
      <c r="B98" s="104" t="s">
        <v>42</v>
      </c>
      <c r="C98" s="146">
        <f ca="1">_xll.qlInstrumentResults(C74,"atmForward",C95)</f>
        <v>1.1406965433328328E-3</v>
      </c>
      <c r="D98" s="146">
        <f ca="1">_xll.qlInstrumentResults(D74,"atmForward",D95)</f>
        <v>2.8904677111829297E-3</v>
      </c>
      <c r="E98" s="146">
        <f ca="1">_xll.qlInstrumentResults(E74,"atmForward",E95)</f>
        <v>5.5494648017378589E-3</v>
      </c>
      <c r="F98" s="146">
        <f ca="1">_xll.qlInstrumentResults(F74,"atmForward",F95)</f>
        <v>8.3406053736409577E-3</v>
      </c>
      <c r="G98" s="146" t="e">
        <f ca="1">_xll.qlInstrumentResults(G74,"atmForward",G95)</f>
        <v>#VALUE!</v>
      </c>
      <c r="H98" s="146">
        <f ca="1">_xll.qlInstrumentResults(H74,"atmForward",H95)</f>
        <v>1.4692922220106959E-2</v>
      </c>
      <c r="I98" s="146" t="e">
        <f ca="1">_xll.qlInstrumentResults(I74,"atmForward",I95)</f>
        <v>#VALUE!</v>
      </c>
      <c r="J98" s="146" t="e">
        <f ca="1">_xll.qlInstrumentResults(J74,"atmForward",J95)</f>
        <v>#VALUE!</v>
      </c>
      <c r="K98" s="146">
        <f ca="1">_xll.qlInstrumentResults(K74,"atmForward",K95)</f>
        <v>1.9949466622353251E-2</v>
      </c>
      <c r="L98" s="146">
        <f ca="1">_xll.qlInstrumentResults(L74,"atmForward",L95)</f>
        <v>2.1083729600137689E-2</v>
      </c>
      <c r="M98" s="146">
        <f ca="1">_xll.qlInstrumentResults(M74,"atmForward",M95)</f>
        <v>2.0102288119169935E-3</v>
      </c>
      <c r="N98" s="146" t="e">
        <f ca="1">_xll.qlInstrumentResults(N74,"atmForward",N95)</f>
        <v>#VALUE!</v>
      </c>
      <c r="O98" s="146">
        <f ca="1">_xll.qlInstrumentResults(O74,"atmForward",O95)</f>
        <v>6.9412078018973068E-3</v>
      </c>
      <c r="P98" s="146" t="e">
        <f ca="1">_xll.qlInstrumentResults(P74,"atmForward",P95)</f>
        <v>#VALUE!</v>
      </c>
      <c r="Q98" s="146" t="e">
        <f ca="1">_xll.qlInstrumentResults(Q74,"atmForward",Q95)</f>
        <v>#NUM!</v>
      </c>
      <c r="R98" s="146">
        <f ca="1">_xll.qlInstrumentResults(R74,"atmForward",R95)</f>
        <v>1.5926687154633832E-2</v>
      </c>
      <c r="S98" s="146">
        <f ca="1">_xll.qlInstrumentResults(S74,"atmForward",S95)</f>
        <v>1.8067925997849302E-2</v>
      </c>
      <c r="T98" s="146">
        <f ca="1">_xll.qlInstrumentResults(T74,"atmForward",T95)</f>
        <v>1.9464800790494511E-2</v>
      </c>
      <c r="U98" s="146">
        <f ca="1">_xll.qlInstrumentResults(U74,"atmForward",U95)</f>
        <v>2.0512466496668651E-2</v>
      </c>
      <c r="V98" s="146" t="e">
        <f ca="1">_xll.qlInstrumentResults(V74,"atmForward",V95)</f>
        <v>#VALUE!</v>
      </c>
      <c r="W98" s="146" t="e">
        <f ca="1">_xll.qlInstrumentResults(W74,"atmForward",W95)</f>
        <v>#VALUE!</v>
      </c>
      <c r="X98" s="146">
        <f ca="1">_xll.qlInstrumentResults(X74,"atmForward",X95)</f>
        <v>5.5860956580452321E-3</v>
      </c>
      <c r="Y98" s="146">
        <f ca="1">_xll.qlInstrumentResults(Y74,"atmForward",Y95)</f>
        <v>8.5190319899676598E-3</v>
      </c>
      <c r="Z98" s="146" t="e">
        <f ca="1">_xll.qlInstrumentResults(Z74,"atmForward",Z95)</f>
        <v>#VALUE!</v>
      </c>
      <c r="AA98" s="146">
        <f ca="1">_xll.qlInstrumentResults(AA74,"atmForward",AA95)</f>
        <v>1.4491771023802284E-2</v>
      </c>
      <c r="AB98" s="146" t="e">
        <f ca="1">_xll.qlInstrumentResults(AB74,"atmForward",AB95)</f>
        <v>#VALUE!</v>
      </c>
      <c r="AC98" s="146">
        <f ca="1">_xll.qlInstrumentResults(AC74,"atmForward",AC95)</f>
        <v>1.8682204825190854E-2</v>
      </c>
      <c r="AD98" s="146" t="e">
        <f ca="1">_xll.qlInstrumentResults(AD74,"atmForward",AD95)</f>
        <v>#VALUE!</v>
      </c>
      <c r="AE98" s="146" t="e">
        <f ca="1">_xll.qlInstrumentResults(AE74,"atmForward",AE95)</f>
        <v>#VALUE!</v>
      </c>
      <c r="AF98" s="146">
        <f ca="1">_xll.qlInstrumentResults(AF74,"atmForward",AF95)</f>
        <v>2.1492678603819152E-2</v>
      </c>
      <c r="AG98" s="146">
        <f ca="1">_xll.qlInstrumentResults(AG74,"atmForward",AG95)</f>
        <v>4.4595600411398628E-3</v>
      </c>
      <c r="AH98" s="146">
        <f ca="1">_xll.qlInstrumentResults(AH74,"atmForward",AH95)</f>
        <v>7.1039923871778279E-3</v>
      </c>
      <c r="AI98" s="146" t="e">
        <f ca="1">_xll.qlInstrumentResults(AI74,"atmForward",AI95)</f>
        <v>#VALUE!</v>
      </c>
      <c r="AJ98" s="146">
        <f ca="1">_xll.qlInstrumentResults(AJ74,"atmForward",AJ95)</f>
        <v>1.2935109480650334E-2</v>
      </c>
      <c r="AK98" s="146">
        <f ca="1">_xll.qlInstrumentResults(AK74,"atmForward",AK95)</f>
        <v>1.5584014608888475E-2</v>
      </c>
      <c r="AL98" s="146">
        <f ca="1">_xll.qlInstrumentResults(AL74,"atmForward",AL95)</f>
        <v>1.7660930260670473E-2</v>
      </c>
      <c r="AM98" s="146" t="e">
        <f ca="1">_xll.qlInstrumentResults(AM74,"atmForward",AM95)</f>
        <v>#VALUE!</v>
      </c>
      <c r="AN98" s="146" t="e">
        <f ca="1">_xll.qlInstrumentResults(AN74,"atmForward",AN95)</f>
        <v>#VALUE!</v>
      </c>
      <c r="AO98" s="146" t="e">
        <f ca="1">_xll.qlInstrumentResults(AO74,"atmForward",AO95)</f>
        <v>#VALUE!</v>
      </c>
      <c r="AP98" s="146">
        <f ca="1">_xll.qlInstrumentResults(AP74,"atmForward",AP95)</f>
        <v>2.1556993831003343E-2</v>
      </c>
      <c r="AQ98" s="146">
        <f ca="1">_xll.qlInstrumentResults(AQ74,"atmForward",AQ95)</f>
        <v>5.8846966786585001E-3</v>
      </c>
      <c r="AR98" s="146">
        <f ca="1">_xll.qlInstrumentResults(AR74,"atmForward",AR95)</f>
        <v>8.5949770426575409E-3</v>
      </c>
      <c r="AS98" s="146" t="e">
        <f ca="1">_xll.qlInstrumentResults(AS74,"atmForward",AS95)</f>
        <v>#VALUE!</v>
      </c>
      <c r="AT98" s="146" t="e">
        <f ca="1">_xll.qlInstrumentResults(AT74,"atmForward",AT95)</f>
        <v>#VALUE!</v>
      </c>
      <c r="AU98" s="146">
        <f ca="1">_xll.qlInstrumentResults(AU74,"atmForward",AU95)</f>
        <v>1.6427614473640086E-2</v>
      </c>
      <c r="AV98" s="146" t="e">
        <f ca="1">_xll.qlInstrumentResults(AV74,"atmForward",AV95)</f>
        <v>#VALUE!</v>
      </c>
      <c r="AW98" s="146">
        <f ca="1">_xll.qlInstrumentResults(AW74,"atmForward",AW95)</f>
        <v>1.9723540910163543E-2</v>
      </c>
      <c r="AX98" s="146">
        <f ca="1">_xll.qlInstrumentResults(AX74,"atmForward",AX95)</f>
        <v>2.0658830146429333E-2</v>
      </c>
      <c r="AY98" s="146">
        <f ca="1">_xll.qlInstrumentResults(AY74,"atmForward",AY95)</f>
        <v>2.1223309232009463E-2</v>
      </c>
      <c r="AZ98" s="146">
        <f ca="1">_xll.qlInstrumentResults(AZ74,"atmForward",AZ95)</f>
        <v>2.1537326686422456E-2</v>
      </c>
      <c r="BA98" s="146">
        <f ca="1">_xll.qlInstrumentResults(BA74,"atmForward",BA95)</f>
        <v>7.32382482271443E-3</v>
      </c>
      <c r="BB98" s="146">
        <f ca="1">_xll.qlInstrumentResults(BB74,"atmForward",BB95)</f>
        <v>9.9841978824405028E-3</v>
      </c>
      <c r="BC98" s="146">
        <f ca="1">_xll.qlInstrumentResults(BC74,"atmForward",BC95)</f>
        <v>1.264920685063802E-2</v>
      </c>
      <c r="BD98" s="146">
        <f ca="1">_xll.qlInstrumentResults(BD74,"atmForward",BD95)</f>
        <v>1.5046520996093453E-2</v>
      </c>
      <c r="BE98" s="146">
        <f ca="1">_xll.qlInstrumentResults(BE74,"atmForward",BE95)</f>
        <v>1.7170058453481015E-2</v>
      </c>
      <c r="BF98" s="146">
        <f ca="1">_xll.qlInstrumentResults(BF74,"atmForward",BF95)</f>
        <v>1.8849433913612972E-2</v>
      </c>
      <c r="BG98" s="146">
        <f ca="1">_xll.qlInstrumentResults(BG74,"atmForward",BG95)</f>
        <v>2.0048080614512354E-2</v>
      </c>
      <c r="BH98" s="146" t="e">
        <f ca="1">_xll.qlInstrumentResults(BH74,"atmForward",BH95)</f>
        <v>#VALUE!</v>
      </c>
      <c r="BI98" s="146">
        <f ca="1">_xll.qlInstrumentResults(BI74,"atmForward",BI95)</f>
        <v>2.1259791280826657E-2</v>
      </c>
      <c r="BJ98" s="146" t="e">
        <f ca="1">_xll.qlInstrumentResults(BJ74,"atmForward",BJ95)</f>
        <v>#VALUE!</v>
      </c>
      <c r="BK98" s="146" t="e">
        <f ca="1">_xll.qlInstrumentResults(BK74,"atmForward",BK95)</f>
        <v>#VALUE!</v>
      </c>
      <c r="BL98" s="146" t="e">
        <f ca="1">_xll.qlInstrumentResults(BL74,"atmForward",BL95)</f>
        <v>#VALUE!</v>
      </c>
      <c r="BM98" s="146">
        <f ca="1">_xll.qlInstrumentResults(BM74,"atmForward",BM95)</f>
        <v>1.3646430687652878E-2</v>
      </c>
      <c r="BN98" s="146">
        <f ca="1">_xll.qlInstrumentResults(BN74,"atmForward",BN95)</f>
        <v>1.5866926466466296E-2</v>
      </c>
      <c r="BO98" s="146" t="e">
        <f ca="1">_xll.qlInstrumentResults(BO74,"atmForward",BO95)</f>
        <v>#VALUE!</v>
      </c>
      <c r="BP98" s="146">
        <f ca="1">_xll.qlInstrumentResults(BP74,"atmForward",BP95)</f>
        <v>1.9243574049784832E-2</v>
      </c>
      <c r="BQ98" s="146">
        <f ca="1">_xll.qlInstrumentResults(BQ74,"atmForward",BQ95)</f>
        <v>2.0277377295254542E-2</v>
      </c>
      <c r="BR98" s="146" t="e">
        <f ca="1">_xll.qlInstrumentResults(BR74,"atmForward",BR95)</f>
        <v>#VALUE!</v>
      </c>
      <c r="BS98" s="146" t="e">
        <f ca="1">_xll.qlInstrumentResults(BS74,"atmForward",BS95)</f>
        <v>#VALUE!</v>
      </c>
      <c r="BT98" s="146">
        <f ca="1">_xll.qlInstrumentResults(BT74,"atmForward",BT95)</f>
        <v>2.1399578504803729E-2</v>
      </c>
      <c r="BU98" s="146">
        <f ca="1">_xll.qlInstrumentResults(BU74,"atmForward",BU95)</f>
        <v>9.9243062368506493E-3</v>
      </c>
      <c r="BV98" s="146">
        <f ca="1">_xll.qlInstrumentResults(BV74,"atmForward",BV95)</f>
        <v>1.2261271278339925E-2</v>
      </c>
      <c r="BW98" s="146">
        <f ca="1">_xll.qlInstrumentResults(BW74,"atmForward",BW95)</f>
        <v>1.4525636219477431E-2</v>
      </c>
      <c r="BX98" s="146">
        <f ca="1">_xll.qlInstrumentResults(BX74,"atmForward",BX95)</f>
        <v>1.6549139546823667E-2</v>
      </c>
      <c r="BY98" s="146">
        <f ca="1">_xll.qlInstrumentResults(BY74,"atmForward",BY95)</f>
        <v>1.8243917255969553E-2</v>
      </c>
      <c r="BZ98" s="146" t="e">
        <f ca="1">_xll.qlInstrumentResults(BZ74,"atmForward",BZ95)</f>
        <v>#VALUE!</v>
      </c>
      <c r="CA98" s="146">
        <f ca="1">_xll.qlInstrumentResults(CA74,"atmForward",CA95)</f>
        <v>2.0414590198704809E-2</v>
      </c>
      <c r="CB98" s="146">
        <f ca="1">_xll.qlInstrumentResults(CB74,"atmForward",CB95)</f>
        <v>2.0946617555157504E-2</v>
      </c>
      <c r="CC98" s="146">
        <f ca="1">_xll.qlInstrumentResults(CC74,"atmForward",CC95)</f>
        <v>2.1204762687365774E-2</v>
      </c>
      <c r="CD98" s="146">
        <f ca="1">_xll.qlInstrumentResults(CD74,"atmForward",CD95)</f>
        <v>2.1273158968304742E-2</v>
      </c>
      <c r="CE98" s="146">
        <f ca="1">_xll.qlInstrumentResults(CE74,"atmForward",CE95)</f>
        <v>1.0980694591776434E-2</v>
      </c>
      <c r="CF98" s="146">
        <f ca="1">_xll.qlInstrumentResults(CF74,"atmForward",CF95)</f>
        <v>1.318390313770982E-2</v>
      </c>
      <c r="CG98" s="146">
        <f ca="1">_xll.qlInstrumentResults(CG74,"atmForward",CG95)</f>
        <v>1.5268366064702405E-2</v>
      </c>
      <c r="CH98" s="146" t="e">
        <f ca="1">_xll.qlInstrumentResults(CH74,"atmForward",CH95)</f>
        <v>#VALUE!</v>
      </c>
      <c r="CI98" s="146" t="e">
        <f ca="1">_xll.qlInstrumentResults(CI74,"atmForward",CI95)</f>
        <v>#VALUE!</v>
      </c>
      <c r="CJ98" s="146">
        <f ca="1">_xll.qlInstrumentResults(CJ74,"atmForward",CJ95)</f>
        <v>1.9732810506200672E-2</v>
      </c>
      <c r="CK98" s="146">
        <f ca="1">_xll.qlInstrumentResults(CK74,"atmForward",CK95)</f>
        <v>2.0492864222026824E-2</v>
      </c>
      <c r="CL98" s="146" t="e">
        <f ca="1">_xll.qlInstrumentResults(CL74,"atmForward",CL95)</f>
        <v>#VALUE!</v>
      </c>
      <c r="CM98" s="146">
        <f ca="1">_xll.qlInstrumentResults(CM74,"atmForward",CM95)</f>
        <v>2.1114583750462664E-2</v>
      </c>
      <c r="CN98" s="146">
        <f ca="1">_xll.qlInstrumentResults(CN74,"atmForward",CN95)</f>
        <v>2.1110681354186808E-2</v>
      </c>
      <c r="CO98" s="146">
        <f ca="1">_xll.qlInstrumentResults(CO74,"atmForward",CO95)</f>
        <v>1.1927503676459165E-2</v>
      </c>
      <c r="CP98" s="146">
        <f ca="1">_xll.qlInstrumentResults(CP74,"atmForward",CP95)</f>
        <v>1.3974345308340913E-2</v>
      </c>
      <c r="CQ98" s="146">
        <f ca="1">_xll.qlInstrumentResults(CQ74,"atmForward",CQ95)</f>
        <v>1.5864944565124956E-2</v>
      </c>
      <c r="CR98" s="146">
        <f ca="1">_xll.qlInstrumentResults(CR74,"atmForward",CR95)</f>
        <v>1.7514071199904769E-2</v>
      </c>
      <c r="CS98" s="146">
        <f ca="1">_xll.qlInstrumentResults(CS74,"atmForward",CS95)</f>
        <v>1.8864789277758771E-2</v>
      </c>
      <c r="CT98" s="146">
        <f ca="1">_xll.qlInstrumentResults(CT74,"atmForward",CT95)</f>
        <v>1.9864927376915666E-2</v>
      </c>
      <c r="CU98" s="146">
        <f ca="1">_xll.qlInstrumentResults(CU74,"atmForward",CU95)</f>
        <v>2.0528291652289185E-2</v>
      </c>
      <c r="CV98" s="146">
        <f ca="1">_xll.qlInstrumentResults(CV74,"atmForward",CV95)</f>
        <v>2.0882951800943114E-2</v>
      </c>
      <c r="CW98" s="146">
        <f ca="1">_xll.qlInstrumentResults(CW74,"atmForward",CW95)</f>
        <v>2.0984247193093102E-2</v>
      </c>
      <c r="CX98" s="146">
        <f ca="1">_xll.qlInstrumentResults(CX74,"atmForward",CX95)</f>
        <v>2.090946327174879E-2</v>
      </c>
    </row>
    <row r="99" spans="2:102" ht="13.5" thickBot="1">
      <c r="B99" s="107" t="s">
        <v>49</v>
      </c>
      <c r="C99" s="147">
        <f ca="1">_xll.qlInstrumentResults(C74,"annuity",C95)</f>
        <v>10083.429689036637</v>
      </c>
      <c r="D99" s="147">
        <f ca="1">_xll.qlInstrumentResults(D74,"annuity",D95)</f>
        <v>10025.69193433836</v>
      </c>
      <c r="E99" s="147">
        <f ca="1">_xll.qlInstrumentResults(E74,"annuity",E95)</f>
        <v>9999.043896806299</v>
      </c>
      <c r="F99" s="147">
        <f ca="1">_xll.qlInstrumentResults(F74,"annuity",F95)</f>
        <v>9944.3500779611641</v>
      </c>
      <c r="G99" s="147" t="e">
        <f ca="1">_xll.qlInstrumentResults(G74,"annuity",G95)</f>
        <v>#VALUE!</v>
      </c>
      <c r="H99" s="147">
        <f ca="1">_xll.qlInstrumentResults(H74,"annuity",H95)</f>
        <v>9735.9309262021179</v>
      </c>
      <c r="I99" s="147" t="e">
        <f ca="1">_xll.qlInstrumentResults(I74,"annuity",I95)</f>
        <v>#VALUE!</v>
      </c>
      <c r="J99" s="147" t="e">
        <f ca="1">_xll.qlInstrumentResults(J74,"annuity",J95)</f>
        <v>#VALUE!</v>
      </c>
      <c r="K99" s="147">
        <f ca="1">_xll.qlInstrumentResults(K74,"annuity",K95)</f>
        <v>9265.0073910977535</v>
      </c>
      <c r="L99" s="147">
        <f ca="1">_xll.qlInstrumentResults(L74,"annuity",L95)</f>
        <v>9089.7957115129175</v>
      </c>
      <c r="M99" s="147">
        <f ca="1">_xll.qlInstrumentResults(M74,"annuity",M95)</f>
        <v>20081.309226645688</v>
      </c>
      <c r="N99" s="147">
        <f ca="1">_xll.qlInstrumentResults(N74,"annuity",N95)</f>
        <v>20024.735831144655</v>
      </c>
      <c r="O99" s="147">
        <f ca="1">_xll.qlInstrumentResults(O74,"annuity",O95)</f>
        <v>19943.393974767463</v>
      </c>
      <c r="P99" s="147" t="e">
        <f ca="1">_xll.qlInstrumentResults(P74,"annuity",P95)</f>
        <v>#VALUE!</v>
      </c>
      <c r="Q99" s="147" t="e">
        <f ca="1">_xll.qlInstrumentResults(Q74,"annuity",Q95)</f>
        <v>#NUM!</v>
      </c>
      <c r="R99" s="147">
        <f ca="1">_xll.qlInstrumentResults(R74,"annuity",R95)</f>
        <v>19383.869964816193</v>
      </c>
      <c r="S99" s="147">
        <f ca="1">_xll.qlInstrumentResults(S74,"annuity",S95)</f>
        <v>19028.419213208068</v>
      </c>
      <c r="T99" s="147">
        <f ca="1">_xll.qlInstrumentResults(T74,"annuity",T95)</f>
        <v>18698.42257435582</v>
      </c>
      <c r="U99" s="147">
        <f ca="1">_xll.qlInstrumentResults(U74,"annuity",U95)</f>
        <v>18354.314857066027</v>
      </c>
      <c r="V99" s="147" t="e">
        <f ca="1">_xll.qlInstrumentResults(V74,"annuity",V95)</f>
        <v>#VALUE!</v>
      </c>
      <c r="W99" s="147" t="e">
        <f ca="1">_xll.qlInstrumentResults(W74,"annuity",W95)</f>
        <v>#VALUE!</v>
      </c>
      <c r="X99" s="147">
        <f ca="1">_xll.qlInstrumentResults(X74,"annuity",X95)</f>
        <v>29969.085909105823</v>
      </c>
      <c r="Y99" s="147">
        <f ca="1">_xll.qlInstrumentResults(Y74,"annuity",Y95)</f>
        <v>29852.8473283924</v>
      </c>
      <c r="Z99" s="147" t="e">
        <f ca="1">_xll.qlInstrumentResults(Z74,"annuity",Z95)</f>
        <v>#VALUE!</v>
      </c>
      <c r="AA99" s="147">
        <f ca="1">_xll.qlInstrumentResults(AA74,"annuity",AA95)</f>
        <v>29238.684543636551</v>
      </c>
      <c r="AB99" s="147" t="e">
        <f ca="1">_xll.qlInstrumentResults(AB74,"annuity",AB95)</f>
        <v>#VALUE!</v>
      </c>
      <c r="AC99" s="147">
        <f ca="1">_xll.qlInstrumentResults(AC74,"annuity",AC95)</f>
        <v>28294.370853062013</v>
      </c>
      <c r="AD99" s="147" t="e">
        <f ca="1">_xll.qlInstrumentResults(AD74,"annuity",AD95)</f>
        <v>#VALUE!</v>
      </c>
      <c r="AE99" s="147" t="e">
        <f ca="1">_xll.qlInstrumentResults(AE74,"annuity",AE95)</f>
        <v>#VALUE!</v>
      </c>
      <c r="AF99" s="147">
        <f ca="1">_xll.qlInstrumentResults(AF74,"annuity",AF95)</f>
        <v>26756.620956876806</v>
      </c>
      <c r="AG99" s="147">
        <f ca="1">_xll.qlInstrumentResults(AG74,"annuity",AG95)</f>
        <v>39997.640540864639</v>
      </c>
      <c r="AH99" s="147">
        <f ca="1">_xll.qlInstrumentResults(AH74,"annuity",AH95)</f>
        <v>39878.477436576082</v>
      </c>
      <c r="AI99" s="147" t="e">
        <f ca="1">_xll.qlInstrumentResults(AI74,"annuity",AI95)</f>
        <v>#VALUE!</v>
      </c>
      <c r="AJ99" s="147">
        <f ca="1">_xll.qlInstrumentResults(AJ74,"annuity",AJ95)</f>
        <v>39127.788232275707</v>
      </c>
      <c r="AK99" s="147">
        <f ca="1">_xll.qlInstrumentResults(AK74,"annuity",AK95)</f>
        <v>38619.826255181441</v>
      </c>
      <c r="AL99" s="147">
        <f ca="1">_xll.qlInstrumentResults(AL74,"annuity",AL95)</f>
        <v>38030.301779264133</v>
      </c>
      <c r="AM99" s="147" t="e">
        <f ca="1">_xll.qlInstrumentResults(AM74,"annuity",AM95)</f>
        <v>#VALUE!</v>
      </c>
      <c r="AN99" s="147" t="e">
        <f ca="1">_xll.qlInstrumentResults(AN74,"annuity",AN95)</f>
        <v>#VALUE!</v>
      </c>
      <c r="AO99" s="147" t="e">
        <f ca="1">_xll.qlInstrumentResults(AO74,"annuity",AO95)</f>
        <v>#VALUE!</v>
      </c>
      <c r="AP99" s="147">
        <f ca="1">_xll.qlInstrumentResults(AP74,"annuity",AP95)</f>
        <v>35288.675092000514</v>
      </c>
      <c r="AQ99" s="147">
        <f ca="1">_xll.qlInstrumentResults(AQ74,"annuity",AQ95)</f>
        <v>49853.116656635895</v>
      </c>
      <c r="AR99" s="147">
        <f ca="1">_xll.qlInstrumentResults(AR74,"annuity",AR95)</f>
        <v>49586.196604955076</v>
      </c>
      <c r="AS99" s="147" t="e">
        <f ca="1">_xll.qlInstrumentResults(AS74,"annuity",AS95)</f>
        <v>#VALUE!</v>
      </c>
      <c r="AT99" s="147" t="e">
        <f ca="1">_xll.qlInstrumentResults(AT74,"annuity",AT95)</f>
        <v>#VALUE!</v>
      </c>
      <c r="AU99" s="147">
        <f ca="1">_xll.qlInstrumentResults(AU74,"annuity",AU95)</f>
        <v>47885.77789503539</v>
      </c>
      <c r="AV99" s="147" t="e">
        <f ca="1">_xll.qlInstrumentResults(AV74,"annuity",AV95)</f>
        <v>#VALUE!</v>
      </c>
      <c r="AW99" s="147">
        <f ca="1">_xll.qlInstrumentResults(AW74,"annuity",AW95)</f>
        <v>46295.832091065109</v>
      </c>
      <c r="AX99" s="147" t="e">
        <f ca="1">_xll.qlInstrumentResults(AX74,"annuity",AX95)</f>
        <v>#VALUE!</v>
      </c>
      <c r="AY99" s="147">
        <f ca="1">_xll.qlInstrumentResults(AY74,"annuity",AY95)</f>
        <v>44551.747129854397</v>
      </c>
      <c r="AZ99" s="147">
        <f ca="1">_xll.qlInstrumentResults(AZ74,"annuity",AZ95)</f>
        <v>43673.695693249319</v>
      </c>
      <c r="BA99" s="147">
        <f ca="1">_xll.qlInstrumentResults(BA74,"annuity",BA95)</f>
        <v>59589.047582838</v>
      </c>
      <c r="BB99" s="147">
        <f ca="1">_xll.qlInstrumentResults(BB74,"annuity",BB95)</f>
        <v>59152.524063420366</v>
      </c>
      <c r="BC99" s="147">
        <f ca="1">_xll.qlInstrumentResults(BC74,"annuity",BC95)</f>
        <v>58560.24731234007</v>
      </c>
      <c r="BD99" s="147">
        <f ca="1">_xll.qlInstrumentResults(BD74,"annuity",BD95)</f>
        <v>57826.210806631527</v>
      </c>
      <c r="BE99" s="147">
        <f ca="1">_xll.qlInstrumentResults(BE74,"annuity",BE95)</f>
        <v>56976.061826600031</v>
      </c>
      <c r="BF99" s="147">
        <f ca="1">_xll.qlInstrumentResults(BF74,"annuity",BF95)</f>
        <v>56031.763017267222</v>
      </c>
      <c r="BG99" s="147">
        <f ca="1">_xll.qlInstrumentResults(BG74,"annuity",BG95)</f>
        <v>55077.001885204176</v>
      </c>
      <c r="BH99" s="147" t="e">
        <f ca="1">_xll.qlInstrumentResults(BH74,"annuity",BH95)</f>
        <v>#VALUE!</v>
      </c>
      <c r="BI99" s="147">
        <f ca="1">_xll.qlInstrumentResults(BI74,"annuity",BI95)</f>
        <v>52936.305406456784</v>
      </c>
      <c r="BJ99" s="147" t="e">
        <f ca="1">_xll.qlInstrumentResults(BJ74,"annuity",BJ95)</f>
        <v>#VALUE!</v>
      </c>
      <c r="BK99" s="147" t="e">
        <f ca="1">_xll.qlInstrumentResults(BK74,"annuity",BK95)</f>
        <v>#VALUE!</v>
      </c>
      <c r="BL99" s="147" t="e">
        <f ca="1">_xll.qlInstrumentResults(BL74,"annuity",BL95)</f>
        <v>#VALUE!</v>
      </c>
      <c r="BM99" s="147">
        <f ca="1">_xll.qlInstrumentResults(BM74,"annuity",BM95)</f>
        <v>67825.254703437822</v>
      </c>
      <c r="BN99" s="147">
        <f ca="1">_xll.qlInstrumentResults(BN74,"annuity",BN95)</f>
        <v>66915.518272599802</v>
      </c>
      <c r="BO99" s="147">
        <f ca="1">_xll.qlInstrumentResults(BO74,"annuity",BO95)</f>
        <v>65887.239133038485</v>
      </c>
      <c r="BP99" s="147">
        <f ca="1">_xll.qlInstrumentResults(BP74,"annuity",BP95)</f>
        <v>64813.177364406882</v>
      </c>
      <c r="BQ99" s="147">
        <f ca="1">_xll.qlInstrumentResults(BQ74,"annuity",BQ95)</f>
        <v>63609.510481824989</v>
      </c>
      <c r="BR99" s="147" t="e">
        <f ca="1">_xll.qlInstrumentResults(BR74,"annuity",BR95)</f>
        <v>#VALUE!</v>
      </c>
      <c r="BS99" s="147" t="e">
        <f ca="1">_xll.qlInstrumentResults(BS74,"annuity",BS95)</f>
        <v>#VALUE!</v>
      </c>
      <c r="BT99" s="147">
        <f ca="1">_xll.qlInstrumentResults(BT74,"annuity",BT95)</f>
        <v>59951.761221573688</v>
      </c>
      <c r="BU99" s="147">
        <f ca="1">_xll.qlInstrumentResults(BU74,"annuity",BU95)</f>
        <v>78617.466796046065</v>
      </c>
      <c r="BV99" s="147">
        <f ca="1">_xll.qlInstrumentResults(BV74,"annuity",BV95)</f>
        <v>77850.946637776186</v>
      </c>
      <c r="BW99" s="147">
        <f ca="1">_xll.qlInstrumentResults(BW74,"annuity",BW95)</f>
        <v>76914.562169406097</v>
      </c>
      <c r="BX99" s="147">
        <f ca="1">_xll.qlInstrumentResults(BX74,"annuity",BX95)</f>
        <v>75874.900865128147</v>
      </c>
      <c r="BY99" s="147">
        <f ca="1">_xll.qlInstrumentResults(BY74,"annuity",BY95)</f>
        <v>74667.991943227244</v>
      </c>
      <c r="BZ99" s="147" t="e">
        <f ca="1">_xll.qlInstrumentResults(BZ74,"annuity",BZ95)</f>
        <v>#VALUE!</v>
      </c>
      <c r="CA99" s="147">
        <f ca="1">_xll.qlInstrumentResults(CA74,"annuity",CA95)</f>
        <v>71970.469007306747</v>
      </c>
      <c r="CB99" s="147">
        <f ca="1">_xll.qlInstrumentResults(CB74,"annuity",CB95)</f>
        <v>70588.405587390662</v>
      </c>
      <c r="CC99" s="147">
        <f ca="1">_xll.qlInstrumentResults(CC74,"annuity",CC95)</f>
        <v>69258.422322429629</v>
      </c>
      <c r="CD99" s="147">
        <f ca="1">_xll.qlInstrumentResults(CD74,"annuity",CD95)</f>
        <v>67901.718402903964</v>
      </c>
      <c r="CE99" s="147">
        <f ca="1">_xll.qlInstrumentResults(CE74,"annuity",CE95)</f>
        <v>87883.418435900006</v>
      </c>
      <c r="CF99" s="147">
        <f ca="1">_xll.qlInstrumentResults(CF74,"annuity",CF95)</f>
        <v>86940.254103744461</v>
      </c>
      <c r="CG99" s="147">
        <f ca="1">_xll.qlInstrumentResults(CG74,"annuity",CG95)</f>
        <v>85873.876272608439</v>
      </c>
      <c r="CH99" s="147" t="e">
        <f ca="1">_xll.qlInstrumentResults(CH74,"annuity",CH95)</f>
        <v>#VALUE!</v>
      </c>
      <c r="CI99" s="147" t="e">
        <f ca="1">_xll.qlInstrumentResults(CI74,"annuity",CI95)</f>
        <v>#VALUE!</v>
      </c>
      <c r="CJ99" s="147">
        <f ca="1">_xll.qlInstrumentResults(CJ74,"annuity",CJ95)</f>
        <v>81706.399933508845</v>
      </c>
      <c r="CK99" s="147">
        <f ca="1">_xll.qlInstrumentResults(CK74,"annuity",CK95)</f>
        <v>80190.046735896845</v>
      </c>
      <c r="CL99" s="147" t="e">
        <f ca="1">_xll.qlInstrumentResults(CL74,"annuity",CL95)</f>
        <v>#VALUE!</v>
      </c>
      <c r="CM99" s="147">
        <f ca="1">_xll.qlInstrumentResults(CM74,"annuity",CM95)</f>
        <v>77140.986612239634</v>
      </c>
      <c r="CN99" s="147">
        <f ca="1">_xll.qlInstrumentResults(CN74,"annuity",CN95)</f>
        <v>75639.180295807382</v>
      </c>
      <c r="CO99" s="147">
        <f ca="1">_xll.qlInstrumentResults(CO74,"annuity",CO95)</f>
        <v>96973.702367464633</v>
      </c>
      <c r="CP99" s="147">
        <f ca="1">_xll.qlInstrumentResults(CP74,"annuity",CP95)</f>
        <v>95899.506380792125</v>
      </c>
      <c r="CQ99" s="147" t="e">
        <f ca="1">_xll.qlInstrumentResults(CQ74,"annuity",CQ95)</f>
        <v>#VALUE!</v>
      </c>
      <c r="CR99" s="147">
        <f ca="1">_xll.qlInstrumentResults(CR74,"annuity",CR95)</f>
        <v>93112.950545388172</v>
      </c>
      <c r="CS99" s="147">
        <f ca="1">_xll.qlInstrumentResults(CS74,"annuity",CS95)</f>
        <v>91561.876049280123</v>
      </c>
      <c r="CT99" s="147">
        <f ca="1">_xll.qlInstrumentResults(CT74,"annuity",CT95)</f>
        <v>89925.977662098943</v>
      </c>
      <c r="CU99" s="147">
        <f ca="1">_xll.qlInstrumentResults(CU74,"annuity",CU95)</f>
        <v>88249.409729187872</v>
      </c>
      <c r="CV99" s="147">
        <f ca="1">_xll.qlInstrumentResults(CV74,"annuity",CV95)</f>
        <v>86574.394382509956</v>
      </c>
      <c r="CW99" s="147">
        <f ca="1">_xll.qlInstrumentResults(CW74,"annuity",CW95)</f>
        <v>84878.451555263193</v>
      </c>
      <c r="CX99" s="147">
        <f ca="1">_xll.qlInstrumentResults(CX74,"annuity",CX95)</f>
        <v>83239.124047829901</v>
      </c>
    </row>
    <row r="101" spans="2:102" ht="13.5" thickBot="1">
      <c r="B101" s="48" t="s">
        <v>253</v>
      </c>
    </row>
    <row r="102" spans="2:102">
      <c r="B102" s="102" t="s">
        <v>63</v>
      </c>
      <c r="C102" s="140" t="str">
        <f ca="1">_xll.qlFixedRateBondOptionFromSwaption(,C74,C88,FALSE)</f>
        <v>obj_00af9#0000</v>
      </c>
      <c r="D102" s="140" t="str">
        <f ca="1">_xll.qlFixedRateBondOptionFromSwaption(,D74,D88,FALSE)</f>
        <v>obj_00b35#0000</v>
      </c>
      <c r="E102" s="140" t="str">
        <f ca="1">_xll.qlFixedRateBondOptionFromSwaption(,E74,E88,FALSE)</f>
        <v>obj_00b08#0000</v>
      </c>
      <c r="F102" s="140" t="str">
        <f ca="1">_xll.qlFixedRateBondOptionFromSwaption(,F74,F88,FALSE)</f>
        <v>obj_00aea#0000</v>
      </c>
      <c r="G102" s="140" t="e">
        <f ca="1">_xll.qlFixedRateBondOptionFromSwaption(,G74,G88,FALSE)</f>
        <v>#VALUE!</v>
      </c>
      <c r="H102" s="140" t="str">
        <f ca="1">_xll.qlFixedRateBondOptionFromSwaption(,H74,H88,FALSE)</f>
        <v>obj_00adb#0000</v>
      </c>
      <c r="I102" s="140" t="e">
        <f ca="1">_xll.qlFixedRateBondOptionFromSwaption(,I74,I88,FALSE)</f>
        <v>#VALUE!</v>
      </c>
      <c r="J102" s="140" t="e">
        <f ca="1">_xll.qlFixedRateBondOptionFromSwaption(,J74,J88,FALSE)</f>
        <v>#VALUE!</v>
      </c>
      <c r="K102" s="140" t="str">
        <f ca="1">_xll.qlFixedRateBondOptionFromSwaption(,K74,K88,FALSE)</f>
        <v>obj_00b26#0000</v>
      </c>
      <c r="L102" s="140" t="str">
        <f ca="1">_xll.qlFixedRateBondOptionFromSwaption(,L74,L88,FALSE)</f>
        <v>obj_00b09#0000</v>
      </c>
      <c r="M102" s="140" t="str">
        <f ca="1">_xll.qlFixedRateBondOptionFromSwaption(,M74,M88,FALSE)</f>
        <v>obj_00b06#0000</v>
      </c>
      <c r="N102" s="140" t="e">
        <f ca="1">_xll.qlFixedRateBondOptionFromSwaption(,N74,N88,FALSE)</f>
        <v>#VALUE!</v>
      </c>
      <c r="O102" s="140" t="str">
        <f ca="1">_xll.qlFixedRateBondOptionFromSwaption(,O74,O88,FALSE)</f>
        <v>obj_00b2e#0000</v>
      </c>
      <c r="P102" s="140" t="e">
        <f ca="1">_xll.qlFixedRateBondOptionFromSwaption(,P74,P88,FALSE)</f>
        <v>#VALUE!</v>
      </c>
      <c r="Q102" s="140" t="str">
        <f ca="1">_xll.qlFixedRateBondOptionFromSwaption(,Q74,Q88,FALSE)</f>
        <v>obj_00adf#0000</v>
      </c>
      <c r="R102" s="140" t="str">
        <f ca="1">_xll.qlFixedRateBondOptionFromSwaption(,R74,R88,FALSE)</f>
        <v>obj_00b2b#0000</v>
      </c>
      <c r="S102" s="140" t="str">
        <f ca="1">_xll.qlFixedRateBondOptionFromSwaption(,S74,S88,FALSE)</f>
        <v>obj_00af7#0000</v>
      </c>
      <c r="T102" s="140" t="str">
        <f ca="1">_xll.qlFixedRateBondOptionFromSwaption(,T74,T88,FALSE)</f>
        <v>obj_00b1e#0000</v>
      </c>
      <c r="U102" s="140" t="str">
        <f ca="1">_xll.qlFixedRateBondOptionFromSwaption(,U74,U88,FALSE)</f>
        <v>obj_00ac7#0000</v>
      </c>
      <c r="V102" s="140" t="e">
        <f ca="1">_xll.qlFixedRateBondOptionFromSwaption(,V74,V88,FALSE)</f>
        <v>#VALUE!</v>
      </c>
      <c r="W102" s="140" t="e">
        <f ca="1">_xll.qlFixedRateBondOptionFromSwaption(,W74,W88,FALSE)</f>
        <v>#VALUE!</v>
      </c>
      <c r="X102" s="140" t="str">
        <f ca="1">_xll.qlFixedRateBondOptionFromSwaption(,X74,X88,FALSE)</f>
        <v>obj_00b30#0000</v>
      </c>
      <c r="Y102" s="140" t="str">
        <f ca="1">_xll.qlFixedRateBondOptionFromSwaption(,Y74,Y88,FALSE)</f>
        <v>obj_00b0a#0000</v>
      </c>
      <c r="Z102" s="140" t="e">
        <f ca="1">_xll.qlFixedRateBondOptionFromSwaption(,Z74,Z88,FALSE)</f>
        <v>#VALUE!</v>
      </c>
      <c r="AA102" s="140" t="str">
        <f ca="1">_xll.qlFixedRateBondOptionFromSwaption(,AA74,AA88,FALSE)</f>
        <v>obj_00b23#0000</v>
      </c>
      <c r="AB102" s="140" t="e">
        <f ca="1">_xll.qlFixedRateBondOptionFromSwaption(,AB74,AB88,FALSE)</f>
        <v>#VALUE!</v>
      </c>
      <c r="AC102" s="140" t="str">
        <f ca="1">_xll.qlFixedRateBondOptionFromSwaption(,AC74,AC88,FALSE)</f>
        <v>obj_00b1f#0000</v>
      </c>
      <c r="AD102" s="140" t="e">
        <f ca="1">_xll.qlFixedRateBondOptionFromSwaption(,AD74,AD88,FALSE)</f>
        <v>#VALUE!</v>
      </c>
      <c r="AE102" s="140" t="e">
        <f ca="1">_xll.qlFixedRateBondOptionFromSwaption(,AE74,AE88,FALSE)</f>
        <v>#VALUE!</v>
      </c>
      <c r="AF102" s="140" t="str">
        <f ca="1">_xll.qlFixedRateBondOptionFromSwaption(,AF74,AF88,FALSE)</f>
        <v>obj_00b2f#0000</v>
      </c>
      <c r="AG102" s="140" t="str">
        <f ca="1">_xll.qlFixedRateBondOptionFromSwaption(,AG74,AG88,FALSE)</f>
        <v>obj_00b3c#0000</v>
      </c>
      <c r="AH102" s="140" t="str">
        <f ca="1">_xll.qlFixedRateBondOptionFromSwaption(,AH74,AH88,FALSE)</f>
        <v>obj_00b1a#0000</v>
      </c>
      <c r="AI102" s="140" t="e">
        <f ca="1">_xll.qlFixedRateBondOptionFromSwaption(,AI74,AI88,FALSE)</f>
        <v>#VALUE!</v>
      </c>
      <c r="AJ102" s="140" t="str">
        <f ca="1">_xll.qlFixedRateBondOptionFromSwaption(,AJ74,AJ88,FALSE)</f>
        <v>obj_00b1b#0000</v>
      </c>
      <c r="AK102" s="140" t="str">
        <f ca="1">_xll.qlFixedRateBondOptionFromSwaption(,AK74,AK88,FALSE)</f>
        <v>obj_00b24#0000</v>
      </c>
      <c r="AL102" s="140" t="str">
        <f ca="1">_xll.qlFixedRateBondOptionFromSwaption(,AL74,AL88,FALSE)</f>
        <v>obj_00b0b#0000</v>
      </c>
      <c r="AM102" s="140" t="e">
        <f ca="1">_xll.qlFixedRateBondOptionFromSwaption(,AM74,AM88,FALSE)</f>
        <v>#VALUE!</v>
      </c>
      <c r="AN102" s="140" t="e">
        <f ca="1">_xll.qlFixedRateBondOptionFromSwaption(,AN74,AN88,FALSE)</f>
        <v>#VALUE!</v>
      </c>
      <c r="AO102" s="140" t="e">
        <f ca="1">_xll.qlFixedRateBondOptionFromSwaption(,AO74,AO88,FALSE)</f>
        <v>#VALUE!</v>
      </c>
      <c r="AP102" s="140" t="str">
        <f ca="1">_xll.qlFixedRateBondOptionFromSwaption(,AP74,AP88,FALSE)</f>
        <v>obj_00b07#0000</v>
      </c>
      <c r="AQ102" s="140" t="str">
        <f ca="1">_xll.qlFixedRateBondOptionFromSwaption(,AQ74,AQ88,FALSE)</f>
        <v>obj_00b1c#0000</v>
      </c>
      <c r="AR102" s="140" t="str">
        <f ca="1">_xll.qlFixedRateBondOptionFromSwaption(,AR74,AR88,FALSE)</f>
        <v>obj_00b21#0000</v>
      </c>
      <c r="AS102" s="140" t="e">
        <f ca="1">_xll.qlFixedRateBondOptionFromSwaption(,AS74,AS88,FALSE)</f>
        <v>#VALUE!</v>
      </c>
      <c r="AT102" s="140" t="e">
        <f ca="1">_xll.qlFixedRateBondOptionFromSwaption(,AT74,AT88,FALSE)</f>
        <v>#VALUE!</v>
      </c>
      <c r="AU102" s="140" t="str">
        <f ca="1">_xll.qlFixedRateBondOptionFromSwaption(,AU74,AU88,FALSE)</f>
        <v>obj_00b33#0000</v>
      </c>
      <c r="AV102" s="140" t="e">
        <f ca="1">_xll.qlFixedRateBondOptionFromSwaption(,AV74,AV88,FALSE)</f>
        <v>#VALUE!</v>
      </c>
      <c r="AW102" s="140" t="str">
        <f ca="1">_xll.qlFixedRateBondOptionFromSwaption(,AW74,AW88,FALSE)</f>
        <v>obj_00b3a#0000</v>
      </c>
      <c r="AX102" s="140" t="e">
        <f ca="1">_xll.qlFixedRateBondOptionFromSwaption(,AX74,AX88,FALSE)</f>
        <v>#VALUE!</v>
      </c>
      <c r="AY102" s="140" t="str">
        <f ca="1">_xll.qlFixedRateBondOptionFromSwaption(,AY74,AY88,FALSE)</f>
        <v>obj_00b25#0000</v>
      </c>
      <c r="AZ102" s="140" t="str">
        <f ca="1">_xll.qlFixedRateBondOptionFromSwaption(,AZ74,AZ88,FALSE)</f>
        <v>obj_00adc#0000</v>
      </c>
      <c r="BA102" s="140" t="str">
        <f ca="1">_xll.qlFixedRateBondOptionFromSwaption(,BA74,BA88,FALSE)</f>
        <v>obj_00b04#0000</v>
      </c>
      <c r="BB102" s="140" t="str">
        <f ca="1">_xll.qlFixedRateBondOptionFromSwaption(,BB74,BB88,FALSE)</f>
        <v>obj_00b16#0000</v>
      </c>
      <c r="BC102" s="140" t="str">
        <f ca="1">_xll.qlFixedRateBondOptionFromSwaption(,BC74,BC88,FALSE)</f>
        <v>obj_00ade#0000</v>
      </c>
      <c r="BD102" s="140" t="str">
        <f ca="1">_xll.qlFixedRateBondOptionFromSwaption(,BD74,BD88,FALSE)</f>
        <v>obj_00b18#0000</v>
      </c>
      <c r="BE102" s="140" t="str">
        <f ca="1">_xll.qlFixedRateBondOptionFromSwaption(,BE74,BE88,FALSE)</f>
        <v>obj_00b31#0000</v>
      </c>
      <c r="BF102" s="140" t="str">
        <f ca="1">_xll.qlFixedRateBondOptionFromSwaption(,BF74,BF88,FALSE)</f>
        <v>obj_00ae0#0000</v>
      </c>
      <c r="BG102" s="140" t="str">
        <f ca="1">_xll.qlFixedRateBondOptionFromSwaption(,BG74,BG88,FALSE)</f>
        <v>obj_00add#0000</v>
      </c>
      <c r="BH102" s="140" t="e">
        <f ca="1">_xll.qlFixedRateBondOptionFromSwaption(,BH74,BH88,FALSE)</f>
        <v>#VALUE!</v>
      </c>
      <c r="BI102" s="140" t="str">
        <f ca="1">_xll.qlFixedRateBondOptionFromSwaption(,BI74,BI88,FALSE)</f>
        <v>obj_00b34#0000</v>
      </c>
      <c r="BJ102" s="140" t="e">
        <f ca="1">_xll.qlFixedRateBondOptionFromSwaption(,BJ74,BJ88,FALSE)</f>
        <v>#VALUE!</v>
      </c>
      <c r="BK102" s="140" t="e">
        <f ca="1">_xll.qlFixedRateBondOptionFromSwaption(,BK74,BK88,FALSE)</f>
        <v>#VALUE!</v>
      </c>
      <c r="BL102" s="140" t="e">
        <f ca="1">_xll.qlFixedRateBondOptionFromSwaption(,BL74,BL88,FALSE)</f>
        <v>#VALUE!</v>
      </c>
      <c r="BM102" s="140" t="str">
        <f ca="1">_xll.qlFixedRateBondOptionFromSwaption(,BM74,BM88,FALSE)</f>
        <v>obj_00ac9#0000</v>
      </c>
      <c r="BN102" s="140" t="str">
        <f ca="1">_xll.qlFixedRateBondOptionFromSwaption(,BN74,BN88,FALSE)</f>
        <v>obj_00b1d#0000</v>
      </c>
      <c r="BO102" s="140" t="e">
        <f ca="1">_xll.qlFixedRateBondOptionFromSwaption(,BO74,BO88,FALSE)</f>
        <v>#VALUE!</v>
      </c>
      <c r="BP102" s="140" t="str">
        <f ca="1">_xll.qlFixedRateBondOptionFromSwaption(,BP74,BP88,FALSE)</f>
        <v>obj_00b27#0000</v>
      </c>
      <c r="BQ102" s="140" t="str">
        <f ca="1">_xll.qlFixedRateBondOptionFromSwaption(,BQ74,BQ88,FALSE)</f>
        <v>obj_00b22#0000</v>
      </c>
      <c r="BR102" s="140" t="e">
        <f ca="1">_xll.qlFixedRateBondOptionFromSwaption(,BR74,BR88,FALSE)</f>
        <v>#VALUE!</v>
      </c>
      <c r="BS102" s="140" t="e">
        <f ca="1">_xll.qlFixedRateBondOptionFromSwaption(,BS74,BS88,FALSE)</f>
        <v>#VALUE!</v>
      </c>
      <c r="BT102" s="140" t="str">
        <f ca="1">_xll.qlFixedRateBondOptionFromSwaption(,BT74,BT88,FALSE)</f>
        <v>obj_00b20#0000</v>
      </c>
      <c r="BU102" s="140" t="str">
        <f ca="1">_xll.qlFixedRateBondOptionFromSwaption(,BU74,BU88,FALSE)</f>
        <v>obj_00afa#0000</v>
      </c>
      <c r="BV102" s="140" t="str">
        <f ca="1">_xll.qlFixedRateBondOptionFromSwaption(,BV74,BV88,FALSE)</f>
        <v>obj_00b36#0000</v>
      </c>
      <c r="BW102" s="140" t="str">
        <f ca="1">_xll.qlFixedRateBondOptionFromSwaption(,BW74,BW88,FALSE)</f>
        <v>obj_00b19#0000</v>
      </c>
      <c r="BX102" s="140" t="str">
        <f ca="1">_xll.qlFixedRateBondOptionFromSwaption(,BX74,BX88,FALSE)</f>
        <v>obj_00b03#0000</v>
      </c>
      <c r="BY102" s="140" t="str">
        <f ca="1">_xll.qlFixedRateBondOptionFromSwaption(,BY74,BY88,FALSE)</f>
        <v>obj_00aeb#0000</v>
      </c>
      <c r="BZ102" s="140" t="e">
        <f ca="1">_xll.qlFixedRateBondOptionFromSwaption(,BZ74,BZ88,FALSE)</f>
        <v>#VALUE!</v>
      </c>
      <c r="CA102" s="140" t="str">
        <f ca="1">_xll.qlFixedRateBondOptionFromSwaption(,CA74,CA88,FALSE)</f>
        <v>obj_00b2c#0000</v>
      </c>
      <c r="CB102" s="140" t="str">
        <f ca="1">_xll.qlFixedRateBondOptionFromSwaption(,CB74,CB88,FALSE)</f>
        <v>obj_00b29#0000</v>
      </c>
      <c r="CC102" s="140" t="str">
        <f ca="1">_xll.qlFixedRateBondOptionFromSwaption(,CC74,CC88,FALSE)</f>
        <v>obj_00aec#0000</v>
      </c>
      <c r="CD102" s="140" t="str">
        <f ca="1">_xll.qlFixedRateBondOptionFromSwaption(,CD74,CD88,FALSE)</f>
        <v>obj_00b37#0000</v>
      </c>
      <c r="CE102" s="140" t="str">
        <f ca="1">_xll.qlFixedRateBondOptionFromSwaption(,CE74,CE88,FALSE)</f>
        <v>obj_00af6#0000</v>
      </c>
      <c r="CF102" s="140" t="str">
        <f ca="1">_xll.qlFixedRateBondOptionFromSwaption(,CF74,CF88,FALSE)</f>
        <v>obj_00b28#0000</v>
      </c>
      <c r="CG102" s="140" t="str">
        <f ca="1">_xll.qlFixedRateBondOptionFromSwaption(,CG74,CG88,FALSE)</f>
        <v>obj_00b32#0000</v>
      </c>
      <c r="CH102" s="140" t="e">
        <f ca="1">_xll.qlFixedRateBondOptionFromSwaption(,CH74,CH88,FALSE)</f>
        <v>#VALUE!</v>
      </c>
      <c r="CI102" s="140" t="e">
        <f ca="1">_xll.qlFixedRateBondOptionFromSwaption(,CI74,CI88,FALSE)</f>
        <v>#VALUE!</v>
      </c>
      <c r="CJ102" s="140" t="str">
        <f ca="1">_xll.qlFixedRateBondOptionFromSwaption(,CJ74,CJ88,FALSE)</f>
        <v>obj_00ac6#0000</v>
      </c>
      <c r="CK102" s="140" t="str">
        <f ca="1">_xll.qlFixedRateBondOptionFromSwaption(,CK74,CK88,FALSE)</f>
        <v>obj_00b05#0000</v>
      </c>
      <c r="CL102" s="140" t="e">
        <f ca="1">_xll.qlFixedRateBondOptionFromSwaption(,CL74,CL88,FALSE)</f>
        <v>#VALUE!</v>
      </c>
      <c r="CM102" s="140" t="str">
        <f ca="1">_xll.qlFixedRateBondOptionFromSwaption(,CM74,CM88,FALSE)</f>
        <v>obj_00b38#0000</v>
      </c>
      <c r="CN102" s="140" t="str">
        <f ca="1">_xll.qlFixedRateBondOptionFromSwaption(,CN74,CN88,FALSE)</f>
        <v>obj_00af8#0000</v>
      </c>
      <c r="CO102" s="140" t="str">
        <f ca="1">_xll.qlFixedRateBondOptionFromSwaption(,CO74,CO88,FALSE)</f>
        <v>obj_00b15#0000</v>
      </c>
      <c r="CP102" s="140" t="str">
        <f ca="1">_xll.qlFixedRateBondOptionFromSwaption(,CP74,CP88,FALSE)</f>
        <v>obj_00b39#0000</v>
      </c>
      <c r="CQ102" s="140" t="e">
        <f ca="1">_xll.qlFixedRateBondOptionFromSwaption(,CQ74,CQ88,FALSE)</f>
        <v>#VALUE!</v>
      </c>
      <c r="CR102" s="140" t="str">
        <f ca="1">_xll.qlFixedRateBondOptionFromSwaption(,CR74,CR88,FALSE)</f>
        <v>obj_00ac4#0000</v>
      </c>
      <c r="CS102" s="140" t="str">
        <f ca="1">_xll.qlFixedRateBondOptionFromSwaption(,CS74,CS88,FALSE)</f>
        <v>obj_00ac8#0000</v>
      </c>
      <c r="CT102" s="140" t="str">
        <f ca="1">_xll.qlFixedRateBondOptionFromSwaption(,CT74,CT88,FALSE)</f>
        <v>obj_00b2d#0000</v>
      </c>
      <c r="CU102" s="140" t="str">
        <f ca="1">_xll.qlFixedRateBondOptionFromSwaption(,CU74,CU88,FALSE)</f>
        <v>obj_00b3b#0000</v>
      </c>
      <c r="CV102" s="140" t="str">
        <f ca="1">_xll.qlFixedRateBondOptionFromSwaption(,CV74,CV88,FALSE)</f>
        <v>obj_00b17#0000</v>
      </c>
      <c r="CW102" s="140" t="str">
        <f ca="1">_xll.qlFixedRateBondOptionFromSwaption(,CW74,CW88,FALSE)</f>
        <v>obj_00b2a#0000</v>
      </c>
      <c r="CX102" s="140" t="str">
        <f ca="1">_xll.qlFixedRateBondOptionFromSwaption(,CX74,CX88,FALSE)</f>
        <v>obj_00ac5#0000</v>
      </c>
    </row>
    <row r="103" spans="2:102">
      <c r="B103" s="104" t="s">
        <v>56</v>
      </c>
      <c r="C103" s="141" t="str">
        <f ca="1">_xll.qlBondOptionEngine(,$DA$2,$DA$17,$DA$18,$DA$19)</f>
        <v>obj_00954#0000</v>
      </c>
      <c r="D103" s="141" t="str">
        <f ca="1">_xll.qlBondOptionEngine(,$DA$2,$DA$17,$DA$18,$DA$19)</f>
        <v>obj_0094c#0000</v>
      </c>
      <c r="E103" s="141" t="str">
        <f ca="1">_xll.qlBondOptionEngine(,$DA$2,$DA$17,$DA$18,$DA$19)</f>
        <v>obj_00962#0000</v>
      </c>
      <c r="F103" s="141" t="str">
        <f ca="1">_xll.qlBondOptionEngine(,$DA$2,$DA$17,$DA$18,$DA$19)</f>
        <v>obj_0092c#0000</v>
      </c>
      <c r="G103" s="141" t="str">
        <f ca="1">_xll.qlBondOptionEngine(,$DA$2,$DA$17,$DA$18,$DA$19)</f>
        <v>obj_00944#0000</v>
      </c>
      <c r="H103" s="141" t="str">
        <f ca="1">_xll.qlBondOptionEngine(,$DA$2,$DA$17,$DA$18,$DA$19)</f>
        <v>obj_0090f#0000</v>
      </c>
      <c r="I103" s="141" t="str">
        <f ca="1">_xll.qlBondOptionEngine(,$DA$2,$DA$17,$DA$18,$DA$19)</f>
        <v>obj_008d9#0000</v>
      </c>
      <c r="J103" s="141" t="str">
        <f ca="1">_xll.qlBondOptionEngine(,$DA$2,$DA$17,$DA$18,$DA$19)</f>
        <v>obj_0095a#0000</v>
      </c>
      <c r="K103" s="141" t="str">
        <f ca="1">_xll.qlBondOptionEngine(,$DA$2,$DA$17,$DA$18,$DA$19)</f>
        <v>obj_0096b#0000</v>
      </c>
      <c r="L103" s="141" t="str">
        <f ca="1">_xll.qlBondOptionEngine(,$DA$2,$DA$17,$DA$18,$DA$19)</f>
        <v>obj_008d5#0000</v>
      </c>
      <c r="M103" s="141" t="str">
        <f ca="1">_xll.qlBondOptionEngine(,$DA$2,$DA$17,$DA$18,$DA$19)</f>
        <v>obj_0097c#0000</v>
      </c>
      <c r="N103" s="141" t="str">
        <f ca="1">_xll.qlBondOptionEngine(,$DA$2,$DA$17,$DA$18,$DA$19)</f>
        <v>obj_00947#0000</v>
      </c>
      <c r="O103" s="141" t="str">
        <f ca="1">_xll.qlBondOptionEngine(,$DA$2,$DA$17,$DA$18,$DA$19)</f>
        <v>obj_008de#0000</v>
      </c>
      <c r="P103" s="141" t="str">
        <f ca="1">_xll.qlBondOptionEngine(,$DA$2,$DA$17,$DA$18,$DA$19)</f>
        <v>obj_00960#0000</v>
      </c>
      <c r="Q103" s="141" t="str">
        <f ca="1">_xll.qlBondOptionEngine(,$DA$2,$DA$17,$DA$18,$DA$19)</f>
        <v>obj_0095d#0000</v>
      </c>
      <c r="R103" s="141" t="str">
        <f ca="1">_xll.qlBondOptionEngine(,$DA$2,$DA$17,$DA$18,$DA$19)</f>
        <v>obj_00971#0000</v>
      </c>
      <c r="S103" s="141" t="str">
        <f ca="1">_xll.qlBondOptionEngine(,$DA$2,$DA$17,$DA$18,$DA$19)</f>
        <v>obj_00953#0000</v>
      </c>
      <c r="T103" s="141" t="str">
        <f ca="1">_xll.qlBondOptionEngine(,$DA$2,$DA$17,$DA$18,$DA$19)</f>
        <v>obj_0097b#0000</v>
      </c>
      <c r="U103" s="141" t="str">
        <f ca="1">_xll.qlBondOptionEngine(,$DA$2,$DA$17,$DA$18,$DA$19)</f>
        <v>obj_0094b#0000</v>
      </c>
      <c r="V103" s="141" t="str">
        <f ca="1">_xll.qlBondOptionEngine(,$DA$2,$DA$17,$DA$18,$DA$19)</f>
        <v>obj_008db#0000</v>
      </c>
      <c r="W103" s="141" t="str">
        <f ca="1">_xll.qlBondOptionEngine(,$DA$2,$DA$17,$DA$18,$DA$19)</f>
        <v>obj_0091e#0000</v>
      </c>
      <c r="X103" s="141" t="str">
        <f ca="1">_xll.qlBondOptionEngine(,$DA$2,$DA$17,$DA$18,$DA$19)</f>
        <v>obj_0094a#0000</v>
      </c>
      <c r="Y103" s="141" t="str">
        <f ca="1">_xll.qlBondOptionEngine(,$DA$2,$DA$17,$DA$18,$DA$19)</f>
        <v>obj_008fc#0000</v>
      </c>
      <c r="Z103" s="141" t="str">
        <f ca="1">_xll.qlBondOptionEngine(,$DA$2,$DA$17,$DA$18,$DA$19)</f>
        <v>obj_00959#0000</v>
      </c>
      <c r="AA103" s="141" t="str">
        <f ca="1">_xll.qlBondOptionEngine(,$DA$2,$DA$17,$DA$18,$DA$19)</f>
        <v>obj_0096a#0000</v>
      </c>
      <c r="AB103" s="141" t="str">
        <f ca="1">_xll.qlBondOptionEngine(,$DA$2,$DA$17,$DA$18,$DA$19)</f>
        <v>obj_0094d#0000</v>
      </c>
      <c r="AC103" s="141" t="str">
        <f ca="1">_xll.qlBondOptionEngine(,$DA$2,$DA$17,$DA$18,$DA$19)</f>
        <v>obj_008d4#0000</v>
      </c>
      <c r="AD103" s="141" t="str">
        <f ca="1">_xll.qlBondOptionEngine(,$DA$2,$DA$17,$DA$18,$DA$19)</f>
        <v>obj_008fd#0000</v>
      </c>
      <c r="AE103" s="141" t="str">
        <f ca="1">_xll.qlBondOptionEngine(,$DA$2,$DA$17,$DA$18,$DA$19)</f>
        <v>obj_0092e#0000</v>
      </c>
      <c r="AF103" s="141" t="str">
        <f ca="1">_xll.qlBondOptionEngine(,$DA$2,$DA$17,$DA$18,$DA$19)</f>
        <v>obj_00977#0000</v>
      </c>
      <c r="AG103" s="141" t="str">
        <f ca="1">_xll.qlBondOptionEngine(,$DA$2,$DA$17,$DA$18,$DA$19)</f>
        <v>obj_00974#0000</v>
      </c>
      <c r="AH103" s="141" t="str">
        <f ca="1">_xll.qlBondOptionEngine(,$DA$2,$DA$17,$DA$18,$DA$19)</f>
        <v>obj_00970#0000</v>
      </c>
      <c r="AI103" s="141" t="str">
        <f ca="1">_xll.qlBondOptionEngine(,$DA$2,$DA$17,$DA$18,$DA$19)</f>
        <v>obj_00952#0000</v>
      </c>
      <c r="AJ103" s="141" t="str">
        <f ca="1">_xll.qlBondOptionEngine(,$DA$2,$DA$17,$DA$18,$DA$19)</f>
        <v>obj_008d6#0000</v>
      </c>
      <c r="AK103" s="141" t="str">
        <f ca="1">_xll.qlBondOptionEngine(,$DA$2,$DA$17,$DA$18,$DA$19)</f>
        <v>obj_00979#0000</v>
      </c>
      <c r="AL103" s="141" t="str">
        <f ca="1">_xll.qlBondOptionEngine(,$DA$2,$DA$17,$DA$18,$DA$19)</f>
        <v>obj_00911#0000</v>
      </c>
      <c r="AM103" s="141" t="str">
        <f ca="1">_xll.qlBondOptionEngine(,$DA$2,$DA$17,$DA$18,$DA$19)</f>
        <v>obj_00943#0000</v>
      </c>
      <c r="AN103" s="141" t="str">
        <f ca="1">_xll.qlBondOptionEngine(,$DA$2,$DA$17,$DA$18,$DA$19)</f>
        <v>obj_008d8#0000</v>
      </c>
      <c r="AO103" s="141" t="str">
        <f ca="1">_xll.qlBondOptionEngine(,$DA$2,$DA$17,$DA$18,$DA$19)</f>
        <v>obj_00910#0000</v>
      </c>
      <c r="AP103" s="141" t="str">
        <f ca="1">_xll.qlBondOptionEngine(,$DA$2,$DA$17,$DA$18,$DA$19)</f>
        <v>obj_00958#0000</v>
      </c>
      <c r="AQ103" s="141" t="str">
        <f ca="1">_xll.qlBondOptionEngine(,$DA$2,$DA$17,$DA$18,$DA$19)</f>
        <v>obj_00969#0000</v>
      </c>
      <c r="AR103" s="141" t="str">
        <f ca="1">_xll.qlBondOptionEngine(,$DA$2,$DA$17,$DA$18,$DA$19)</f>
        <v>obj_00965#0000</v>
      </c>
      <c r="AS103" s="141" t="str">
        <f ca="1">_xll.qlBondOptionEngine(,$DA$2,$DA$17,$DA$18,$DA$19)</f>
        <v>obj_0090e#0000</v>
      </c>
      <c r="AT103" s="141" t="str">
        <f ca="1">_xll.qlBondOptionEngine(,$DA$2,$DA$17,$DA$18,$DA$19)</f>
        <v>obj_00946#0000</v>
      </c>
      <c r="AU103" s="141" t="str">
        <f ca="1">_xll.qlBondOptionEngine(,$DA$2,$DA$17,$DA$18,$DA$19)</f>
        <v>obj_008df#0000</v>
      </c>
      <c r="AV103" s="141" t="str">
        <f ca="1">_xll.qlBondOptionEngine(,$DA$2,$DA$17,$DA$18,$DA$19)</f>
        <v>obj_0095f#0000</v>
      </c>
      <c r="AW103" s="141" t="str">
        <f ca="1">_xll.qlBondOptionEngine(,$DA$2,$DA$17,$DA$18,$DA$19)</f>
        <v>obj_0095c#0000</v>
      </c>
      <c r="AX103" s="141" t="str">
        <f ca="1">_xll.qlBondOptionEngine(,$DA$2,$DA$17,$DA$18,$DA$19)</f>
        <v>obj_0096f#0000</v>
      </c>
      <c r="AY103" s="141" t="str">
        <f ca="1">_xll.qlBondOptionEngine(,$DA$2,$DA$17,$DA$18,$DA$19)</f>
        <v>obj_00951#0000</v>
      </c>
      <c r="AZ103" s="141" t="str">
        <f ca="1">_xll.qlBondOptionEngine(,$DA$2,$DA$17,$DA$18,$DA$19)</f>
        <v>obj_00963#0000</v>
      </c>
      <c r="BA103" s="141" t="str">
        <f ca="1">_xll.qlBondOptionEngine(,$DA$2,$DA$17,$DA$18,$DA$19)</f>
        <v>obj_008d7#0000</v>
      </c>
      <c r="BB103" s="141" t="str">
        <f ca="1">_xll.qlBondOptionEngine(,$DA$2,$DA$17,$DA$18,$DA$19)</f>
        <v>obj_008dc#0000</v>
      </c>
      <c r="BC103" s="141" t="str">
        <f ca="1">_xll.qlBondOptionEngine(,$DA$2,$DA$17,$DA$18,$DA$19)</f>
        <v>obj_008ff#0000</v>
      </c>
      <c r="BD103" s="141" t="str">
        <f ca="1">_xll.qlBondOptionEngine(,$DA$2,$DA$17,$DA$18,$DA$19)</f>
        <v>obj_0091b#0000</v>
      </c>
      <c r="BE103" s="141" t="str">
        <f ca="1">_xll.qlBondOptionEngine(,$DA$2,$DA$17,$DA$18,$DA$19)</f>
        <v>obj_00948#0000</v>
      </c>
      <c r="BF103" s="141" t="str">
        <f ca="1">_xll.qlBondOptionEngine(,$DA$2,$DA$17,$DA$18,$DA$19)</f>
        <v>obj_00957#0000</v>
      </c>
      <c r="BG103" s="141" t="str">
        <f ca="1">_xll.qlBondOptionEngine(,$DA$2,$DA$17,$DA$18,$DA$19)</f>
        <v>obj_00968#0000</v>
      </c>
      <c r="BH103" s="141" t="str">
        <f ca="1">_xll.qlBondOptionEngine(,$DA$2,$DA$17,$DA$18,$DA$19)</f>
        <v>obj_00980#0000</v>
      </c>
      <c r="BI103" s="141" t="str">
        <f ca="1">_xll.qlBondOptionEngine(,$DA$2,$DA$17,$DA$18,$DA$19)</f>
        <v>obj_0097d#0000</v>
      </c>
      <c r="BJ103" s="141" t="str">
        <f ca="1">_xll.qlBondOptionEngine(,$DA$2,$DA$17,$DA$18,$DA$19)</f>
        <v>obj_0091d#0000</v>
      </c>
      <c r="BK103" s="141" t="str">
        <f ca="1">_xll.qlBondOptionEngine(,$DA$2,$DA$17,$DA$18,$DA$19)</f>
        <v>obj_00913#0000</v>
      </c>
      <c r="BL103" s="141" t="str">
        <f ca="1">_xll.qlBondOptionEngine(,$DA$2,$DA$17,$DA$18,$DA$19)</f>
        <v>obj_00976#0000</v>
      </c>
      <c r="BM103" s="141" t="str">
        <f ca="1">_xll.qlBondOptionEngine(,$DA$2,$DA$17,$DA$18,$DA$19)</f>
        <v>obj_00973#0000</v>
      </c>
      <c r="BN103" s="141" t="str">
        <f ca="1">_xll.qlBondOptionEngine(,$DA$2,$DA$17,$DA$18,$DA$19)</f>
        <v>obj_0096e#0000</v>
      </c>
      <c r="BO103" s="141" t="str">
        <f ca="1">_xll.qlBondOptionEngine(,$DA$2,$DA$17,$DA$18,$DA$19)</f>
        <v>obj_00950#0000</v>
      </c>
      <c r="BP103" s="141" t="str">
        <f ca="1">_xll.qlBondOptionEngine(,$DA$2,$DA$17,$DA$18,$DA$19)</f>
        <v>obj_0091a#0000</v>
      </c>
      <c r="BQ103" s="141" t="str">
        <f ca="1">_xll.qlBondOptionEngine(,$DA$2,$DA$17,$DA$18,$DA$19)</f>
        <v>obj_00961#0000</v>
      </c>
      <c r="BR103" s="141" t="str">
        <f ca="1">_xll.qlBondOptionEngine(,$DA$2,$DA$17,$DA$18,$DA$19)</f>
        <v>obj_0092d#0000</v>
      </c>
      <c r="BS103" s="141" t="str">
        <f ca="1">_xll.qlBondOptionEngine(,$DA$2,$DA$17,$DA$18,$DA$19)</f>
        <v>obj_00942#0000</v>
      </c>
      <c r="BT103" s="141" t="str">
        <f ca="1">_xll.qlBondOptionEngine(,$DA$2,$DA$17,$DA$18,$DA$19)</f>
        <v>obj_0092b#0000</v>
      </c>
      <c r="BU103" s="141" t="str">
        <f ca="1">_xll.qlBondOptionEngine(,$DA$2,$DA$17,$DA$18,$DA$19)</f>
        <v>obj_008da#0000</v>
      </c>
      <c r="BV103" s="141" t="str">
        <f ca="1">_xll.qlBondOptionEngine(,$DA$2,$DA$17,$DA$18,$DA$19)</f>
        <v>obj_00956#0000</v>
      </c>
      <c r="BW103" s="141" t="str">
        <f ca="1">_xll.qlBondOptionEngine(,$DA$2,$DA$17,$DA$18,$DA$19)</f>
        <v>obj_00967#0000</v>
      </c>
      <c r="BX103" s="141" t="str">
        <f ca="1">_xll.qlBondOptionEngine(,$DA$2,$DA$17,$DA$18,$DA$19)</f>
        <v>obj_008fa#0000</v>
      </c>
      <c r="BY103" s="141" t="str">
        <f ca="1">_xll.qlBondOptionEngine(,$DA$2,$DA$17,$DA$18,$DA$19)</f>
        <v>obj_00964#0000</v>
      </c>
      <c r="BZ103" s="141" t="str">
        <f ca="1">_xll.qlBondOptionEngine(,$DA$2,$DA$17,$DA$18,$DA$19)</f>
        <v>obj_00945#0000</v>
      </c>
      <c r="CA103" s="141" t="str">
        <f ca="1">_xll.qlBondOptionEngine(,$DA$2,$DA$17,$DA$18,$DA$19)</f>
        <v>obj_008e0#0000</v>
      </c>
      <c r="CB103" s="141" t="str">
        <f ca="1">_xll.qlBondOptionEngine(,$DA$2,$DA$17,$DA$18,$DA$19)</f>
        <v>obj_0095e#0000</v>
      </c>
      <c r="CC103" s="141" t="str">
        <f ca="1">_xll.qlBondOptionEngine(,$DA$2,$DA$17,$DA$18,$DA$19)</f>
        <v>obj_0095b#0000</v>
      </c>
      <c r="CD103" s="141" t="str">
        <f ca="1">_xll.qlBondOptionEngine(,$DA$2,$DA$17,$DA$18,$DA$19)</f>
        <v>obj_0096d#0000</v>
      </c>
      <c r="CE103" s="141" t="str">
        <f ca="1">_xll.qlBondOptionEngine(,$DA$2,$DA$17,$DA$18,$DA$19)</f>
        <v>obj_0094f#0000</v>
      </c>
      <c r="CF103" s="141" t="str">
        <f ca="1">_xll.qlBondOptionEngine(,$DA$2,$DA$17,$DA$18,$DA$19)</f>
        <v>obj_0097a#0000</v>
      </c>
      <c r="CG103" s="141" t="str">
        <f ca="1">_xll.qlBondOptionEngine(,$DA$2,$DA$17,$DA$18,$DA$19)</f>
        <v>obj_008fb#0000</v>
      </c>
      <c r="CH103" s="141" t="str">
        <f ca="1">_xll.qlBondOptionEngine(,$DA$2,$DA$17,$DA$18,$DA$19)</f>
        <v>obj_008dd#0000</v>
      </c>
      <c r="CI103" s="141" t="str">
        <f ca="1">_xll.qlBondOptionEngine(,$DA$2,$DA$17,$DA$18,$DA$19)</f>
        <v>obj_0091f#0000</v>
      </c>
      <c r="CJ103" s="141" t="str">
        <f ca="1">_xll.qlBondOptionEngine(,$DA$2,$DA$17,$DA$18,$DA$19)</f>
        <v>obj_00949#0000</v>
      </c>
      <c r="CK103" s="141" t="str">
        <f ca="1">_xll.qlBondOptionEngine(,$DA$2,$DA$17,$DA$18,$DA$19)</f>
        <v>obj_0091c#0000</v>
      </c>
      <c r="CL103" s="141" t="str">
        <f ca="1">_xll.qlBondOptionEngine(,$DA$2,$DA$17,$DA$18,$DA$19)</f>
        <v>obj_00955#0000</v>
      </c>
      <c r="CM103" s="141" t="str">
        <f ca="1">_xll.qlBondOptionEngine(,$DA$2,$DA$17,$DA$18,$DA$19)</f>
        <v>obj_00966#0000</v>
      </c>
      <c r="CN103" s="141" t="str">
        <f ca="1">_xll.qlBondOptionEngine(,$DA$2,$DA$17,$DA$18,$DA$19)</f>
        <v>obj_0097e#0000</v>
      </c>
      <c r="CO103" s="141" t="str">
        <f ca="1">_xll.qlBondOptionEngine(,$DA$2,$DA$17,$DA$18,$DA$19)</f>
        <v>obj_0097f#0000</v>
      </c>
      <c r="CP103" s="141" t="str">
        <f ca="1">_xll.qlBondOptionEngine(,$DA$2,$DA$17,$DA$18,$DA$19)</f>
        <v>obj_008fe#0000</v>
      </c>
      <c r="CQ103" s="141" t="str">
        <f ca="1">_xll.qlBondOptionEngine(,$DA$2,$DA$17,$DA$18,$DA$19)</f>
        <v>obj_0092f#0000</v>
      </c>
      <c r="CR103" s="141" t="str">
        <f ca="1">_xll.qlBondOptionEngine(,$DA$2,$DA$17,$DA$18,$DA$19)</f>
        <v>obj_00975#0000</v>
      </c>
      <c r="CS103" s="141" t="str">
        <f ca="1">_xll.qlBondOptionEngine(,$DA$2,$DA$17,$DA$18,$DA$19)</f>
        <v>obj_00972#0000</v>
      </c>
      <c r="CT103" s="141" t="str">
        <f ca="1">_xll.qlBondOptionEngine(,$DA$2,$DA$17,$DA$18,$DA$19)</f>
        <v>obj_0096c#0000</v>
      </c>
      <c r="CU103" s="141" t="str">
        <f ca="1">_xll.qlBondOptionEngine(,$DA$2,$DA$17,$DA$18,$DA$19)</f>
        <v>obj_0094e#0000</v>
      </c>
      <c r="CV103" s="141" t="str">
        <f ca="1">_xll.qlBondOptionEngine(,$DA$2,$DA$17,$DA$18,$DA$19)</f>
        <v>obj_0092a#0000</v>
      </c>
      <c r="CW103" s="141" t="str">
        <f ca="1">_xll.qlBondOptionEngine(,$DA$2,$DA$17,$DA$18,$DA$19)</f>
        <v>obj_00978#0000</v>
      </c>
      <c r="CX103" s="141" t="str">
        <f ca="1">_xll.qlBondOptionEngine(,$DA$2,$DA$17,$DA$18,$DA$19)</f>
        <v>obj_00912#0000</v>
      </c>
    </row>
    <row r="104" spans="2:102" ht="13.5" thickBot="1">
      <c r="B104" s="107" t="s">
        <v>41</v>
      </c>
      <c r="C104" s="142" t="e">
        <f ca="1">_xll.qlInstrumentSetPricingEngine(C102,C103,$DA$24)</f>
        <v>#NUM!</v>
      </c>
      <c r="D104" s="142" t="e">
        <f ca="1">_xll.qlInstrumentSetPricingEngine(D102,D103,$DA$24)</f>
        <v>#NUM!</v>
      </c>
      <c r="E104" s="142" t="e">
        <f ca="1">_xll.qlInstrumentSetPricingEngine(E102,E103,$DA$24)</f>
        <v>#NUM!</v>
      </c>
      <c r="F104" s="142" t="e">
        <f ca="1">_xll.qlInstrumentSetPricingEngine(F102,F103,$DA$24)</f>
        <v>#NUM!</v>
      </c>
      <c r="G104" s="142" t="e">
        <f ca="1">_xll.qlInstrumentSetPricingEngine(G102,G103,$DA$24)</f>
        <v>#VALUE!</v>
      </c>
      <c r="H104" s="142" t="e">
        <f ca="1">_xll.qlInstrumentSetPricingEngine(H102,H103,$DA$24)</f>
        <v>#NUM!</v>
      </c>
      <c r="I104" s="142" t="e">
        <f ca="1">_xll.qlInstrumentSetPricingEngine(I102,I103,$DA$24)</f>
        <v>#VALUE!</v>
      </c>
      <c r="J104" s="142" t="e">
        <f ca="1">_xll.qlInstrumentSetPricingEngine(J102,J103,$DA$24)</f>
        <v>#VALUE!</v>
      </c>
      <c r="K104" s="142" t="e">
        <f ca="1">_xll.qlInstrumentSetPricingEngine(K102,K103,$DA$24)</f>
        <v>#NUM!</v>
      </c>
      <c r="L104" s="142" t="e">
        <f ca="1">_xll.qlInstrumentSetPricingEngine(L102,L103,$DA$24)</f>
        <v>#NUM!</v>
      </c>
      <c r="M104" s="142" t="e">
        <f ca="1">_xll.qlInstrumentSetPricingEngine(M102,M103,$DA$24)</f>
        <v>#NUM!</v>
      </c>
      <c r="N104" s="142" t="e">
        <f ca="1">_xll.qlInstrumentSetPricingEngine(N102,N103,$DA$24)</f>
        <v>#VALUE!</v>
      </c>
      <c r="O104" s="142" t="e">
        <f ca="1">_xll.qlInstrumentSetPricingEngine(O102,O103,$DA$24)</f>
        <v>#NUM!</v>
      </c>
      <c r="P104" s="142" t="e">
        <f ca="1">_xll.qlInstrumentSetPricingEngine(P102,P103,$DA$24)</f>
        <v>#VALUE!</v>
      </c>
      <c r="Q104" s="142" t="e">
        <f ca="1">_xll.qlInstrumentSetPricingEngine(Q102,Q103,$DA$24)</f>
        <v>#NUM!</v>
      </c>
      <c r="R104" s="142" t="e">
        <f ca="1">_xll.qlInstrumentSetPricingEngine(R102,R103,$DA$24)</f>
        <v>#NUM!</v>
      </c>
      <c r="S104" s="142" t="e">
        <f ca="1">_xll.qlInstrumentSetPricingEngine(S102,S103,$DA$24)</f>
        <v>#NUM!</v>
      </c>
      <c r="T104" s="142" t="e">
        <f ca="1">_xll.qlInstrumentSetPricingEngine(T102,T103,$DA$24)</f>
        <v>#NUM!</v>
      </c>
      <c r="U104" s="142" t="e">
        <f ca="1">_xll.qlInstrumentSetPricingEngine(U102,U103,$DA$24)</f>
        <v>#NUM!</v>
      </c>
      <c r="V104" s="142" t="e">
        <f ca="1">_xll.qlInstrumentSetPricingEngine(V102,V103,$DA$24)</f>
        <v>#VALUE!</v>
      </c>
      <c r="W104" s="142" t="e">
        <f ca="1">_xll.qlInstrumentSetPricingEngine(W102,W103,$DA$24)</f>
        <v>#VALUE!</v>
      </c>
      <c r="X104" s="142" t="e">
        <f ca="1">_xll.qlInstrumentSetPricingEngine(X102,X103,$DA$24)</f>
        <v>#NUM!</v>
      </c>
      <c r="Y104" s="142" t="e">
        <f ca="1">_xll.qlInstrumentSetPricingEngine(Y102,Y103,$DA$24)</f>
        <v>#NUM!</v>
      </c>
      <c r="Z104" s="142" t="e">
        <f ca="1">_xll.qlInstrumentSetPricingEngine(Z102,Z103,$DA$24)</f>
        <v>#VALUE!</v>
      </c>
      <c r="AA104" s="142" t="e">
        <f ca="1">_xll.qlInstrumentSetPricingEngine(AA102,AA103,$DA$24)</f>
        <v>#NUM!</v>
      </c>
      <c r="AB104" s="142" t="e">
        <f ca="1">_xll.qlInstrumentSetPricingEngine(AB102,AB103,$DA$24)</f>
        <v>#VALUE!</v>
      </c>
      <c r="AC104" s="142" t="e">
        <f ca="1">_xll.qlInstrumentSetPricingEngine(AC102,AC103,$DA$24)</f>
        <v>#NUM!</v>
      </c>
      <c r="AD104" s="142" t="e">
        <f ca="1">_xll.qlInstrumentSetPricingEngine(AD102,AD103,$DA$24)</f>
        <v>#VALUE!</v>
      </c>
      <c r="AE104" s="142" t="e">
        <f ca="1">_xll.qlInstrumentSetPricingEngine(AE102,AE103,$DA$24)</f>
        <v>#VALUE!</v>
      </c>
      <c r="AF104" s="142" t="e">
        <f ca="1">_xll.qlInstrumentSetPricingEngine(AF102,AF103,$DA$24)</f>
        <v>#NUM!</v>
      </c>
      <c r="AG104" s="142" t="e">
        <f ca="1">_xll.qlInstrumentSetPricingEngine(AG102,AG103,$DA$24)</f>
        <v>#NUM!</v>
      </c>
      <c r="AH104" s="142" t="e">
        <f ca="1">_xll.qlInstrumentSetPricingEngine(AH102,AH103,$DA$24)</f>
        <v>#NUM!</v>
      </c>
      <c r="AI104" s="142" t="e">
        <f ca="1">_xll.qlInstrumentSetPricingEngine(AI102,AI103,$DA$24)</f>
        <v>#VALUE!</v>
      </c>
      <c r="AJ104" s="142" t="e">
        <f ca="1">_xll.qlInstrumentSetPricingEngine(AJ102,AJ103,$DA$24)</f>
        <v>#NUM!</v>
      </c>
      <c r="AK104" s="142" t="e">
        <f ca="1">_xll.qlInstrumentSetPricingEngine(AK102,AK103,$DA$24)</f>
        <v>#NUM!</v>
      </c>
      <c r="AL104" s="142" t="e">
        <f ca="1">_xll.qlInstrumentSetPricingEngine(AL102,AL103,$DA$24)</f>
        <v>#NUM!</v>
      </c>
      <c r="AM104" s="142" t="e">
        <f ca="1">_xll.qlInstrumentSetPricingEngine(AM102,AM103,$DA$24)</f>
        <v>#VALUE!</v>
      </c>
      <c r="AN104" s="142" t="e">
        <f ca="1">_xll.qlInstrumentSetPricingEngine(AN102,AN103,$DA$24)</f>
        <v>#VALUE!</v>
      </c>
      <c r="AO104" s="142" t="e">
        <f ca="1">_xll.qlInstrumentSetPricingEngine(AO102,AO103,$DA$24)</f>
        <v>#VALUE!</v>
      </c>
      <c r="AP104" s="142" t="e">
        <f ca="1">_xll.qlInstrumentSetPricingEngine(AP102,AP103,$DA$24)</f>
        <v>#NUM!</v>
      </c>
      <c r="AQ104" s="142" t="e">
        <f ca="1">_xll.qlInstrumentSetPricingEngine(AQ102,AQ103,$DA$24)</f>
        <v>#NUM!</v>
      </c>
      <c r="AR104" s="142" t="e">
        <f ca="1">_xll.qlInstrumentSetPricingEngine(AR102,AR103,$DA$24)</f>
        <v>#NUM!</v>
      </c>
      <c r="AS104" s="142" t="e">
        <f ca="1">_xll.qlInstrumentSetPricingEngine(AS102,AS103,$DA$24)</f>
        <v>#VALUE!</v>
      </c>
      <c r="AT104" s="142" t="e">
        <f ca="1">_xll.qlInstrumentSetPricingEngine(AT102,AT103,$DA$24)</f>
        <v>#VALUE!</v>
      </c>
      <c r="AU104" s="142" t="e">
        <f ca="1">_xll.qlInstrumentSetPricingEngine(AU102,AU103,$DA$24)</f>
        <v>#NUM!</v>
      </c>
      <c r="AV104" s="142" t="e">
        <f ca="1">_xll.qlInstrumentSetPricingEngine(AV102,AV103,$DA$24)</f>
        <v>#VALUE!</v>
      </c>
      <c r="AW104" s="142" t="e">
        <f ca="1">_xll.qlInstrumentSetPricingEngine(AW102,AW103,$DA$24)</f>
        <v>#NUM!</v>
      </c>
      <c r="AX104" s="142" t="e">
        <f ca="1">_xll.qlInstrumentSetPricingEngine(AX102,AX103,$DA$24)</f>
        <v>#VALUE!</v>
      </c>
      <c r="AY104" s="142" t="e">
        <f ca="1">_xll.qlInstrumentSetPricingEngine(AY102,AY103,$DA$24)</f>
        <v>#NUM!</v>
      </c>
      <c r="AZ104" s="142" t="e">
        <f ca="1">_xll.qlInstrumentSetPricingEngine(AZ102,AZ103,$DA$24)</f>
        <v>#NUM!</v>
      </c>
      <c r="BA104" s="142" t="e">
        <f ca="1">_xll.qlInstrumentSetPricingEngine(BA102,BA103,$DA$24)</f>
        <v>#NUM!</v>
      </c>
      <c r="BB104" s="142" t="e">
        <f ca="1">_xll.qlInstrumentSetPricingEngine(BB102,BB103,$DA$24)</f>
        <v>#NUM!</v>
      </c>
      <c r="BC104" s="142" t="e">
        <f ca="1">_xll.qlInstrumentSetPricingEngine(BC102,BC103,$DA$24)</f>
        <v>#NUM!</v>
      </c>
      <c r="BD104" s="142" t="e">
        <f ca="1">_xll.qlInstrumentSetPricingEngine(BD102,BD103,$DA$24)</f>
        <v>#NUM!</v>
      </c>
      <c r="BE104" s="142" t="e">
        <f ca="1">_xll.qlInstrumentSetPricingEngine(BE102,BE103,$DA$24)</f>
        <v>#NUM!</v>
      </c>
      <c r="BF104" s="142" t="e">
        <f ca="1">_xll.qlInstrumentSetPricingEngine(BF102,BF103,$DA$24)</f>
        <v>#NUM!</v>
      </c>
      <c r="BG104" s="142" t="e">
        <f ca="1">_xll.qlInstrumentSetPricingEngine(BG102,BG103,$DA$24)</f>
        <v>#NUM!</v>
      </c>
      <c r="BH104" s="142" t="e">
        <f ca="1">_xll.qlInstrumentSetPricingEngine(BH102,BH103,$DA$24)</f>
        <v>#VALUE!</v>
      </c>
      <c r="BI104" s="142" t="e">
        <f ca="1">_xll.qlInstrumentSetPricingEngine(BI102,BI103,$DA$24)</f>
        <v>#NUM!</v>
      </c>
      <c r="BJ104" s="142" t="e">
        <f ca="1">_xll.qlInstrumentSetPricingEngine(BJ102,BJ103,$DA$24)</f>
        <v>#VALUE!</v>
      </c>
      <c r="BK104" s="142" t="e">
        <f ca="1">_xll.qlInstrumentSetPricingEngine(BK102,BK103,$DA$24)</f>
        <v>#VALUE!</v>
      </c>
      <c r="BL104" s="142" t="e">
        <f ca="1">_xll.qlInstrumentSetPricingEngine(BL102,BL103,$DA$24)</f>
        <v>#VALUE!</v>
      </c>
      <c r="BM104" s="142" t="e">
        <f ca="1">_xll.qlInstrumentSetPricingEngine(BM102,BM103,$DA$24)</f>
        <v>#NUM!</v>
      </c>
      <c r="BN104" s="142" t="e">
        <f ca="1">_xll.qlInstrumentSetPricingEngine(BN102,BN103,$DA$24)</f>
        <v>#NUM!</v>
      </c>
      <c r="BO104" s="142" t="e">
        <f ca="1">_xll.qlInstrumentSetPricingEngine(BO102,BO103,$DA$24)</f>
        <v>#VALUE!</v>
      </c>
      <c r="BP104" s="142" t="e">
        <f ca="1">_xll.qlInstrumentSetPricingEngine(BP102,BP103,$DA$24)</f>
        <v>#NUM!</v>
      </c>
      <c r="BQ104" s="142" t="e">
        <f ca="1">_xll.qlInstrumentSetPricingEngine(BQ102,BQ103,$DA$24)</f>
        <v>#NUM!</v>
      </c>
      <c r="BR104" s="142" t="e">
        <f ca="1">_xll.qlInstrumentSetPricingEngine(BR102,BR103,$DA$24)</f>
        <v>#VALUE!</v>
      </c>
      <c r="BS104" s="142" t="e">
        <f ca="1">_xll.qlInstrumentSetPricingEngine(BS102,BS103,$DA$24)</f>
        <v>#VALUE!</v>
      </c>
      <c r="BT104" s="142" t="e">
        <f ca="1">_xll.qlInstrumentSetPricingEngine(BT102,BT103,$DA$24)</f>
        <v>#NUM!</v>
      </c>
      <c r="BU104" s="142" t="e">
        <f ca="1">_xll.qlInstrumentSetPricingEngine(BU102,BU103,$DA$24)</f>
        <v>#NUM!</v>
      </c>
      <c r="BV104" s="142" t="e">
        <f ca="1">_xll.qlInstrumentSetPricingEngine(BV102,BV103,$DA$24)</f>
        <v>#NUM!</v>
      </c>
      <c r="BW104" s="142" t="e">
        <f ca="1">_xll.qlInstrumentSetPricingEngine(BW102,BW103,$DA$24)</f>
        <v>#NUM!</v>
      </c>
      <c r="BX104" s="142" t="e">
        <f ca="1">_xll.qlInstrumentSetPricingEngine(BX102,BX103,$DA$24)</f>
        <v>#NUM!</v>
      </c>
      <c r="BY104" s="142" t="e">
        <f ca="1">_xll.qlInstrumentSetPricingEngine(BY102,BY103,$DA$24)</f>
        <v>#NUM!</v>
      </c>
      <c r="BZ104" s="142" t="e">
        <f ca="1">_xll.qlInstrumentSetPricingEngine(BZ102,BZ103,$DA$24)</f>
        <v>#VALUE!</v>
      </c>
      <c r="CA104" s="142" t="e">
        <f ca="1">_xll.qlInstrumentSetPricingEngine(CA102,CA103,$DA$24)</f>
        <v>#NUM!</v>
      </c>
      <c r="CB104" s="142" t="e">
        <f ca="1">_xll.qlInstrumentSetPricingEngine(CB102,CB103,$DA$24)</f>
        <v>#NUM!</v>
      </c>
      <c r="CC104" s="142" t="e">
        <f ca="1">_xll.qlInstrumentSetPricingEngine(CC102,CC103,$DA$24)</f>
        <v>#NUM!</v>
      </c>
      <c r="CD104" s="142" t="e">
        <f ca="1">_xll.qlInstrumentSetPricingEngine(CD102,CD103,$DA$24)</f>
        <v>#NUM!</v>
      </c>
      <c r="CE104" s="142" t="e">
        <f ca="1">_xll.qlInstrumentSetPricingEngine(CE102,CE103,$DA$24)</f>
        <v>#NUM!</v>
      </c>
      <c r="CF104" s="142" t="e">
        <f ca="1">_xll.qlInstrumentSetPricingEngine(CF102,CF103,$DA$24)</f>
        <v>#NUM!</v>
      </c>
      <c r="CG104" s="142" t="e">
        <f ca="1">_xll.qlInstrumentSetPricingEngine(CG102,CG103,$DA$24)</f>
        <v>#NUM!</v>
      </c>
      <c r="CH104" s="142" t="e">
        <f ca="1">_xll.qlInstrumentSetPricingEngine(CH102,CH103,$DA$24)</f>
        <v>#VALUE!</v>
      </c>
      <c r="CI104" s="142" t="e">
        <f ca="1">_xll.qlInstrumentSetPricingEngine(CI102,CI103,$DA$24)</f>
        <v>#VALUE!</v>
      </c>
      <c r="CJ104" s="142" t="e">
        <f ca="1">_xll.qlInstrumentSetPricingEngine(CJ102,CJ103,$DA$24)</f>
        <v>#NUM!</v>
      </c>
      <c r="CK104" s="142" t="e">
        <f ca="1">_xll.qlInstrumentSetPricingEngine(CK102,CK103,$DA$24)</f>
        <v>#NUM!</v>
      </c>
      <c r="CL104" s="142" t="e">
        <f ca="1">_xll.qlInstrumentSetPricingEngine(CL102,CL103,$DA$24)</f>
        <v>#VALUE!</v>
      </c>
      <c r="CM104" s="142" t="e">
        <f ca="1">_xll.qlInstrumentSetPricingEngine(CM102,CM103,$DA$24)</f>
        <v>#NUM!</v>
      </c>
      <c r="CN104" s="142" t="e">
        <f ca="1">_xll.qlInstrumentSetPricingEngine(CN102,CN103,$DA$24)</f>
        <v>#NUM!</v>
      </c>
      <c r="CO104" s="142" t="e">
        <f ca="1">_xll.qlInstrumentSetPricingEngine(CO102,CO103,$DA$24)</f>
        <v>#NUM!</v>
      </c>
      <c r="CP104" s="142" t="e">
        <f ca="1">_xll.qlInstrumentSetPricingEngine(CP102,CP103,$DA$24)</f>
        <v>#NUM!</v>
      </c>
      <c r="CQ104" s="142" t="e">
        <f ca="1">_xll.qlInstrumentSetPricingEngine(CQ102,CQ103,$DA$24)</f>
        <v>#VALUE!</v>
      </c>
      <c r="CR104" s="142" t="e">
        <f ca="1">_xll.qlInstrumentSetPricingEngine(CR102,CR103,$DA$24)</f>
        <v>#NUM!</v>
      </c>
      <c r="CS104" s="142" t="e">
        <f ca="1">_xll.qlInstrumentSetPricingEngine(CS102,CS103,$DA$24)</f>
        <v>#NUM!</v>
      </c>
      <c r="CT104" s="142" t="e">
        <f ca="1">_xll.qlInstrumentSetPricingEngine(CT102,CT103,$DA$24)</f>
        <v>#NUM!</v>
      </c>
      <c r="CU104" s="142" t="e">
        <f ca="1">_xll.qlInstrumentSetPricingEngine(CU102,CU103,$DA$24)</f>
        <v>#NUM!</v>
      </c>
      <c r="CV104" s="142" t="e">
        <f ca="1">_xll.qlInstrumentSetPricingEngine(CV102,CV103,$DA$24)</f>
        <v>#NUM!</v>
      </c>
      <c r="CW104" s="142" t="e">
        <f ca="1">_xll.qlInstrumentSetPricingEngine(CW102,CW103,$DA$24)</f>
        <v>#NUM!</v>
      </c>
      <c r="CX104" s="142" t="e">
        <f ca="1">_xll.qlInstrumentSetPricingEngine(CX102,CX103,$DA$24)</f>
        <v>#NUM!</v>
      </c>
    </row>
    <row r="105" spans="2:102" ht="13.5" thickBot="1"/>
    <row r="106" spans="2:102">
      <c r="B106" s="102" t="s">
        <v>254</v>
      </c>
      <c r="C106" s="144" t="e">
        <f ca="1">_xll.qlInstrumentNPV(C102,C104)</f>
        <v>#NUM!</v>
      </c>
      <c r="D106" s="144">
        <f ca="1">_xll.qlInstrumentNPV(D102,D104)</f>
        <v>29.111025135226416</v>
      </c>
      <c r="E106" s="144" t="e">
        <f ca="1">_xll.qlInstrumentNPV(E102,E104)</f>
        <v>#NUM!</v>
      </c>
      <c r="F106" s="144" t="e">
        <f ca="1">_xll.qlInstrumentNPV(F102,F104)</f>
        <v>#NUM!</v>
      </c>
      <c r="G106" s="144" t="e">
        <f ca="1">_xll.qlInstrumentNPV(G102,G104)</f>
        <v>#VALUE!</v>
      </c>
      <c r="H106" s="144" t="e">
        <f ca="1">_xll.qlInstrumentNPV(H102,H104)</f>
        <v>#NUM!</v>
      </c>
      <c r="I106" s="144" t="e">
        <f ca="1">_xll.qlInstrumentNPV(I102,I104)</f>
        <v>#VALUE!</v>
      </c>
      <c r="J106" s="144" t="e">
        <f ca="1">_xll.qlInstrumentNPV(J102,J104)</f>
        <v>#VALUE!</v>
      </c>
      <c r="K106" s="144" t="e">
        <f ca="1">_xll.qlInstrumentNPV(K102,K104)</f>
        <v>#NUM!</v>
      </c>
      <c r="L106" s="144" t="e">
        <f ca="1">_xll.qlInstrumentNPV(L102,L104)</f>
        <v>#NUM!</v>
      </c>
      <c r="M106" s="144" t="e">
        <f ca="1">_xll.qlInstrumentNPV(M102,M104)</f>
        <v>#NUM!</v>
      </c>
      <c r="N106" s="144" t="e">
        <f ca="1">_xll.qlInstrumentNPV(N102,N104)</f>
        <v>#VALUE!</v>
      </c>
      <c r="O106" s="144" t="e">
        <f ca="1">_xll.qlInstrumentNPV(O102,O104)</f>
        <v>#NUM!</v>
      </c>
      <c r="P106" s="144">
        <f ca="1">_xll.qlInstrumentNPV(P102,P104)</f>
        <v>129.82873289674265</v>
      </c>
      <c r="Q106" s="144" t="e">
        <f ca="1">_xll.qlInstrumentNPV(Q102,Q104)</f>
        <v>#NUM!</v>
      </c>
      <c r="R106" s="144" t="e">
        <f ca="1">_xll.qlInstrumentNPV(R102,R104)</f>
        <v>#NUM!</v>
      </c>
      <c r="S106" s="144" t="e">
        <f ca="1">_xll.qlInstrumentNPV(S102,S104)</f>
        <v>#NUM!</v>
      </c>
      <c r="T106" s="144" t="e">
        <f ca="1">_xll.qlInstrumentNPV(T102,T104)</f>
        <v>#NUM!</v>
      </c>
      <c r="U106" s="144" t="e">
        <f ca="1">_xll.qlInstrumentNPV(U102,U104)</f>
        <v>#NUM!</v>
      </c>
      <c r="V106" s="144" t="e">
        <f ca="1">_xll.qlInstrumentNPV(V102,V104)</f>
        <v>#VALUE!</v>
      </c>
      <c r="W106" s="144">
        <f ca="1">_xll.qlInstrumentNPV(W102,W104)</f>
        <v>44.095063784148259</v>
      </c>
      <c r="X106" s="144" t="e">
        <f ca="1">_xll.qlInstrumentNPV(X102,X104)</f>
        <v>#NUM!</v>
      </c>
      <c r="Y106" s="144" t="e">
        <f ca="1">_xll.qlInstrumentNPV(Y102,Y104)</f>
        <v>#NUM!</v>
      </c>
      <c r="Z106" s="144" t="e">
        <f ca="1">_xll.qlInstrumentNPV(Z102,Z104)</f>
        <v>#VALUE!</v>
      </c>
      <c r="AA106" s="144" t="e">
        <f ca="1">_xll.qlInstrumentNPV(AA102,AA104)</f>
        <v>#NUM!</v>
      </c>
      <c r="AB106" s="144" t="e">
        <f ca="1">_xll.qlInstrumentNPV(AB102,AB104)</f>
        <v>#VALUE!</v>
      </c>
      <c r="AC106" s="144" t="e">
        <f ca="1">_xll.qlInstrumentNPV(AC102,AC104)</f>
        <v>#NUM!</v>
      </c>
      <c r="AD106" s="144" t="e">
        <f ca="1">_xll.qlInstrumentNPV(AD102,AD104)</f>
        <v>#VALUE!</v>
      </c>
      <c r="AE106" s="144">
        <f ca="1">_xll.qlInstrumentNPV(AE102,AE104)</f>
        <v>297.26330563509816</v>
      </c>
      <c r="AF106" s="144" t="e">
        <f ca="1">_xll.qlInstrumentNPV(AF102,AF104)</f>
        <v>#NUM!</v>
      </c>
      <c r="AG106" s="144" t="e">
        <f ca="1">_xll.qlInstrumentNPV(AG102,AG104)</f>
        <v>#NUM!</v>
      </c>
      <c r="AH106" s="144" t="e">
        <f ca="1">_xll.qlInstrumentNPV(AH102,AH104)</f>
        <v>#NUM!</v>
      </c>
      <c r="AI106" s="144" t="e">
        <f ca="1">_xll.qlInstrumentNPV(AI102,AI104)</f>
        <v>#VALUE!</v>
      </c>
      <c r="AJ106" s="144" t="e">
        <f ca="1">_xll.qlInstrumentNPV(AJ102,AJ104)</f>
        <v>#NUM!</v>
      </c>
      <c r="AK106" s="144" t="e">
        <f ca="1">_xll.qlInstrumentNPV(AK102,AK104)</f>
        <v>#NUM!</v>
      </c>
      <c r="AL106" s="144" t="e">
        <f ca="1">_xll.qlInstrumentNPV(AL102,AL104)</f>
        <v>#NUM!</v>
      </c>
      <c r="AM106" s="144" t="e">
        <f ca="1">_xll.qlInstrumentNPV(AM102,AM104)</f>
        <v>#VALUE!</v>
      </c>
      <c r="AN106" s="144" t="e">
        <f ca="1">_xll.qlInstrumentNPV(AN102,AN104)</f>
        <v>#VALUE!</v>
      </c>
      <c r="AO106" s="144" t="e">
        <f ca="1">_xll.qlInstrumentNPV(AO102,AO104)</f>
        <v>#VALUE!</v>
      </c>
      <c r="AP106" s="144" t="e">
        <f ca="1">_xll.qlInstrumentNPV(AP102,AP104)</f>
        <v>#NUM!</v>
      </c>
      <c r="AQ106" s="144" t="e">
        <f ca="1">_xll.qlInstrumentNPV(AQ102,AQ104)</f>
        <v>#NUM!</v>
      </c>
      <c r="AR106" s="144" t="e">
        <f ca="1">_xll.qlInstrumentNPV(AR102,AR104)</f>
        <v>#NUM!</v>
      </c>
      <c r="AS106" s="144" t="e">
        <f ca="1">_xll.qlInstrumentNPV(AS102,AS104)</f>
        <v>#VALUE!</v>
      </c>
      <c r="AT106" s="144" t="e">
        <f ca="1">_xll.qlInstrumentNPV(AT102,AT104)</f>
        <v>#VALUE!</v>
      </c>
      <c r="AU106" s="144" t="e">
        <f ca="1">_xll.qlInstrumentNPV(AU102,AU104)</f>
        <v>#NUM!</v>
      </c>
      <c r="AV106" s="144" t="e">
        <f ca="1">_xll.qlInstrumentNPV(AV102,AV104)</f>
        <v>#VALUE!</v>
      </c>
      <c r="AW106" s="144" t="e">
        <f ca="1">_xll.qlInstrumentNPV(AW102,AW104)</f>
        <v>#NUM!</v>
      </c>
      <c r="AX106" s="144" t="e">
        <f ca="1">_xll.qlInstrumentNPV(AX102,AX104)</f>
        <v>#VALUE!</v>
      </c>
      <c r="AY106" s="144" t="e">
        <f ca="1">_xll.qlInstrumentNPV(AY102,AY104)</f>
        <v>#NUM!</v>
      </c>
      <c r="AZ106" s="144" t="e">
        <f ca="1">_xll.qlInstrumentNPV(AZ102,AZ104)</f>
        <v>#NUM!</v>
      </c>
      <c r="BA106" s="144" t="e">
        <f ca="1">_xll.qlInstrumentNPV(BA102,BA104)</f>
        <v>#NUM!</v>
      </c>
      <c r="BB106" s="144" t="e">
        <f ca="1">_xll.qlInstrumentNPV(BB102,BB104)</f>
        <v>#NUM!</v>
      </c>
      <c r="BC106" s="144" t="e">
        <f ca="1">_xll.qlInstrumentNPV(BC102,BC104)</f>
        <v>#NUM!</v>
      </c>
      <c r="BD106" s="144" t="e">
        <f ca="1">_xll.qlInstrumentNPV(BD102,BD104)</f>
        <v>#NUM!</v>
      </c>
      <c r="BE106" s="144" t="e">
        <f ca="1">_xll.qlInstrumentNPV(BE102,BE104)</f>
        <v>#NUM!</v>
      </c>
      <c r="BF106" s="144" t="e">
        <f ca="1">_xll.qlInstrumentNPV(BF102,BF104)</f>
        <v>#NUM!</v>
      </c>
      <c r="BG106" s="144" t="e">
        <f ca="1">_xll.qlInstrumentNPV(BG102,BG104)</f>
        <v>#NUM!</v>
      </c>
      <c r="BH106" s="144" t="e">
        <f ca="1">_xll.qlInstrumentNPV(BH102,BH104)</f>
        <v>#VALUE!</v>
      </c>
      <c r="BI106" s="144" t="e">
        <f ca="1">_xll.qlInstrumentNPV(BI102,BI104)</f>
        <v>#NUM!</v>
      </c>
      <c r="BJ106" s="144" t="e">
        <f ca="1">_xll.qlInstrumentNPV(BJ102,BJ104)</f>
        <v>#VALUE!</v>
      </c>
      <c r="BK106" s="144" t="e">
        <f ca="1">_xll.qlInstrumentNPV(BK102,BK104)</f>
        <v>#VALUE!</v>
      </c>
      <c r="BL106" s="144" t="e">
        <f ca="1">_xll.qlInstrumentNPV(BL102,BL104)</f>
        <v>#VALUE!</v>
      </c>
      <c r="BM106" s="144" t="e">
        <f ca="1">_xll.qlInstrumentNPV(BM102,BM104)</f>
        <v>#NUM!</v>
      </c>
      <c r="BN106" s="144" t="e">
        <f ca="1">_xll.qlInstrumentNPV(BN102,BN104)</f>
        <v>#NUM!</v>
      </c>
      <c r="BO106" s="144" t="e">
        <f ca="1">_xll.qlInstrumentNPV(BO102,BO104)</f>
        <v>#VALUE!</v>
      </c>
      <c r="BP106" s="144" t="e">
        <f ca="1">_xll.qlInstrumentNPV(BP102,BP104)</f>
        <v>#NUM!</v>
      </c>
      <c r="BQ106" s="144" t="e">
        <f ca="1">_xll.qlInstrumentNPV(BQ102,BQ104)</f>
        <v>#NUM!</v>
      </c>
      <c r="BR106" s="144" t="e">
        <f ca="1">_xll.qlInstrumentNPV(BR102,BR104)</f>
        <v>#VALUE!</v>
      </c>
      <c r="BS106" s="144" t="e">
        <f ca="1">_xll.qlInstrumentNPV(BS102,BS104)</f>
        <v>#VALUE!</v>
      </c>
      <c r="BT106" s="144" t="e">
        <f ca="1">_xll.qlInstrumentNPV(BT102,BT104)</f>
        <v>#NUM!</v>
      </c>
      <c r="BU106" s="144" t="e">
        <f ca="1">_xll.qlInstrumentNPV(BU102,BU104)</f>
        <v>#NUM!</v>
      </c>
      <c r="BV106" s="144" t="e">
        <f ca="1">_xll.qlInstrumentNPV(BV102,BV104)</f>
        <v>#NUM!</v>
      </c>
      <c r="BW106" s="144" t="e">
        <f ca="1">_xll.qlInstrumentNPV(BW102,BW104)</f>
        <v>#NUM!</v>
      </c>
      <c r="BX106" s="144" t="e">
        <f ca="1">_xll.qlInstrumentNPV(BX102,BX104)</f>
        <v>#NUM!</v>
      </c>
      <c r="BY106" s="144" t="e">
        <f ca="1">_xll.qlInstrumentNPV(BY102,BY104)</f>
        <v>#NUM!</v>
      </c>
      <c r="BZ106" s="144" t="e">
        <f ca="1">_xll.qlInstrumentNPV(BZ102,BZ104)</f>
        <v>#VALUE!</v>
      </c>
      <c r="CA106" s="144">
        <f ca="1">_xll.qlInstrumentNPV(CA102,CA104)</f>
        <v>691.18105236997906</v>
      </c>
      <c r="CB106" s="144" t="e">
        <f ca="1">_xll.qlInstrumentNPV(CB102,CB104)</f>
        <v>#NUM!</v>
      </c>
      <c r="CC106" s="144" t="e">
        <f ca="1">_xll.qlInstrumentNPV(CC102,CC104)</f>
        <v>#NUM!</v>
      </c>
      <c r="CD106" s="144" t="e">
        <f ca="1">_xll.qlInstrumentNPV(CD102,CD104)</f>
        <v>#NUM!</v>
      </c>
      <c r="CE106" s="144" t="e">
        <f ca="1">_xll.qlInstrumentNPV(CE102,CE104)</f>
        <v>#NUM!</v>
      </c>
      <c r="CF106" s="144" t="e">
        <f ca="1">_xll.qlInstrumentNPV(CF102,CF104)</f>
        <v>#NUM!</v>
      </c>
      <c r="CG106" s="144" t="e">
        <f ca="1">_xll.qlInstrumentNPV(CG102,CG104)</f>
        <v>#NUM!</v>
      </c>
      <c r="CH106" s="144" t="e">
        <f ca="1">_xll.qlInstrumentNPV(CH102,CH104)</f>
        <v>#VALUE!</v>
      </c>
      <c r="CI106" s="144" t="e">
        <f ca="1">_xll.qlInstrumentNPV(CI102,CI104)</f>
        <v>#VALUE!</v>
      </c>
      <c r="CJ106" s="144" t="e">
        <f ca="1">_xll.qlInstrumentNPV(CJ102,CJ104)</f>
        <v>#NUM!</v>
      </c>
      <c r="CK106" s="144" t="e">
        <f ca="1">_xll.qlInstrumentNPV(CK102,CK104)</f>
        <v>#NUM!</v>
      </c>
      <c r="CL106" s="144" t="e">
        <f ca="1">_xll.qlInstrumentNPV(CL102,CL104)</f>
        <v>#VALUE!</v>
      </c>
      <c r="CM106" s="144" t="e">
        <f ca="1">_xll.qlInstrumentNPV(CM102,CM104)</f>
        <v>#NUM!</v>
      </c>
      <c r="CN106" s="144" t="e">
        <f ca="1">_xll.qlInstrumentNPV(CN102,CN104)</f>
        <v>#NUM!</v>
      </c>
      <c r="CO106" s="144" t="e">
        <f ca="1">_xll.qlInstrumentNPV(CO102,CO104)</f>
        <v>#NUM!</v>
      </c>
      <c r="CP106" s="144" t="e">
        <f ca="1">_xll.qlInstrumentNPV(CP102,CP104)</f>
        <v>#NUM!</v>
      </c>
      <c r="CQ106" s="144" t="e">
        <f ca="1">_xll.qlInstrumentNPV(CQ102,CQ104)</f>
        <v>#VALUE!</v>
      </c>
      <c r="CR106" s="144" t="e">
        <f ca="1">_xll.qlInstrumentNPV(CR102,CR104)</f>
        <v>#NUM!</v>
      </c>
      <c r="CS106" s="144" t="e">
        <f ca="1">_xll.qlInstrumentNPV(CS102,CS104)</f>
        <v>#NUM!</v>
      </c>
      <c r="CT106" s="144">
        <f ca="1">_xll.qlInstrumentNPV(CT102,CT104)</f>
        <v>776.67168038666227</v>
      </c>
      <c r="CU106" s="144" t="e">
        <f ca="1">_xll.qlInstrumentNPV(CU102,CU104)</f>
        <v>#NUM!</v>
      </c>
      <c r="CV106" s="144" t="e">
        <f ca="1">_xll.qlInstrumentNPV(CV102,CV104)</f>
        <v>#NUM!</v>
      </c>
      <c r="CW106" s="144" t="e">
        <f ca="1">_xll.qlInstrumentNPV(CW102,CW104)</f>
        <v>#NUM!</v>
      </c>
      <c r="CX106" s="144" t="e">
        <f ca="1">_xll.qlInstrumentNPV(CX102,CX104)</f>
        <v>#NUM!</v>
      </c>
    </row>
    <row r="107" spans="2:102">
      <c r="B107" s="104" t="s">
        <v>256</v>
      </c>
      <c r="C107" s="141">
        <f t="array" aca="1" ref="C107" ca="1">_xll.qlRealHullWhiteModelCouponBondOption($DA$2,(C68-Curve!$D$6)/365,_xll.qlFixedRateBondOptionDirtyStrikes(C102),
(_xll.qlFixedRateBondOptionStartDates(C102)-Curve!$D$6)/365,(_xll.qlFixedRateBondOptionPayDates(C102)-Curve!$D$6)/365,
_xll.qlFixedRateBondOptionCashflowValues(C102),"Call",C106)</f>
        <v>30.186005426410251</v>
      </c>
      <c r="D107" s="141">
        <f t="array" aca="1" ref="D107" ca="1">_xll.qlRealHullWhiteModelCouponBondOption($DA$2,(D68-Curve!$D$6)/365,_xll.qlFixedRateBondOptionDirtyStrikes(D102),
(_xll.qlFixedRateBondOptionStartDates(D102)-Curve!$D$6)/365,(_xll.qlFixedRateBondOptionPayDates(D102)-Curve!$D$6)/365,
_xll.qlFixedRateBondOptionCashflowValues(D102),"Call",D106)</f>
        <v>44.9625419722801</v>
      </c>
      <c r="E107" s="141">
        <f t="array" aca="1" ref="E107" ca="1">_xll.qlRealHullWhiteModelCouponBondOption($DA$2,(E68-Curve!$D$6)/365,_xll.qlFixedRateBondOptionDirtyStrikes(E102),
(_xll.qlFixedRateBondOptionStartDates(E102)-Curve!$D$6)/365,(_xll.qlFixedRateBondOptionPayDates(E102)-Curve!$D$6)/365,
_xll.qlFixedRateBondOptionCashflowValues(E102),"Call",E106)</f>
        <v>57.063034897931921</v>
      </c>
      <c r="F107" s="141" t="e">
        <f t="array" aca="1" ref="F107" ca="1">_xll.qlRealHullWhiteModelCouponBondOption($DA$2,(F68-Curve!$D$6)/365,_xll.qlFixedRateBondOptionDirtyStrikes(F102),
(_xll.qlFixedRateBondOptionStartDates(F102)-Curve!$D$6)/365,(_xll.qlFixedRateBondOptionPayDates(F102)-Curve!$D$6)/365,
_xll.qlFixedRateBondOptionCashflowValues(F102),"Call",F106)</f>
        <v>#NUM!</v>
      </c>
      <c r="G107" s="141">
        <f t="array" aca="1" ref="G107" ca="1">_xll.qlRealHullWhiteModelCouponBondOption($DA$2,(G68-Curve!$D$6)/365,_xll.qlFixedRateBondOptionDirtyStrikes(G102),
(_xll.qlFixedRateBondOptionStartDates(G102)-Curve!$D$6)/365,(_xll.qlFixedRateBondOptionPayDates(G102)-Curve!$D$6)/365,
_xll.qlFixedRateBondOptionCashflowValues(G102),"Call",G106)</f>
        <v>75.103181254725186</v>
      </c>
      <c r="H107" s="141">
        <f t="array" aca="1" ref="H107" ca="1">_xll.qlRealHullWhiteModelCouponBondOption($DA$2,(H68-Curve!$D$6)/365,_xll.qlFixedRateBondOptionDirtyStrikes(H102),
(_xll.qlFixedRateBondOptionStartDates(H102)-Curve!$D$6)/365,(_xll.qlFixedRateBondOptionPayDates(H102)-Curve!$D$6)/365,
_xll.qlFixedRateBondOptionCashflowValues(H102),"Call",H106)</f>
        <v>81.997593595805583</v>
      </c>
      <c r="I107" s="141">
        <f t="array" aca="1" ref="I107" ca="1">_xll.qlRealHullWhiteModelCouponBondOption($DA$2,(I68-Curve!$D$6)/365,_xll.qlFixedRateBondOptionDirtyStrikes(I102),
(_xll.qlFixedRateBondOptionStartDates(I102)-Curve!$D$6)/365,(_xll.qlFixedRateBondOptionPayDates(I102)-Curve!$D$6)/365,
_xll.qlFixedRateBondOptionCashflowValues(I102),"Call",I106)</f>
        <v>88.519818873176149</v>
      </c>
      <c r="J107" s="141">
        <f t="array" aca="1" ref="J107" ca="1">_xll.qlRealHullWhiteModelCouponBondOption($DA$2,(J68-Curve!$D$6)/365,_xll.qlFixedRateBondOptionDirtyStrikes(J102),
(_xll.qlFixedRateBondOptionStartDates(J102)-Curve!$D$6)/365,(_xll.qlFixedRateBondOptionPayDates(J102)-Curve!$D$6)/365,
_xll.qlFixedRateBondOptionCashflowValues(J102),"Call",J106)</f>
        <v>93.041043595950114</v>
      </c>
      <c r="K107" s="141">
        <f t="array" aca="1" ref="K107" ca="1">_xll.qlRealHullWhiteModelCouponBondOption($DA$2,(K68-Curve!$D$6)/365,_xll.qlFixedRateBondOptionDirtyStrikes(K102),
(_xll.qlFixedRateBondOptionStartDates(K102)-Curve!$D$6)/365,(_xll.qlFixedRateBondOptionPayDates(K102)-Curve!$D$6)/365,
_xll.qlFixedRateBondOptionCashflowValues(K102),"Call",K106)</f>
        <v>96.018925995416524</v>
      </c>
      <c r="L107" s="141">
        <f t="array" aca="1" ref="L107" ca="1">_xll.qlRealHullWhiteModelCouponBondOption($DA$2,(L68-Curve!$D$6)/365,_xll.qlFixedRateBondOptionDirtyStrikes(L102),
(_xll.qlFixedRateBondOptionStartDates(L102)-Curve!$D$6)/365,(_xll.qlFixedRateBondOptionPayDates(L102)-Curve!$D$6)/365,
_xll.qlFixedRateBondOptionCashflowValues(L102),"Call",L106)</f>
        <v>99.05793582348484</v>
      </c>
      <c r="M107" s="141">
        <f t="array" aca="1" ref="M107" ca="1">_xll.qlRealHullWhiteModelCouponBondOption($DA$2,(M68-Curve!$D$6)/365,_xll.qlFixedRateBondOptionDirtyStrikes(M102),
(_xll.qlFixedRateBondOptionStartDates(M102)-Curve!$D$6)/365,(_xll.qlFixedRateBondOptionPayDates(M102)-Curve!$D$6)/365,
_xll.qlFixedRateBondOptionCashflowValues(M102),"Call",M106)</f>
        <v>59.679214401293514</v>
      </c>
      <c r="N107" s="141">
        <f t="array" aca="1" ref="N107" ca="1">_xll.qlRealHullWhiteModelCouponBondOption($DA$2,(N68-Curve!$D$6)/365,_xll.qlFixedRateBondOptionDirtyStrikes(N102),
(_xll.qlFixedRateBondOptionStartDates(N102)-Curve!$D$6)/365,(_xll.qlFixedRateBondOptionPayDates(N102)-Curve!$D$6)/365,
_xll.qlFixedRateBondOptionCashflowValues(N102),"Call",N106)</f>
        <v>88.926025076386864</v>
      </c>
      <c r="O107" s="141">
        <f t="array" aca="1" ref="O107" ca="1">_xll.qlRealHullWhiteModelCouponBondOption($DA$2,(O68-Curve!$D$6)/365,_xll.qlFixedRateBondOptionDirtyStrikes(O102),
(_xll.qlFixedRateBondOptionStartDates(O102)-Curve!$D$6)/365,(_xll.qlFixedRateBondOptionPayDates(O102)-Curve!$D$6)/365,
_xll.qlFixedRateBondOptionCashflowValues(O102),"Call",O106)</f>
        <v>112.86651271616529</v>
      </c>
      <c r="P107" s="141">
        <f t="array" aca="1" ref="P107" ca="1">_xll.qlRealHullWhiteModelCouponBondOption($DA$2,(P68-Curve!$D$6)/365,_xll.qlFixedRateBondOptionDirtyStrikes(P102),
(_xll.qlFixedRateBondOptionStartDates(P102)-Curve!$D$6)/365,(_xll.qlFixedRateBondOptionPayDates(P102)-Curve!$D$6)/365,
_xll.qlFixedRateBondOptionCashflowValues(P102),"Call",P106)</f>
        <v>132.61264789011076</v>
      </c>
      <c r="Q107" s="141">
        <f t="array" aca="1" ref="Q107" ca="1">_xll.qlRealHullWhiteModelCouponBondOption($DA$2,(Q68-Curve!$D$6)/365,_xll.qlFixedRateBondOptionDirtyStrikes(Q102),
(_xll.qlFixedRateBondOptionStartDates(Q102)-Curve!$D$6)/365,(_xll.qlFixedRateBondOptionPayDates(Q102)-Curve!$D$6)/365,
_xll.qlFixedRateBondOptionCashflowValues(Q102),"Call",Q106)</f>
        <v>148.26723176517382</v>
      </c>
      <c r="R107" s="141">
        <f t="array" aca="1" ref="R107" ca="1">_xll.qlRealHullWhiteModelCouponBondOption($DA$2,(R68-Curve!$D$6)/365,_xll.qlFixedRateBondOptionDirtyStrikes(R102),
(_xll.qlFixedRateBondOptionStartDates(R102)-Curve!$D$6)/365,(_xll.qlFixedRateBondOptionPayDates(R102)-Curve!$D$6)/365,
_xll.qlFixedRateBondOptionCashflowValues(R102),"Call",R106)</f>
        <v>162.0694230551579</v>
      </c>
      <c r="S107" s="141">
        <f t="array" aca="1" ref="S107" ca="1">_xll.qlRealHullWhiteModelCouponBondOption($DA$2,(S68-Curve!$D$6)/365,_xll.qlFixedRateBondOptionDirtyStrikes(S102),
(_xll.qlFixedRateBondOptionStartDates(S102)-Curve!$D$6)/365,(_xll.qlFixedRateBondOptionPayDates(S102)-Curve!$D$6)/365,
_xll.qlFixedRateBondOptionCashflowValues(S102),"Call",S106)</f>
        <v>173.62993766178027</v>
      </c>
      <c r="T107" s="141">
        <f t="array" aca="1" ref="T107" ca="1">_xll.qlRealHullWhiteModelCouponBondOption($DA$2,(T68-Curve!$D$6)/365,_xll.qlFixedRateBondOptionDirtyStrikes(T102),
(_xll.qlFixedRateBondOptionStartDates(T102)-Curve!$D$6)/365,(_xll.qlFixedRateBondOptionPayDates(T102)-Curve!$D$6)/365,
_xll.qlFixedRateBondOptionCashflowValues(T102),"Call",T106)</f>
        <v>182.32892165840721</v>
      </c>
      <c r="U107" s="141">
        <f t="array" aca="1" ref="U107" ca="1">_xll.qlRealHullWhiteModelCouponBondOption($DA$2,(U68-Curve!$D$6)/365,_xll.qlFixedRateBondOptionDirtyStrikes(U102),
(_xll.qlFixedRateBondOptionStartDates(U102)-Curve!$D$6)/365,(_xll.qlFixedRateBondOptionPayDates(U102)-Curve!$D$6)/365,
_xll.qlFixedRateBondOptionCashflowValues(U102),"Call",U106)</f>
        <v>188.80633523753082</v>
      </c>
      <c r="V107" s="141">
        <f t="array" aca="1" ref="V107" ca="1">_xll.qlRealHullWhiteModelCouponBondOption($DA$2,(V68-Curve!$D$6)/365,_xll.qlFixedRateBondOptionDirtyStrikes(V102),
(_xll.qlFixedRateBondOptionStartDates(V102)-Curve!$D$6)/365,(_xll.qlFixedRateBondOptionPayDates(V102)-Curve!$D$6)/365,
_xll.qlFixedRateBondOptionCashflowValues(V102),"Call",V106)</f>
        <v>194.69668259012775</v>
      </c>
      <c r="W107" s="141">
        <f t="array" aca="1" ref="W107" ca="1">_xll.qlRealHullWhiteModelCouponBondOption($DA$2,(W68-Curve!$D$6)/365,_xll.qlFixedRateBondOptionDirtyStrikes(W102),
(_xll.qlFixedRateBondOptionStartDates(W102)-Curve!$D$6)/365,(_xll.qlFixedRateBondOptionPayDates(W102)-Curve!$D$6)/365,
_xll.qlFixedRateBondOptionCashflowValues(W102),"Call",W106)</f>
        <v>88.797056515679756</v>
      </c>
      <c r="X107" s="141">
        <f t="array" aca="1" ref="X107" ca="1">_xll.qlRealHullWhiteModelCouponBondOption($DA$2,(X68-Curve!$D$6)/365,_xll.qlFixedRateBondOptionDirtyStrikes(X102),
(_xll.qlFixedRateBondOptionStartDates(X102)-Curve!$D$6)/365,(_xll.qlFixedRateBondOptionPayDates(X102)-Curve!$D$6)/365,
_xll.qlFixedRateBondOptionCashflowValues(X102),"Call",X106)</f>
        <v>132.33070740706123</v>
      </c>
      <c r="Y107" s="141">
        <f t="array" aca="1" ref="Y107" ca="1">_xll.qlRealHullWhiteModelCouponBondOption($DA$2,(Y68-Curve!$D$6)/365,_xll.qlFixedRateBondOptionDirtyStrikes(Y102),
(_xll.qlFixedRateBondOptionStartDates(Y102)-Curve!$D$6)/365,(_xll.qlFixedRateBondOptionPayDates(Y102)-Curve!$D$6)/365,
_xll.qlFixedRateBondOptionCashflowValues(Y102),"Call",Y106)</f>
        <v>167.76399821816986</v>
      </c>
      <c r="Z107" s="141">
        <f t="array" aca="1" ref="Z107" ca="1">_xll.qlRealHullWhiteModelCouponBondOption($DA$2,(Z68-Curve!$D$6)/365,_xll.qlFixedRateBondOptionDirtyStrikes(Z102),
(_xll.qlFixedRateBondOptionStartDates(Z102)-Curve!$D$6)/365,(_xll.qlFixedRateBondOptionPayDates(Z102)-Curve!$D$6)/365,
_xll.qlFixedRateBondOptionCashflowValues(Z102),"Call",Z106)</f>
        <v>196.28119138251719</v>
      </c>
      <c r="AA107" s="141" t="e">
        <f t="array" aca="1" ref="AA107" ca="1">_xll.qlRealHullWhiteModelCouponBondOption($DA$2,(AA68-Curve!$D$6)/365,_xll.qlFixedRateBondOptionDirtyStrikes(AA102),
(_xll.qlFixedRateBondOptionStartDates(AA102)-Curve!$D$6)/365,(_xll.qlFixedRateBondOptionPayDates(AA102)-Curve!$D$6)/365,
_xll.qlFixedRateBondOptionCashflowValues(AA102),"Call",AA106)</f>
        <v>#NUM!</v>
      </c>
      <c r="AB107" s="141">
        <f t="array" aca="1" ref="AB107" ca="1">_xll.qlRealHullWhiteModelCouponBondOption($DA$2,(AB68-Curve!$D$6)/365,_xll.qlFixedRateBondOptionDirtyStrikes(AB102),
(_xll.qlFixedRateBondOptionStartDates(AB102)-Curve!$D$6)/365,(_xll.qlFixedRateBondOptionPayDates(AB102)-Curve!$D$6)/365,
_xll.qlFixedRateBondOptionCashflowValues(AB102),"Call",AB106)</f>
        <v>239.40622290879304</v>
      </c>
      <c r="AC107" s="141">
        <f t="array" aca="1" ref="AC107" ca="1">_xll.qlRealHullWhiteModelCouponBondOption($DA$2,(AC68-Curve!$D$6)/365,_xll.qlFixedRateBondOptionDirtyStrikes(AC102),
(_xll.qlFixedRateBondOptionStartDates(AC102)-Curve!$D$6)/365,(_xll.qlFixedRateBondOptionPayDates(AC102)-Curve!$D$6)/365,
_xll.qlFixedRateBondOptionCashflowValues(AC102),"Call",AC106)</f>
        <v>256.60605780309783</v>
      </c>
      <c r="AD107" s="141">
        <f t="array" aca="1" ref="AD107" ca="1">_xll.qlRealHullWhiteModelCouponBondOption($DA$2,(AD68-Curve!$D$6)/365,_xll.qlFixedRateBondOptionDirtyStrikes(AD102),
(_xll.qlFixedRateBondOptionStartDates(AD102)-Curve!$D$6)/365,(_xll.qlFixedRateBondOptionPayDates(AD102)-Curve!$D$6)/365,
_xll.qlFixedRateBondOptionCashflowValues(AD102),"Call",AD106)</f>
        <v>269.02570560231163</v>
      </c>
      <c r="AE107" s="141">
        <f t="array" aca="1" ref="AE107" ca="1">_xll.qlRealHullWhiteModelCouponBondOption($DA$2,(AE68-Curve!$D$6)/365,_xll.qlFixedRateBondOptionDirtyStrikes(AE102),
(_xll.qlFixedRateBondOptionStartDates(AE102)-Curve!$D$6)/365,(_xll.qlFixedRateBondOptionPayDates(AE102)-Curve!$D$6)/365,
_xll.qlFixedRateBondOptionCashflowValues(AE102),"Call",AE106)</f>
        <v>279.3253207730524</v>
      </c>
      <c r="AF107" s="141">
        <f t="array" aca="1" ref="AF107" ca="1">_xll.qlRealHullWhiteModelCouponBondOption($DA$2,(AF68-Curve!$D$6)/365,_xll.qlFixedRateBondOptionDirtyStrikes(AF102),
(_xll.qlFixedRateBondOptionStartDates(AF102)-Curve!$D$6)/365,(_xll.qlFixedRateBondOptionPayDates(AF102)-Curve!$D$6)/365,
_xll.qlFixedRateBondOptionCashflowValues(AF102),"Call",AF106)</f>
        <v>287.96694545700342</v>
      </c>
      <c r="AG107" s="141">
        <f t="array" aca="1" ref="AG107" ca="1">_xll.qlRealHullWhiteModelCouponBondOption($DA$2,(AG68-Curve!$D$6)/365,_xll.qlFixedRateBondOptionDirtyStrikes(AG102),
(_xll.qlFixedRateBondOptionStartDates(AG102)-Curve!$D$6)/365,(_xll.qlFixedRateBondOptionPayDates(AG102)-Curve!$D$6)/365,
_xll.qlFixedRateBondOptionCashflowValues(AG102),"Call",AG106)</f>
        <v>117.58420354428233</v>
      </c>
      <c r="AH107" s="141">
        <f t="array" aca="1" ref="AH107" ca="1">_xll.qlRealHullWhiteModelCouponBondOption($DA$2,(AH68-Curve!$D$6)/365,_xll.qlFixedRateBondOptionDirtyStrikes(AH102),
(_xll.qlFixedRateBondOptionStartDates(AH102)-Curve!$D$6)/365,(_xll.qlFixedRateBondOptionPayDates(AH102)-Curve!$D$6)/365,
_xll.qlFixedRateBondOptionCashflowValues(AH102),"Call",AH106)</f>
        <v>174.95723193939065</v>
      </c>
      <c r="AI107" s="141" t="e">
        <f t="array" aca="1" ref="AI107" ca="1">_xll.qlRealHullWhiteModelCouponBondOption($DA$2,(AI68-Curve!$D$6)/365,_xll.qlFixedRateBondOptionDirtyStrikes(AI102),
(_xll.qlFixedRateBondOptionStartDates(AI102)-Curve!$D$6)/365,(_xll.qlFixedRateBondOptionPayDates(AI102)-Curve!$D$6)/365,
_xll.qlFixedRateBondOptionCashflowValues(AI102),"Call",AI106)</f>
        <v>#NUM!</v>
      </c>
      <c r="AJ107" s="141">
        <f t="array" aca="1" ref="AJ107" ca="1">_xll.qlRealHullWhiteModelCouponBondOption($DA$2,(AJ68-Curve!$D$6)/365,_xll.qlFixedRateBondOptionDirtyStrikes(AJ102),
(_xll.qlFixedRateBondOptionStartDates(AJ102)-Curve!$D$6)/365,(_xll.qlFixedRateBondOptionPayDates(AJ102)-Curve!$D$6)/365,
_xll.qlFixedRateBondOptionCashflowValues(AJ102),"Call",AJ106)</f>
        <v>258.30679507838209</v>
      </c>
      <c r="AK107" s="141" t="e">
        <f t="array" aca="1" ref="AK107" ca="1">_xll.qlRealHullWhiteModelCouponBondOption($DA$2,(AK68-Curve!$D$6)/365,_xll.qlFixedRateBondOptionDirtyStrikes(AK102),
(_xll.qlFixedRateBondOptionStartDates(AK102)-Curve!$D$6)/365,(_xll.qlFixedRateBondOptionPayDates(AK102)-Curve!$D$6)/365,
_xll.qlFixedRateBondOptionCashflowValues(AK102),"Call",AK106)</f>
        <v>#NUM!</v>
      </c>
      <c r="AL107" s="141">
        <f t="array" aca="1" ref="AL107" ca="1">_xll.qlRealHullWhiteModelCouponBondOption($DA$2,(AL68-Curve!$D$6)/365,_xll.qlFixedRateBondOptionDirtyStrikes(AL102),
(_xll.qlFixedRateBondOptionStartDates(AL102)-Curve!$D$6)/365,(_xll.qlFixedRateBondOptionPayDates(AL102)-Curve!$D$6)/365,
_xll.qlFixedRateBondOptionCashflowValues(AL102),"Call",AL106)</f>
        <v>314.75658348679838</v>
      </c>
      <c r="AM107" s="141">
        <f t="array" aca="1" ref="AM107" ca="1">_xll.qlRealHullWhiteModelCouponBondOption($DA$2,(AM68-Curve!$D$6)/365,_xll.qlFixedRateBondOptionDirtyStrikes(AM102),
(_xll.qlFixedRateBondOptionStartDates(AM102)-Curve!$D$6)/365,(_xll.qlFixedRateBondOptionPayDates(AM102)-Curve!$D$6)/365,
_xll.qlFixedRateBondOptionCashflowValues(AM102),"Call",AM106)</f>
        <v>337.11905245799545</v>
      </c>
      <c r="AN107" s="141">
        <f t="array" aca="1" ref="AN107" ca="1">_xll.qlRealHullWhiteModelCouponBondOption($DA$2,(AN68-Curve!$D$6)/365,_xll.qlFixedRateBondOptionDirtyStrikes(AN102),
(_xll.qlFixedRateBondOptionStartDates(AN102)-Curve!$D$6)/365,(_xll.qlFixedRateBondOptionPayDates(AN102)-Curve!$D$6)/365,
_xll.qlFixedRateBondOptionCashflowValues(AN102),"Call",AN106)</f>
        <v>353.56818454122543</v>
      </c>
      <c r="AO107" s="141">
        <f t="array" aca="1" ref="AO107" ca="1">_xll.qlRealHullWhiteModelCouponBondOption($DA$2,(AO68-Curve!$D$6)/365,_xll.qlFixedRateBondOptionDirtyStrikes(AO102),
(_xll.qlFixedRateBondOptionStartDates(AO102)-Curve!$D$6)/365,(_xll.qlFixedRateBondOptionPayDates(AO102)-Curve!$D$6)/365,
_xll.qlFixedRateBondOptionCashflowValues(AO102),"Call",AO106)</f>
        <v>366.40370003222256</v>
      </c>
      <c r="AP107" s="141">
        <f t="array" aca="1" ref="AP107" ca="1">_xll.qlRealHullWhiteModelCouponBondOption($DA$2,(AP68-Curve!$D$6)/365,_xll.qlFixedRateBondOptionDirtyStrikes(AP102),
(_xll.qlFixedRateBondOptionStartDates(AP102)-Curve!$D$6)/365,(_xll.qlFixedRateBondOptionPayDates(AP102)-Curve!$D$6)/365,
_xll.qlFixedRateBondOptionCashflowValues(AP102),"Call",AP106)</f>
        <v>377.67239049403821</v>
      </c>
      <c r="AQ107" s="141">
        <f t="array" aca="1" ref="AQ107" ca="1">_xll.qlRealHullWhiteModelCouponBondOption($DA$2,(AQ68-Curve!$D$6)/365,_xll.qlFixedRateBondOptionDirtyStrikes(AQ102),
(_xll.qlFixedRateBondOptionStartDates(AQ102)-Curve!$D$6)/365,(_xll.qlFixedRateBondOptionPayDates(AQ102)-Curve!$D$6)/365,
_xll.qlFixedRateBondOptionCashflowValues(AQ102),"Call",AQ106)</f>
        <v>145.65573186920653</v>
      </c>
      <c r="AR107" s="141">
        <f t="array" aca="1" ref="AR107" ca="1">_xll.qlRealHullWhiteModelCouponBondOption($DA$2,(AR68-Curve!$D$6)/365,_xll.qlFixedRateBondOptionDirtyStrikes(AR102),
(_xll.qlFixedRateBondOptionStartDates(AR102)-Curve!$D$6)/365,(_xll.qlFixedRateBondOptionPayDates(AR102)-Curve!$D$6)/365,
_xll.qlFixedRateBondOptionCashflowValues(AR102),"Call",AR106)</f>
        <v>216.17320882952004</v>
      </c>
      <c r="AS107" s="141" t="e">
        <f t="array" aca="1" ref="AS107" ca="1">_xll.qlRealHullWhiteModelCouponBondOption($DA$2,(AS68-Curve!$D$6)/365,_xll.qlFixedRateBondOptionDirtyStrikes(AS102),
(_xll.qlFixedRateBondOptionStartDates(AS102)-Curve!$D$6)/365,(_xll.qlFixedRateBondOptionPayDates(AS102)-Curve!$D$6)/365,
_xll.qlFixedRateBondOptionCashflowValues(AS102),"Call",AS106)</f>
        <v>#NUM!</v>
      </c>
      <c r="AT107" s="141">
        <f t="array" aca="1" ref="AT107" ca="1">_xll.qlRealHullWhiteModelCouponBondOption($DA$2,(AT68-Curve!$D$6)/365,_xll.qlFixedRateBondOptionDirtyStrikes(AT102),
(_xll.qlFixedRateBondOptionStartDates(AT102)-Curve!$D$6)/365,(_xll.qlFixedRateBondOptionPayDates(AT102)-Curve!$D$6)/365,
_xll.qlFixedRateBondOptionCashflowValues(AT102),"Call",AT106)</f>
        <v>318.90415181428017</v>
      </c>
      <c r="AU107" s="141">
        <f t="array" aca="1" ref="AU107" ca="1">_xll.qlRealHullWhiteModelCouponBondOption($DA$2,(AU68-Curve!$D$6)/365,_xll.qlFixedRateBondOptionDirtyStrikes(AU102),
(_xll.qlFixedRateBondOptionStartDates(AU102)-Curve!$D$6)/365,(_xll.qlFixedRateBondOptionPayDates(AU102)-Curve!$D$6)/365,
_xll.qlFixedRateBondOptionCashflowValues(AU102),"Call",AU106)</f>
        <v>356.63985262350377</v>
      </c>
      <c r="AV107" s="141">
        <f t="array" aca="1" ref="AV107" ca="1">_xll.qlRealHullWhiteModelCouponBondOption($DA$2,(AV68-Curve!$D$6)/365,_xll.qlFixedRateBondOptionDirtyStrikes(AV102),
(_xll.qlFixedRateBondOptionStartDates(AV102)-Curve!$D$6)/365,(_xll.qlFixedRateBondOptionPayDates(AV102)-Curve!$D$6)/365,
_xll.qlFixedRateBondOptionCashflowValues(AV102),"Call",AV106)</f>
        <v>387.82086471418336</v>
      </c>
      <c r="AW107" s="141">
        <f t="array" aca="1" ref="AW107" ca="1">_xll.qlRealHullWhiteModelCouponBondOption($DA$2,(AW68-Curve!$D$6)/365,_xll.qlFixedRateBondOptionDirtyStrikes(AW102),
(_xll.qlFixedRateBondOptionStartDates(AW102)-Curve!$D$6)/365,(_xll.qlFixedRateBondOptionPayDates(AW102)-Curve!$D$6)/365,
_xll.qlFixedRateBondOptionCashflowValues(AW102),"Call",AW106)</f>
        <v>415.18398633422862</v>
      </c>
      <c r="AX107" s="141">
        <f t="array" aca="1" ref="AX107" ca="1">_xll.qlRealHullWhiteModelCouponBondOption($DA$2,(AX68-Curve!$D$6)/365,_xll.qlFixedRateBondOptionDirtyStrikes(AX102),
(_xll.qlFixedRateBondOptionStartDates(AX102)-Curve!$D$6)/365,(_xll.qlFixedRateBondOptionPayDates(AX102)-Curve!$D$6)/365,
_xll.qlFixedRateBondOptionCashflowValues(AX102),"Call",AX106)</f>
        <v>434.88362455050265</v>
      </c>
      <c r="AY107" s="141">
        <f t="array" aca="1" ref="AY107" ca="1">_xll.qlRealHullWhiteModelCouponBondOption($DA$2,(AY68-Curve!$D$6)/365,_xll.qlFixedRateBondOptionDirtyStrikes(AY102),
(_xll.qlFixedRateBondOptionStartDates(AY102)-Curve!$D$6)/365,(_xll.qlFixedRateBondOptionPayDates(AY102)-Curve!$D$6)/365,
_xll.qlFixedRateBondOptionCashflowValues(AY102),"Call",AY106)</f>
        <v>451.06217115143784</v>
      </c>
      <c r="AZ107" s="141">
        <f t="array" aca="1" ref="AZ107" ca="1">_xll.qlRealHullWhiteModelCouponBondOption($DA$2,(AZ68-Curve!$D$6)/365,_xll.qlFixedRateBondOptionDirtyStrikes(AZ102),
(_xll.qlFixedRateBondOptionStartDates(AZ102)-Curve!$D$6)/365,(_xll.qlFixedRateBondOptionPayDates(AZ102)-Curve!$D$6)/365,
_xll.qlFixedRateBondOptionCashflowValues(AZ102),"Call",AZ106)</f>
        <v>464.92674667205438</v>
      </c>
      <c r="BA107" s="141">
        <f t="array" aca="1" ref="BA107" ca="1">_xll.qlRealHullWhiteModelCouponBondOption($DA$2,(BA68-Curve!$D$6)/365,_xll.qlFixedRateBondOptionDirtyStrikes(BA102),
(_xll.qlFixedRateBondOptionStartDates(BA102)-Curve!$D$6)/365,(_xll.qlFixedRateBondOptionPayDates(BA102)-Curve!$D$6)/365,
_xll.qlFixedRateBondOptionCashflowValues(BA102),"Call",BA106)</f>
        <v>172.97974727916255</v>
      </c>
      <c r="BB107" s="141">
        <f t="array" aca="1" ref="BB107" ca="1">_xll.qlRealHullWhiteModelCouponBondOption($DA$2,(BB68-Curve!$D$6)/365,_xll.qlFixedRateBondOptionDirtyStrikes(BB102),
(_xll.qlFixedRateBondOptionStartDates(BB102)-Curve!$D$6)/365,(_xll.qlFixedRateBondOptionPayDates(BB102)-Curve!$D$6)/365,
_xll.qlFixedRateBondOptionCashflowValues(BB102),"Call",BB106)</f>
        <v>256.21992855875794</v>
      </c>
      <c r="BC107" s="141">
        <f t="array" aca="1" ref="BC107" ca="1">_xll.qlRealHullWhiteModelCouponBondOption($DA$2,(BC68-Curve!$D$6)/365,_xll.qlFixedRateBondOptionDirtyStrikes(BC102),
(_xll.qlFixedRateBondOptionStartDates(BC102)-Curve!$D$6)/365,(_xll.qlFixedRateBondOptionPayDates(BC102)-Curve!$D$6)/365,
_xll.qlFixedRateBondOptionCashflowValues(BC102),"Call",BC106)</f>
        <v>323.13810296941307</v>
      </c>
      <c r="BD107" s="141">
        <f t="array" aca="1" ref="BD107" ca="1">_xll.qlRealHullWhiteModelCouponBondOption($DA$2,(BD68-Curve!$D$6)/365,_xll.qlFixedRateBondOptionDirtyStrikes(BD102),
(_xll.qlFixedRateBondOptionStartDates(BD102)-Curve!$D$6)/365,(_xll.qlFixedRateBondOptionPayDates(BD102)-Curve!$D$6)/365,
_xll.qlFixedRateBondOptionCashflowValues(BD102),"Call",BD106)</f>
        <v>377.55627050238581</v>
      </c>
      <c r="BE107" s="141">
        <f t="array" aca="1" ref="BE107" ca="1">_xll.qlRealHullWhiteModelCouponBondOption($DA$2,(BE68-Curve!$D$6)/365,_xll.qlFixedRateBondOptionDirtyStrikes(BE102),
(_xll.qlFixedRateBondOptionStartDates(BE102)-Curve!$D$6)/365,(_xll.qlFixedRateBondOptionPayDates(BE102)-Curve!$D$6)/365,
_xll.qlFixedRateBondOptionCashflowValues(BE102),"Call",BE106)</f>
        <v>421.95667429505033</v>
      </c>
      <c r="BF107" s="141">
        <f t="array" aca="1" ref="BF107" ca="1">_xll.qlRealHullWhiteModelCouponBondOption($DA$2,(BF68-Curve!$D$6)/365,_xll.qlFixedRateBondOptionDirtyStrikes(BF102),
(_xll.qlFixedRateBondOptionStartDates(BF102)-Curve!$D$6)/365,(_xll.qlFixedRateBondOptionPayDates(BF102)-Curve!$D$6)/365,
_xll.qlFixedRateBondOptionCashflowValues(BF102),"Call",BF106)</f>
        <v>458.63707747426798</v>
      </c>
      <c r="BG107" s="141" t="e">
        <f t="array" aca="1" ref="BG107" ca="1">_xll.qlRealHullWhiteModelCouponBondOption($DA$2,(BG68-Curve!$D$6)/365,_xll.qlFixedRateBondOptionDirtyStrikes(BG102),
(_xll.qlFixedRateBondOptionStartDates(BG102)-Curve!$D$6)/365,(_xll.qlFixedRateBondOptionPayDates(BG102)-Curve!$D$6)/365,
_xll.qlFixedRateBondOptionCashflowValues(BG102),"Call",BG106)</f>
        <v>#NUM!</v>
      </c>
      <c r="BH107" s="141" t="e">
        <f t="array" aca="1" ref="BH107" ca="1">_xll.qlRealHullWhiteModelCouponBondOption($DA$2,(BH68-Curve!$D$6)/365,_xll.qlFixedRateBondOptionDirtyStrikes(BH102),
(_xll.qlFixedRateBondOptionStartDates(BH102)-Curve!$D$6)/365,(_xll.qlFixedRateBondOptionPayDates(BH102)-Curve!$D$6)/365,
_xll.qlFixedRateBondOptionCashflowValues(BH102),"Call",BH106)</f>
        <v>#NUM!</v>
      </c>
      <c r="BI107" s="141" t="e">
        <f t="array" aca="1" ref="BI107" ca="1">_xll.qlRealHullWhiteModelCouponBondOption($DA$2,(BI68-Curve!$D$6)/365,_xll.qlFixedRateBondOptionDirtyStrikes(BI102),
(_xll.qlFixedRateBondOptionStartDates(BI102)-Curve!$D$6)/365,(_xll.qlFixedRateBondOptionPayDates(BI102)-Curve!$D$6)/365,
_xll.qlFixedRateBondOptionCashflowValues(BI102),"Call",BI106)</f>
        <v>#NUM!</v>
      </c>
      <c r="BJ107" s="141">
        <f t="array" aca="1" ref="BJ107" ca="1">_xll.qlRealHullWhiteModelCouponBondOption($DA$2,(BJ68-Curve!$D$6)/365,_xll.qlFixedRateBondOptionDirtyStrikes(BJ102),
(_xll.qlFixedRateBondOptionStartDates(BJ102)-Curve!$D$6)/365,(_xll.qlFixedRateBondOptionPayDates(BJ102)-Curve!$D$6)/365,
_xll.qlFixedRateBondOptionCashflowValues(BJ102),"Call",BJ106)</f>
        <v>549.56770289207316</v>
      </c>
      <c r="BK107" s="141">
        <f t="array" aca="1" ref="BK107" ca="1">_xll.qlRealHullWhiteModelCouponBondOption($DA$2,(BK68-Curve!$D$6)/365,_xll.qlFixedRateBondOptionDirtyStrikes(BK102),
(_xll.qlFixedRateBondOptionStartDates(BK102)-Curve!$D$6)/365,(_xll.qlFixedRateBondOptionPayDates(BK102)-Curve!$D$6)/365,
_xll.qlFixedRateBondOptionCashflowValues(BK102),"Call",BK106)</f>
        <v>199.63302659265287</v>
      </c>
      <c r="BL107" s="141">
        <f t="array" aca="1" ref="BL107" ca="1">_xll.qlRealHullWhiteModelCouponBondOption($DA$2,(BL68-Curve!$D$6)/365,_xll.qlFixedRateBondOptionDirtyStrikes(BL102),
(_xll.qlFixedRateBondOptionStartDates(BL102)-Curve!$D$6)/365,(_xll.qlFixedRateBondOptionPayDates(BL102)-Curve!$D$6)/365,
_xll.qlFixedRateBondOptionCashflowValues(BL102),"Call",BL106)</f>
        <v>295.2682140420855</v>
      </c>
      <c r="BM107" s="141">
        <f t="array" aca="1" ref="BM107" ca="1">_xll.qlRealHullWhiteModelCouponBondOption($DA$2,(BM68-Curve!$D$6)/365,_xll.qlFixedRateBondOptionDirtyStrikes(BM102),
(_xll.qlFixedRateBondOptionStartDates(BM102)-Curve!$D$6)/365,(_xll.qlFixedRateBondOptionPayDates(BM102)-Curve!$D$6)/365,
_xll.qlFixedRateBondOptionCashflowValues(BM102),"Call",BM106)</f>
        <v>371.97354349373904</v>
      </c>
      <c r="BN107" s="141">
        <f t="array" aca="1" ref="BN107" ca="1">_xll.qlRealHullWhiteModelCouponBondOption($DA$2,(BN68-Curve!$D$6)/365,_xll.qlFixedRateBondOptionDirtyStrikes(BN102),
(_xll.qlFixedRateBondOptionStartDates(BN102)-Curve!$D$6)/365,(_xll.qlFixedRateBondOptionPayDates(BN102)-Curve!$D$6)/365,
_xll.qlFixedRateBondOptionCashflowValues(BN102),"Call",BN106)</f>
        <v>434.35218180216071</v>
      </c>
      <c r="BO107" s="141">
        <f t="array" aca="1" ref="BO107" ca="1">_xll.qlRealHullWhiteModelCouponBondOption($DA$2,(BO68-Curve!$D$6)/365,_xll.qlFixedRateBondOptionDirtyStrikes(BO102),
(_xll.qlFixedRateBondOptionStartDates(BO102)-Curve!$D$6)/365,(_xll.qlFixedRateBondOptionPayDates(BO102)-Curve!$D$6)/365,
_xll.qlFixedRateBondOptionCashflowValues(BO102),"Call",BO106)</f>
        <v>485.24041622632564</v>
      </c>
      <c r="BP107" s="141">
        <f t="array" aca="1" ref="BP107" ca="1">_xll.qlRealHullWhiteModelCouponBondOption($DA$2,(BP68-Curve!$D$6)/365,_xll.qlFixedRateBondOptionDirtyStrikes(BP102),
(_xll.qlFixedRateBondOptionStartDates(BP102)-Curve!$D$6)/365,(_xll.qlFixedRateBondOptionPayDates(BP102)-Curve!$D$6)/365,
_xll.qlFixedRateBondOptionCashflowValues(BP102),"Call",BP106)</f>
        <v>527.82994533849967</v>
      </c>
      <c r="BQ107" s="141">
        <f t="array" aca="1" ref="BQ107" ca="1">_xll.qlRealHullWhiteModelCouponBondOption($DA$2,(BQ68-Curve!$D$6)/365,_xll.qlFixedRateBondOptionDirtyStrikes(BQ102),
(_xll.qlFixedRateBondOptionStartDates(BQ102)-Curve!$D$6)/365,(_xll.qlFixedRateBondOptionPayDates(BQ102)-Curve!$D$6)/365,
_xll.qlFixedRateBondOptionCashflowValues(BQ102),"Call",BQ106)</f>
        <v>564.62402364604645</v>
      </c>
      <c r="BR107" s="141" t="e">
        <f t="array" aca="1" ref="BR107" ca="1">_xll.qlRealHullWhiteModelCouponBondOption($DA$2,(BR68-Curve!$D$6)/365,_xll.qlFixedRateBondOptionDirtyStrikes(BR102),
(_xll.qlFixedRateBondOptionStartDates(BR102)-Curve!$D$6)/365,(_xll.qlFixedRateBondOptionPayDates(BR102)-Curve!$D$6)/365,
_xll.qlFixedRateBondOptionCashflowValues(BR102),"Call",BR106)</f>
        <v>#NUM!</v>
      </c>
      <c r="BS107" s="141">
        <f t="array" aca="1" ref="BS107" ca="1">_xll.qlRealHullWhiteModelCouponBondOption($DA$2,(BS68-Curve!$D$6)/365,_xll.qlFixedRateBondOptionDirtyStrikes(BS102),
(_xll.qlFixedRateBondOptionStartDates(BS102)-Curve!$D$6)/365,(_xll.qlFixedRateBondOptionPayDates(BS102)-Curve!$D$6)/365,
_xll.qlFixedRateBondOptionCashflowValues(BS102),"Call",BS106)</f>
        <v>612.8544362374754</v>
      </c>
      <c r="BT107" s="141">
        <f t="array" aca="1" ref="BT107" ca="1">_xll.qlRealHullWhiteModelCouponBondOption($DA$2,(BT68-Curve!$D$6)/365,_xll.qlFixedRateBondOptionDirtyStrikes(BT102),
(_xll.qlFixedRateBondOptionStartDates(BT102)-Curve!$D$6)/365,(_xll.qlFixedRateBondOptionPayDates(BT102)-Curve!$D$6)/365,
_xll.qlFixedRateBondOptionCashflowValues(BT102),"Call",BT106)</f>
        <v>631.92319951160641</v>
      </c>
      <c r="BU107" s="141">
        <f t="array" aca="1" ref="BU107" ca="1">_xll.qlRealHullWhiteModelCouponBondOption($DA$2,(BU68-Curve!$D$6)/365,_xll.qlFixedRateBondOptionDirtyStrikes(BU102),
(_xll.qlFixedRateBondOptionStartDates(BU102)-Curve!$D$6)/365,(_xll.qlFixedRateBondOptionPayDates(BU102)-Curve!$D$6)/365,
_xll.qlFixedRateBondOptionCashflowValues(BU102),"Call",BU106)</f>
        <v>225.24517495208624</v>
      </c>
      <c r="BV107" s="141">
        <f t="array" aca="1" ref="BV107" ca="1">_xll.qlRealHullWhiteModelCouponBondOption($DA$2,(BV68-Curve!$D$6)/365,_xll.qlFixedRateBondOptionDirtyStrikes(BV102),
(_xll.qlFixedRateBondOptionStartDates(BV102)-Curve!$D$6)/365,(_xll.qlFixedRateBondOptionPayDates(BV102)-Curve!$D$6)/365,
_xll.qlFixedRateBondOptionCashflowValues(BV102),"Call",BV106)</f>
        <v>333.01923996632155</v>
      </c>
      <c r="BW107" s="141">
        <f t="array" aca="1" ref="BW107" ca="1">_xll.qlRealHullWhiteModelCouponBondOption($DA$2,(BW68-Curve!$D$6)/365,_xll.qlFixedRateBondOptionDirtyStrikes(BW102),
(_xll.qlFixedRateBondOptionStartDates(BW102)-Curve!$D$6)/365,(_xll.qlFixedRateBondOptionPayDates(BW102)-Curve!$D$6)/365,
_xll.qlFixedRateBondOptionCashflowValues(BW102),"Call",BW106)</f>
        <v>419.23189128622511</v>
      </c>
      <c r="BX107" s="141">
        <f t="array" aca="1" ref="BX107" ca="1">_xll.qlRealHullWhiteModelCouponBondOption($DA$2,(BX68-Curve!$D$6)/365,_xll.qlFixedRateBondOptionDirtyStrikes(BX102),
(_xll.qlFixedRateBondOptionStartDates(BX102)-Curve!$D$6)/365,(_xll.qlFixedRateBondOptionPayDates(BX102)-Curve!$D$6)/365,
_xll.qlFixedRateBondOptionCashflowValues(BX102),"Call",BX106)</f>
        <v>489.65430697386324</v>
      </c>
      <c r="BY107" s="141">
        <f t="array" aca="1" ref="BY107" ca="1">_xll.qlRealHullWhiteModelCouponBondOption($DA$2,(BY68-Curve!$D$6)/365,_xll.qlFixedRateBondOptionDirtyStrikes(BY102),
(_xll.qlFixedRateBondOptionStartDates(BY102)-Curve!$D$6)/365,(_xll.qlFixedRateBondOptionPayDates(BY102)-Curve!$D$6)/365,
_xll.qlFixedRateBondOptionCashflowValues(BY102),"Call",BY106)</f>
        <v>547.074475700633</v>
      </c>
      <c r="BZ107" s="141">
        <f t="array" aca="1" ref="BZ107" ca="1">_xll.qlRealHullWhiteModelCouponBondOption($DA$2,(BZ68-Curve!$D$6)/365,_xll.qlFixedRateBondOptionDirtyStrikes(BZ102),
(_xll.qlFixedRateBondOptionStartDates(BZ102)-Curve!$D$6)/365,(_xll.qlFixedRateBondOptionPayDates(BZ102)-Curve!$D$6)/365,
_xll.qlFixedRateBondOptionCashflowValues(BZ102),"Call",BZ106)</f>
        <v>594.18989771202689</v>
      </c>
      <c r="CA107" s="141">
        <f t="array" aca="1" ref="CA107" ca="1">_xll.qlRealHullWhiteModelCouponBondOption($DA$2,(CA68-Curve!$D$6)/365,_xll.qlFixedRateBondOptionDirtyStrikes(CA102),
(_xll.qlFixedRateBondOptionStartDates(CA102)-Curve!$D$6)/365,(_xll.qlFixedRateBondOptionPayDates(CA102)-Curve!$D$6)/365,
_xll.qlFixedRateBondOptionCashflowValues(CA102),"Call",CA106)</f>
        <v>635.61868043110758</v>
      </c>
      <c r="CB107" s="141">
        <f t="array" aca="1" ref="CB107" ca="1">_xll.qlRealHullWhiteModelCouponBondOption($DA$2,(CB68-Curve!$D$6)/365,_xll.qlFixedRateBondOptionDirtyStrikes(CB102),
(_xll.qlFixedRateBondOptionStartDates(CB102)-Curve!$D$6)/365,(_xll.qlFixedRateBondOptionPayDates(CB102)-Curve!$D$6)/365,
_xll.qlFixedRateBondOptionCashflowValues(CB102),"Call",CB106)</f>
        <v>665.0213227296216</v>
      </c>
      <c r="CC107" s="141">
        <f t="array" aca="1" ref="CC107" ca="1">_xll.qlRealHullWhiteModelCouponBondOption($DA$2,(CC68-Curve!$D$6)/365,_xll.qlFixedRateBondOptionDirtyStrikes(CC102),
(_xll.qlFixedRateBondOptionStartDates(CC102)-Curve!$D$6)/365,(_xll.qlFixedRateBondOptionPayDates(CC102)-Curve!$D$6)/365,
_xll.qlFixedRateBondOptionCashflowValues(CC102),"Call",CC106)</f>
        <v>690.79097750593189</v>
      </c>
      <c r="CD107" s="141">
        <f t="array" aca="1" ref="CD107" ca="1">_xll.qlRealHullWhiteModelCouponBondOption($DA$2,(CD68-Curve!$D$6)/365,_xll.qlFixedRateBondOptionDirtyStrikes(CD102),
(_xll.qlFixedRateBondOptionStartDates(CD102)-Curve!$D$6)/365,(_xll.qlFixedRateBondOptionPayDates(CD102)-Curve!$D$6)/365,
_xll.qlFixedRateBondOptionCashflowValues(CD102),"Call",CD106)</f>
        <v>712.14059980254035</v>
      </c>
      <c r="CE107" s="141">
        <f t="array" aca="1" ref="CE107" ca="1">_xll.qlRealHullWhiteModelCouponBondOption($DA$2,(CE68-Curve!$D$6)/365,_xll.qlFixedRateBondOptionDirtyStrikes(CE102),
(_xll.qlFixedRateBondOptionStartDates(CE102)-Curve!$D$6)/365,(_xll.qlFixedRateBondOptionPayDates(CE102)-Curve!$D$6)/365,
_xll.qlFixedRateBondOptionCashflowValues(CE102),"Call",CE106)</f>
        <v>250.12895868080497</v>
      </c>
      <c r="CF107" s="141">
        <f t="array" aca="1" ref="CF107" ca="1">_xll.qlRealHullWhiteModelCouponBondOption($DA$2,(CF68-Curve!$D$6)/365,_xll.qlFixedRateBondOptionDirtyStrikes(CF102),
(_xll.qlFixedRateBondOptionStartDates(CF102)-Curve!$D$6)/365,(_xll.qlFixedRateBondOptionPayDates(CF102)-Curve!$D$6)/365,
_xll.qlFixedRateBondOptionCashflowValues(CF102),"Call",CF106)</f>
        <v>369.52670226984418</v>
      </c>
      <c r="CG107" s="141">
        <f t="array" aca="1" ref="CG107" ca="1">_xll.qlRealHullWhiteModelCouponBondOption($DA$2,(CG68-Curve!$D$6)/365,_xll.qlFixedRateBondOptionDirtyStrikes(CG102),
(_xll.qlFixedRateBondOptionStartDates(CG102)-Curve!$D$6)/365,(_xll.qlFixedRateBondOptionPayDates(CG102)-Curve!$D$6)/365,
_xll.qlFixedRateBondOptionCashflowValues(CG102),"Call",CG106)</f>
        <v>465.23126898628351</v>
      </c>
      <c r="CH107" s="141">
        <f t="array" aca="1" ref="CH107" ca="1">_xll.qlRealHullWhiteModelCouponBondOption($DA$2,(CH68-Curve!$D$6)/365,_xll.qlFixedRateBondOptionDirtyStrikes(CH102),
(_xll.qlFixedRateBondOptionStartDates(CH102)-Curve!$D$6)/365,(_xll.qlFixedRateBondOptionPayDates(CH102)-Curve!$D$6)/365,
_xll.qlFixedRateBondOptionCashflowValues(CH102),"Call",CH106)</f>
        <v>542.8201789305009</v>
      </c>
      <c r="CI107" s="141">
        <f t="array" aca="1" ref="CI107" ca="1">_xll.qlRealHullWhiteModelCouponBondOption($DA$2,(CI68-Curve!$D$6)/365,_xll.qlFixedRateBondOptionDirtyStrikes(CI102),
(_xll.qlFixedRateBondOptionStartDates(CI102)-Curve!$D$6)/365,(_xll.qlFixedRateBondOptionPayDates(CI102)-Curve!$D$6)/365,
_xll.qlFixedRateBondOptionCashflowValues(CI102),"Call",CI106)</f>
        <v>606.35889894183765</v>
      </c>
      <c r="CJ107" s="141">
        <f t="array" aca="1" ref="CJ107" ca="1">_xll.qlRealHullWhiteModelCouponBondOption($DA$2,(CJ68-Curve!$D$6)/365,_xll.qlFixedRateBondOptionDirtyStrikes(CJ102),
(_xll.qlFixedRateBondOptionStartDates(CJ102)-Curve!$D$6)/365,(_xll.qlFixedRateBondOptionPayDates(CJ102)-Curve!$D$6)/365,
_xll.qlFixedRateBondOptionCashflowValues(CJ102),"Call",CJ106)</f>
        <v>658.5812902552783</v>
      </c>
      <c r="CK107" s="141">
        <f t="array" aca="1" ref="CK107" ca="1">_xll.qlRealHullWhiteModelCouponBondOption($DA$2,(CK68-Curve!$D$6)/365,_xll.qlFixedRateBondOptionDirtyStrikes(CK102),
(_xll.qlFixedRateBondOptionStartDates(CK102)-Curve!$D$6)/365,(_xll.qlFixedRateBondOptionPayDates(CK102)-Curve!$D$6)/365,
_xll.qlFixedRateBondOptionCashflowValues(CK102),"Call",CK106)</f>
        <v>704.68517380967353</v>
      </c>
      <c r="CL107" s="141">
        <f t="array" aca="1" ref="CL107" ca="1">_xll.qlRealHullWhiteModelCouponBondOption($DA$2,(CL68-Curve!$D$6)/365,_xll.qlFixedRateBondOptionDirtyStrikes(CL102),
(_xll.qlFixedRateBondOptionStartDates(CL102)-Curve!$D$6)/365,(_xll.qlFixedRateBondOptionPayDates(CL102)-Curve!$D$6)/365,
_xll.qlFixedRateBondOptionCashflowValues(CL102),"Call",CL106)</f>
        <v>737.81497451844325</v>
      </c>
      <c r="CM107" s="141">
        <f t="array" aca="1" ref="CM107" ca="1">_xll.qlRealHullWhiteModelCouponBondOption($DA$2,(CM68-Curve!$D$6)/365,_xll.qlFixedRateBondOptionDirtyStrikes(CM102),
(_xll.qlFixedRateBondOptionStartDates(CM102)-Curve!$D$6)/365,(_xll.qlFixedRateBondOptionPayDates(CM102)-Curve!$D$6)/365,
_xll.qlFixedRateBondOptionCashflowValues(CM102),"Call",CM106)</f>
        <v>765.711934754818</v>
      </c>
      <c r="CN107" s="141">
        <f t="array" aca="1" ref="CN107" ca="1">_xll.qlRealHullWhiteModelCouponBondOption($DA$2,(CN68-Curve!$D$6)/365,_xll.qlFixedRateBondOptionDirtyStrikes(CN102),
(_xll.qlFixedRateBondOptionStartDates(CN102)-Curve!$D$6)/365,(_xll.qlFixedRateBondOptionPayDates(CN102)-Curve!$D$6)/365,
_xll.qlFixedRateBondOptionCashflowValues(CN102),"Call",CN106)</f>
        <v>789.5236535797942</v>
      </c>
      <c r="CO107" s="141">
        <f t="array" aca="1" ref="CO107" ca="1">_xll.qlRealHullWhiteModelCouponBondOption($DA$2,(CO68-Curve!$D$6)/365,_xll.qlFixedRateBondOptionDirtyStrikes(CO102),
(_xll.qlFixedRateBondOptionStartDates(CO102)-Curve!$D$6)/365,(_xll.qlFixedRateBondOptionPayDates(CO102)-Curve!$D$6)/365,
_xll.qlFixedRateBondOptionCashflowValues(CO102),"Call",CO106)</f>
        <v>274.176845383814</v>
      </c>
      <c r="CP107" s="141">
        <f t="array" aca="1" ref="CP107" ca="1">_xll.qlRealHullWhiteModelCouponBondOption($DA$2,(CP68-Curve!$D$6)/365,_xll.qlFixedRateBondOptionDirtyStrikes(CP102),
(_xll.qlFixedRateBondOptionStartDates(CP102)-Curve!$D$6)/365,(_xll.qlFixedRateBondOptionPayDates(CP102)-Curve!$D$6)/365,
_xll.qlFixedRateBondOptionCashflowValues(CP102),"Call",CP106)</f>
        <v>405.04938856065945</v>
      </c>
      <c r="CQ107" s="141" t="e">
        <f t="array" aca="1" ref="CQ107" ca="1">_xll.qlRealHullWhiteModelCouponBondOption($DA$2,(CQ68-Curve!$D$6)/365,_xll.qlFixedRateBondOptionDirtyStrikes(CQ102),
(_xll.qlFixedRateBondOptionStartDates(CQ102)-Curve!$D$6)/365,(_xll.qlFixedRateBondOptionPayDates(CQ102)-Curve!$D$6)/365,
_xll.qlFixedRateBondOptionCashflowValues(CQ102),"Call",CQ106)</f>
        <v>#NUM!</v>
      </c>
      <c r="CR107" s="141">
        <f t="array" aca="1" ref="CR107" ca="1">_xll.qlRealHullWhiteModelCouponBondOption($DA$2,(CR68-Curve!$D$6)/365,_xll.qlFixedRateBondOptionDirtyStrikes(CR102),
(_xll.qlFixedRateBondOptionStartDates(CR102)-Curve!$D$6)/365,(_xll.qlFixedRateBondOptionPayDates(CR102)-Curve!$D$6)/365,
_xll.qlFixedRateBondOptionCashflowValues(CR102),"Call",CR106)</f>
        <v>594.49181756305586</v>
      </c>
      <c r="CS107" s="141">
        <f t="array" aca="1" ref="CS107" ca="1">_xll.qlRealHullWhiteModelCouponBondOption($DA$2,(CS68-Curve!$D$6)/365,_xll.qlFixedRateBondOptionDirtyStrikes(CS102),
(_xll.qlFixedRateBondOptionStartDates(CS102)-Curve!$D$6)/365,(_xll.qlFixedRateBondOptionPayDates(CS102)-Curve!$D$6)/365,
_xll.qlFixedRateBondOptionCashflowValues(CS102),"Call",CS106)</f>
        <v>663.90045631390899</v>
      </c>
      <c r="CT107" s="141">
        <f t="array" aca="1" ref="CT107" ca="1">_xll.qlRealHullWhiteModelCouponBondOption($DA$2,(CT68-Curve!$D$6)/365,_xll.qlFixedRateBondOptionDirtyStrikes(CT102),
(_xll.qlFixedRateBondOptionStartDates(CT102)-Curve!$D$6)/365,(_xll.qlFixedRateBondOptionPayDates(CT102)-Curve!$D$6)/365,
_xll.qlFixedRateBondOptionCashflowValues(CT102),"Call",CT106)</f>
        <v>721.24164639357605</v>
      </c>
      <c r="CU107" s="141">
        <f t="array" aca="1" ref="CU107" ca="1">_xll.qlRealHullWhiteModelCouponBondOption($DA$2,(CU68-Curve!$D$6)/365,_xll.qlFixedRateBondOptionDirtyStrikes(CU102),
(_xll.qlFixedRateBondOptionStartDates(CU102)-Curve!$D$6)/365,(_xll.qlFixedRateBondOptionPayDates(CU102)-Curve!$D$6)/365,
_xll.qlFixedRateBondOptionCashflowValues(CU102),"Call",CU106)</f>
        <v>771.91158386083612</v>
      </c>
      <c r="CV107" s="141">
        <f t="array" aca="1" ref="CV107" ca="1">_xll.qlRealHullWhiteModelCouponBondOption($DA$2,(CV68-Curve!$D$6)/365,_xll.qlFixedRateBondOptionDirtyStrikes(CV102),
(_xll.qlFixedRateBondOptionStartDates(CV102)-Curve!$D$6)/365,(_xll.qlFixedRateBondOptionPayDates(CV102)-Curve!$D$6)/365,
_xll.qlFixedRateBondOptionCashflowValues(CV102),"Call",CV106)</f>
        <v>807.81245775154389</v>
      </c>
      <c r="CW107" s="141">
        <f t="array" aca="1" ref="CW107" ca="1">_xll.qlRealHullWhiteModelCouponBondOption($DA$2,(CW68-Curve!$D$6)/365,_xll.qlFixedRateBondOptionDirtyStrikes(CW102),
(_xll.qlFixedRateBondOptionStartDates(CW102)-Curve!$D$6)/365,(_xll.qlFixedRateBondOptionPayDates(CW102)-Curve!$D$6)/365,
_xll.qlFixedRateBondOptionCashflowValues(CW102),"Call",CW106)</f>
        <v>838.60522180939097</v>
      </c>
      <c r="CX107" s="141">
        <f t="array" aca="1" ref="CX107" ca="1">_xll.qlRealHullWhiteModelCouponBondOption($DA$2,(CX68-Curve!$D$6)/365,_xll.qlFixedRateBondOptionDirtyStrikes(CX102),
(_xll.qlFixedRateBondOptionStartDates(CX102)-Curve!$D$6)/365,(_xll.qlFixedRateBondOptionPayDates(CX102)-Curve!$D$6)/365,
_xll.qlFixedRateBondOptionCashflowValues(CX102),"Call",CX106)</f>
        <v>864.89462022233238</v>
      </c>
    </row>
    <row r="108" spans="2:102" ht="13.5" thickBot="1">
      <c r="B108" s="107" t="s">
        <v>5</v>
      </c>
      <c r="C108" s="143" t="e">
        <f ca="1">_xll.qlInstrumentErrorEstimate(C102,C104)</f>
        <v>#NUM!</v>
      </c>
      <c r="D108" s="143" t="e">
        <f ca="1">_xll.qlInstrumentErrorEstimate(D102,D104)</f>
        <v>#NUM!</v>
      </c>
      <c r="E108" s="143" t="e">
        <f ca="1">_xll.qlInstrumentErrorEstimate(E102,E104)</f>
        <v>#NUM!</v>
      </c>
      <c r="F108" s="143">
        <f ca="1">_xll.qlInstrumentErrorEstimate(F102,F104)</f>
        <v>1.0232633841072101</v>
      </c>
      <c r="G108" s="143" t="e">
        <f ca="1">_xll.qlInstrumentErrorEstimate(G102,G104)</f>
        <v>#VALUE!</v>
      </c>
      <c r="H108" s="143">
        <f ca="1">_xll.qlInstrumentErrorEstimate(H102,H104)</f>
        <v>8.15839109606938</v>
      </c>
      <c r="I108" s="143" t="e">
        <f ca="1">_xll.qlInstrumentErrorEstimate(I102,I104)</f>
        <v>#VALUE!</v>
      </c>
      <c r="J108" s="143" t="e">
        <f ca="1">_xll.qlInstrumentErrorEstimate(J102,J104)</f>
        <v>#VALUE!</v>
      </c>
      <c r="K108" s="143" t="e">
        <f ca="1">_xll.qlInstrumentErrorEstimate(K102,K104)</f>
        <v>#NUM!</v>
      </c>
      <c r="L108" s="143" t="e">
        <f ca="1">_xll.qlInstrumentErrorEstimate(L102,L104)</f>
        <v>#NUM!</v>
      </c>
      <c r="M108" s="143" t="e">
        <f ca="1">_xll.qlInstrumentErrorEstimate(M102,M104)</f>
        <v>#NUM!</v>
      </c>
      <c r="N108" s="143" t="e">
        <f ca="1">_xll.qlInstrumentErrorEstimate(N102,N104)</f>
        <v>#VALUE!</v>
      </c>
      <c r="O108" s="143" t="e">
        <f ca="1">_xll.qlInstrumentErrorEstimate(O102,O104)</f>
        <v>#NUM!</v>
      </c>
      <c r="P108" s="143" t="e">
        <f ca="1">_xll.qlInstrumentErrorEstimate(P102,P104)</f>
        <v>#VALUE!</v>
      </c>
      <c r="Q108" s="143" t="e">
        <f ca="1">_xll.qlInstrumentErrorEstimate(Q102,Q104)</f>
        <v>#NUM!</v>
      </c>
      <c r="R108" s="143" t="e">
        <f ca="1">_xll.qlInstrumentErrorEstimate(R102,R104)</f>
        <v>#NUM!</v>
      </c>
      <c r="S108" s="143" t="e">
        <f ca="1">_xll.qlInstrumentErrorEstimate(S102,S104)</f>
        <v>#NUM!</v>
      </c>
      <c r="T108" s="143" t="e">
        <f ca="1">_xll.qlInstrumentErrorEstimate(T102,T104)</f>
        <v>#NUM!</v>
      </c>
      <c r="U108" s="143" t="e">
        <f ca="1">_xll.qlInstrumentErrorEstimate(U102,U104)</f>
        <v>#NUM!</v>
      </c>
      <c r="V108" s="143" t="e">
        <f ca="1">_xll.qlInstrumentErrorEstimate(V102,V104)</f>
        <v>#VALUE!</v>
      </c>
      <c r="W108" s="143" t="e">
        <f ca="1">_xll.qlInstrumentErrorEstimate(W102,W104)</f>
        <v>#VALUE!</v>
      </c>
      <c r="X108" s="143" t="e">
        <f ca="1">_xll.qlInstrumentErrorEstimate(X102,X104)</f>
        <v>#NUM!</v>
      </c>
      <c r="Y108" s="143" t="e">
        <f ca="1">_xll.qlInstrumentErrorEstimate(Y102,Y104)</f>
        <v>#NUM!</v>
      </c>
      <c r="Z108" s="143" t="e">
        <f ca="1">_xll.qlInstrumentErrorEstimate(Z102,Z104)</f>
        <v>#VALUE!</v>
      </c>
      <c r="AA108" s="143">
        <f ca="1">_xll.qlInstrumentErrorEstimate(AA102,AA104)</f>
        <v>12.692512669072016</v>
      </c>
      <c r="AB108" s="143" t="e">
        <f ca="1">_xll.qlInstrumentErrorEstimate(AB102,AB104)</f>
        <v>#VALUE!</v>
      </c>
      <c r="AC108" s="143" t="e">
        <f ca="1">_xll.qlInstrumentErrorEstimate(AC102,AC104)</f>
        <v>#NUM!</v>
      </c>
      <c r="AD108" s="143" t="e">
        <f ca="1">_xll.qlInstrumentErrorEstimate(AD102,AD104)</f>
        <v>#VALUE!</v>
      </c>
      <c r="AE108" s="143" t="e">
        <f ca="1">_xll.qlInstrumentErrorEstimate(AE102,AE104)</f>
        <v>#VALUE!</v>
      </c>
      <c r="AF108" s="143" t="e">
        <f ca="1">_xll.qlInstrumentErrorEstimate(AF102,AF104)</f>
        <v>#NUM!</v>
      </c>
      <c r="AG108" s="143" t="e">
        <f ca="1">_xll.qlInstrumentErrorEstimate(AG102,AG104)</f>
        <v>#NUM!</v>
      </c>
      <c r="AH108" s="143" t="e">
        <f ca="1">_xll.qlInstrumentErrorEstimate(AH102,AH104)</f>
        <v>#NUM!</v>
      </c>
      <c r="AI108" s="143" t="e">
        <f ca="1">_xll.qlInstrumentErrorEstimate(AI102,AI104)</f>
        <v>#VALUE!</v>
      </c>
      <c r="AJ108" s="143" t="e">
        <f ca="1">_xll.qlInstrumentErrorEstimate(AJ102,AJ104)</f>
        <v>#NUM!</v>
      </c>
      <c r="AK108" s="143" t="e">
        <f ca="1">_xll.qlInstrumentErrorEstimate(AK102,AK104)</f>
        <v>#NUM!</v>
      </c>
      <c r="AL108" s="143" t="e">
        <f ca="1">_xll.qlInstrumentErrorEstimate(AL102,AL104)</f>
        <v>#NUM!</v>
      </c>
      <c r="AM108" s="143" t="e">
        <f ca="1">_xll.qlInstrumentErrorEstimate(AM102,AM104)</f>
        <v>#VALUE!</v>
      </c>
      <c r="AN108" s="143" t="e">
        <f ca="1">_xll.qlInstrumentErrorEstimate(AN102,AN104)</f>
        <v>#VALUE!</v>
      </c>
      <c r="AO108" s="143" t="e">
        <f ca="1">_xll.qlInstrumentErrorEstimate(AO102,AO104)</f>
        <v>#VALUE!</v>
      </c>
      <c r="AP108" s="143" t="e">
        <f ca="1">_xll.qlInstrumentErrorEstimate(AP102,AP104)</f>
        <v>#NUM!</v>
      </c>
      <c r="AQ108" s="143" t="e">
        <f ca="1">_xll.qlInstrumentErrorEstimate(AQ102,AQ104)</f>
        <v>#NUM!</v>
      </c>
      <c r="AR108" s="143" t="e">
        <f ca="1">_xll.qlInstrumentErrorEstimate(AR102,AR104)</f>
        <v>#NUM!</v>
      </c>
      <c r="AS108" s="143" t="e">
        <f ca="1">_xll.qlInstrumentErrorEstimate(AS102,AS104)</f>
        <v>#VALUE!</v>
      </c>
      <c r="AT108" s="143">
        <f ca="1">_xll.qlInstrumentErrorEstimate(AT102,AT104)</f>
        <v>12.12101446674825</v>
      </c>
      <c r="AU108" s="143" t="e">
        <f ca="1">_xll.qlInstrumentErrorEstimate(AU102,AU104)</f>
        <v>#NUM!</v>
      </c>
      <c r="AV108" s="143">
        <f ca="1">_xll.qlInstrumentErrorEstimate(AV102,AV104)</f>
        <v>35.048575787879088</v>
      </c>
      <c r="AW108" s="143" t="e">
        <f ca="1">_xll.qlInstrumentErrorEstimate(AW102,AW104)</f>
        <v>#NUM!</v>
      </c>
      <c r="AX108" s="143">
        <f ca="1">_xll.qlInstrumentErrorEstimate(AX102,AX104)</f>
        <v>35.014241778422388</v>
      </c>
      <c r="AY108" s="143">
        <f ca="1">_xll.qlInstrumentErrorEstimate(AY102,AY104)</f>
        <v>30.086279153745863</v>
      </c>
      <c r="AZ108" s="143" t="e">
        <f ca="1">_xll.qlInstrumentErrorEstimate(AZ102,AZ104)</f>
        <v>#NUM!</v>
      </c>
      <c r="BA108" s="143" t="e">
        <f ca="1">_xll.qlInstrumentErrorEstimate(BA102,BA104)</f>
        <v>#NUM!</v>
      </c>
      <c r="BB108" s="143" t="e">
        <f ca="1">_xll.qlInstrumentErrorEstimate(BB102,BB104)</f>
        <v>#NUM!</v>
      </c>
      <c r="BC108" s="143" t="e">
        <f ca="1">_xll.qlInstrumentErrorEstimate(BC102,BC104)</f>
        <v>#NUM!</v>
      </c>
      <c r="BD108" s="143" t="e">
        <f ca="1">_xll.qlInstrumentErrorEstimate(BD102,BD104)</f>
        <v>#NUM!</v>
      </c>
      <c r="BE108" s="143" t="e">
        <f ca="1">_xll.qlInstrumentErrorEstimate(BE102,BE104)</f>
        <v>#NUM!</v>
      </c>
      <c r="BF108" s="143" t="e">
        <f ca="1">_xll.qlInstrumentErrorEstimate(BF102,BF104)</f>
        <v>#NUM!</v>
      </c>
      <c r="BG108" s="143">
        <f ca="1">_xll.qlInstrumentErrorEstimate(BG102,BG104)</f>
        <v>44.190997637078112</v>
      </c>
      <c r="BH108" s="143" t="e">
        <f ca="1">_xll.qlInstrumentErrorEstimate(BH102,BH104)</f>
        <v>#VALUE!</v>
      </c>
      <c r="BI108" s="143" t="e">
        <f ca="1">_xll.qlInstrumentErrorEstimate(BI102,BI104)</f>
        <v>#NUM!</v>
      </c>
      <c r="BJ108" s="143" t="e">
        <f ca="1">_xll.qlInstrumentErrorEstimate(BJ102,BJ104)</f>
        <v>#VALUE!</v>
      </c>
      <c r="BK108" s="143" t="e">
        <f ca="1">_xll.qlInstrumentErrorEstimate(BK102,BK104)</f>
        <v>#VALUE!</v>
      </c>
      <c r="BL108" s="143" t="e">
        <f ca="1">_xll.qlInstrumentErrorEstimate(BL102,BL104)</f>
        <v>#VALUE!</v>
      </c>
      <c r="BM108" s="143" t="e">
        <f ca="1">_xll.qlInstrumentErrorEstimate(BM102,BM104)</f>
        <v>#NUM!</v>
      </c>
      <c r="BN108" s="143" t="e">
        <f ca="1">_xll.qlInstrumentErrorEstimate(BN102,BN104)</f>
        <v>#NUM!</v>
      </c>
      <c r="BO108" s="143" t="e">
        <f ca="1">_xll.qlInstrumentErrorEstimate(BO102,BO104)</f>
        <v>#VALUE!</v>
      </c>
      <c r="BP108" s="143" t="e">
        <f ca="1">_xll.qlInstrumentErrorEstimate(BP102,BP104)</f>
        <v>#NUM!</v>
      </c>
      <c r="BQ108" s="143" t="e">
        <f ca="1">_xll.qlInstrumentErrorEstimate(BQ102,BQ104)</f>
        <v>#NUM!</v>
      </c>
      <c r="BR108" s="143">
        <f ca="1">_xll.qlInstrumentErrorEstimate(BR102,BR104)</f>
        <v>47.621246638788648</v>
      </c>
      <c r="BS108" s="143" t="e">
        <f ca="1">_xll.qlInstrumentErrorEstimate(BS102,BS104)</f>
        <v>#VALUE!</v>
      </c>
      <c r="BT108" s="143" t="e">
        <f ca="1">_xll.qlInstrumentErrorEstimate(BT102,BT104)</f>
        <v>#NUM!</v>
      </c>
      <c r="BU108" s="143" t="e">
        <f ca="1">_xll.qlInstrumentErrorEstimate(BU102,BU104)</f>
        <v>#NUM!</v>
      </c>
      <c r="BV108" s="143" t="e">
        <f ca="1">_xll.qlInstrumentErrorEstimate(BV102,BV104)</f>
        <v>#NUM!</v>
      </c>
      <c r="BW108" s="143" t="e">
        <f ca="1">_xll.qlInstrumentErrorEstimate(BW102,BW104)</f>
        <v>#NUM!</v>
      </c>
      <c r="BX108" s="143" t="e">
        <f ca="1">_xll.qlInstrumentErrorEstimate(BX102,BX104)</f>
        <v>#NUM!</v>
      </c>
      <c r="BY108" s="143" t="e">
        <f ca="1">_xll.qlInstrumentErrorEstimate(BY102,BY104)</f>
        <v>#NUM!</v>
      </c>
      <c r="BZ108" s="143" t="e">
        <f ca="1">_xll.qlInstrumentErrorEstimate(BZ102,BZ104)</f>
        <v>#VALUE!</v>
      </c>
      <c r="CA108" s="143" t="e">
        <f ca="1">_xll.qlInstrumentErrorEstimate(CA102,CA104)</f>
        <v>#NUM!</v>
      </c>
      <c r="CB108" s="143" t="e">
        <f ca="1">_xll.qlInstrumentErrorEstimate(CB102,CB104)</f>
        <v>#NUM!</v>
      </c>
      <c r="CC108" s="143" t="e">
        <f ca="1">_xll.qlInstrumentErrorEstimate(CC102,CC104)</f>
        <v>#NUM!</v>
      </c>
      <c r="CD108" s="143" t="e">
        <f ca="1">_xll.qlInstrumentErrorEstimate(CD102,CD104)</f>
        <v>#NUM!</v>
      </c>
      <c r="CE108" s="143">
        <f ca="1">_xll.qlInstrumentErrorEstimate(CE102,CE104)</f>
        <v>119.4800119881219</v>
      </c>
      <c r="CF108" s="143" t="e">
        <f ca="1">_xll.qlInstrumentErrorEstimate(CF102,CF104)</f>
        <v>#NUM!</v>
      </c>
      <c r="CG108" s="143" t="e">
        <f ca="1">_xll.qlInstrumentErrorEstimate(CG102,CG104)</f>
        <v>#NUM!</v>
      </c>
      <c r="CH108" s="143" t="e">
        <f ca="1">_xll.qlInstrumentErrorEstimate(CH102,CH104)</f>
        <v>#VALUE!</v>
      </c>
      <c r="CI108" s="143" t="e">
        <f ca="1">_xll.qlInstrumentErrorEstimate(CI102,CI104)</f>
        <v>#VALUE!</v>
      </c>
      <c r="CJ108" s="143" t="e">
        <f ca="1">_xll.qlInstrumentErrorEstimate(CJ102,CJ104)</f>
        <v>#NUM!</v>
      </c>
      <c r="CK108" s="143" t="e">
        <f ca="1">_xll.qlInstrumentErrorEstimate(CK102,CK104)</f>
        <v>#NUM!</v>
      </c>
      <c r="CL108" s="143" t="e">
        <f ca="1">_xll.qlInstrumentErrorEstimate(CL102,CL104)</f>
        <v>#VALUE!</v>
      </c>
      <c r="CM108" s="143" t="e">
        <f ca="1">_xll.qlInstrumentErrorEstimate(CM102,CM104)</f>
        <v>#NUM!</v>
      </c>
      <c r="CN108" s="143">
        <f ca="1">_xll.qlInstrumentErrorEstimate(CN102,CN104)</f>
        <v>47.246451166359748</v>
      </c>
      <c r="CO108" s="143" t="e">
        <f ca="1">_xll.qlInstrumentErrorEstimate(CO102,CO104)</f>
        <v>#NUM!</v>
      </c>
      <c r="CP108" s="143" t="e">
        <f ca="1">_xll.qlInstrumentErrorEstimate(CP102,CP104)</f>
        <v>#NUM!</v>
      </c>
      <c r="CQ108" s="143">
        <f ca="1">_xll.qlInstrumentErrorEstimate(CQ102,CQ104)</f>
        <v>102.99319639645165</v>
      </c>
      <c r="CR108" s="143" t="e">
        <f ca="1">_xll.qlInstrumentErrorEstimate(CR102,CR104)</f>
        <v>#NUM!</v>
      </c>
      <c r="CS108" s="143" t="e">
        <f ca="1">_xll.qlInstrumentErrorEstimate(CS102,CS104)</f>
        <v>#NUM!</v>
      </c>
      <c r="CT108" s="143" t="e">
        <f ca="1">_xll.qlInstrumentErrorEstimate(CT102,CT104)</f>
        <v>#NUM!</v>
      </c>
      <c r="CU108" s="143" t="e">
        <f ca="1">_xll.qlInstrumentErrorEstimate(CU102,CU104)</f>
        <v>#NUM!</v>
      </c>
      <c r="CV108" s="143" t="e">
        <f ca="1">_xll.qlInstrumentErrorEstimate(CV102,CV104)</f>
        <v>#NUM!</v>
      </c>
      <c r="CW108" s="143" t="e">
        <f ca="1">_xll.qlInstrumentErrorEstimate(CW102,CW104)</f>
        <v>#NUM!</v>
      </c>
      <c r="CX108" s="143" t="e">
        <f ca="1">_xll.qlInstrumentErrorEstimate(CX102,CX104)</f>
        <v>#NUM!</v>
      </c>
    </row>
    <row r="110" spans="2:102">
      <c r="B110" s="48" t="s">
        <v>282</v>
      </c>
      <c r="C110" s="145"/>
    </row>
    <row r="111" spans="2:102" ht="13.5" thickBot="1">
      <c r="C111" s="65"/>
    </row>
    <row r="112" spans="2:102">
      <c r="B112" s="102" t="s">
        <v>257</v>
      </c>
      <c r="C112" s="148">
        <f ca="1">_xll.qlBachelierBlackFormulaImpliedVol("Call",C54,C54,(C68-Curve!$D$6)/365,C107,C99)</f>
        <v>7.4936463794192214E-3</v>
      </c>
      <c r="D112" s="148">
        <f ca="1">_xll.qlBachelierBlackFormulaImpliedVol("Call",D54,D54,(D68-Curve!$D$6)/365,D107,D99)</f>
        <v>7.943541677804658E-3</v>
      </c>
      <c r="E112" s="148">
        <f ca="1">_xll.qlBachelierBlackFormulaImpliedVol("Call",E54,E54,(E68-Curve!$D$6)/365,E107,E99)</f>
        <v>8.2551977341621674E-3</v>
      </c>
      <c r="F112" s="148" t="e">
        <f ca="1">_xll.qlBachelierBlackFormulaImpliedVol("Call",F54,F54,(F68-Curve!$D$6)/365,F107,F99)</f>
        <v>#NUM!</v>
      </c>
      <c r="G112" s="148" t="e">
        <f ca="1">_xll.qlBachelierBlackFormulaImpliedVol("Call",G54,G54,(G68-Curve!$D$6)/365,G107,G99)</f>
        <v>#NUM!</v>
      </c>
      <c r="H112" s="148">
        <f ca="1">_xll.qlBachelierBlackFormulaImpliedVol("Call",H54,H54,(H68-Curve!$D$6)/365,H107,H99)</f>
        <v>8.6146912046702762E-3</v>
      </c>
      <c r="I112" s="148" t="e">
        <f ca="1">_xll.qlBachelierBlackFormulaImpliedVol("Call",I54,I54,(I68-Curve!$D$6)/365,I107,I99)</f>
        <v>#NUM!</v>
      </c>
      <c r="J112" s="148" t="e">
        <f ca="1">_xll.qlBachelierBlackFormulaImpliedVol("Call",J54,J54,(J68-Curve!$D$6)/365,J107,J99)</f>
        <v>#NUM!</v>
      </c>
      <c r="K112" s="148">
        <f ca="1">_xll.qlBachelierBlackFormulaImpliedVol("Call",K54,K54,(K68-Curve!$D$6)/365,K107,K99)</f>
        <v>8.6526570610052853E-3</v>
      </c>
      <c r="L112" s="148">
        <f ca="1">_xll.qlBachelierBlackFormulaImpliedVol("Call",L54,L54,(L68-Curve!$D$6)/365,L107,L99)</f>
        <v>8.633507010445891E-3</v>
      </c>
      <c r="M112" s="148">
        <f ca="1">_xll.qlBachelierBlackFormulaImpliedVol("Call",M54,M54,(M68-Curve!$D$6)/365,M107,M99)</f>
        <v>7.4392113535432592E-3</v>
      </c>
      <c r="N112" s="148">
        <f ca="1">_xll.qlBachelierBlackFormulaImpliedVol("Call",N54,N54,(N68-Curve!$D$6)/365,N107,N99)</f>
        <v>7.8657431823700302E-3</v>
      </c>
      <c r="O112" s="148">
        <f ca="1">_xll.qlBachelierBlackFormulaImpliedVol("Call",O54,O54,(O68-Curve!$D$6)/365,O107,O99)</f>
        <v>8.1864785330200019E-3</v>
      </c>
      <c r="P112" s="148" t="e">
        <f ca="1">_xll.qlBachelierBlackFormulaImpliedVol("Call",P54,P54,(P68-Curve!$D$6)/365,P107,P99)</f>
        <v>#NUM!</v>
      </c>
      <c r="Q112" s="148" t="e">
        <f ca="1">_xll.qlBachelierBlackFormulaImpliedVol("Call",Q54,Q54,(Q68-Curve!$D$6)/365,Q107,Q99)</f>
        <v>#NUM!</v>
      </c>
      <c r="R112" s="148">
        <f ca="1">_xll.qlBachelierBlackFormulaImpliedVol("Call",R54,R54,(R68-Curve!$D$6)/365,R107,R99)</f>
        <v>8.5521771816470873E-3</v>
      </c>
      <c r="S112" s="148">
        <f ca="1">_xll.qlBachelierBlackFormulaImpliedVol("Call",S54,S54,(S68-Curve!$D$6)/365,S107,S99)</f>
        <v>8.6415749489680473E-3</v>
      </c>
      <c r="T112" s="148">
        <f ca="1">_xll.qlBachelierBlackFormulaImpliedVol("Call",T54,T54,(T68-Curve!$D$6)/365,T107,T99)</f>
        <v>8.6386693941915317E-3</v>
      </c>
      <c r="U112" s="148">
        <f ca="1">_xll.qlBachelierBlackFormulaImpliedVol("Call",U54,U54,(U68-Curve!$D$6)/365,U107,U99)</f>
        <v>8.5884897669781766E-3</v>
      </c>
      <c r="V112" s="148" t="e">
        <f ca="1">_xll.qlBachelierBlackFormulaImpliedVol("Call",V54,V54,(V68-Curve!$D$6)/365,V107,V99)</f>
        <v>#NUM!</v>
      </c>
      <c r="W112" s="148" t="e">
        <f ca="1">_xll.qlBachelierBlackFormulaImpliedVol("Call",W54,W54,(W68-Curve!$D$6)/365,W107,W99)</f>
        <v>#NUM!</v>
      </c>
      <c r="X112" s="148">
        <f ca="1">_xll.qlBachelierBlackFormulaImpliedVol("Call",X54,X54,(X68-Curve!$D$6)/365,X107,X99)</f>
        <v>7.8210455526509844E-3</v>
      </c>
      <c r="Y112" s="148">
        <f ca="1">_xll.qlBachelierBlackFormulaImpliedVol("Call",Y54,Y54,(Y68-Curve!$D$6)/365,Y107,Y99)</f>
        <v>8.1291305330883426E-3</v>
      </c>
      <c r="Z112" s="148" t="e">
        <f ca="1">_xll.qlBachelierBlackFormulaImpliedVol("Call",Z54,Z54,(Z68-Curve!$D$6)/365,Z107,Z99)</f>
        <v>#NUM!</v>
      </c>
      <c r="AA112" s="148" t="e">
        <f ca="1">_xll.qlBachelierBlackFormulaImpliedVol("Call",AA54,AA54,(AA68-Curve!$D$6)/365,AA107,AA99)</f>
        <v>#NUM!</v>
      </c>
      <c r="AB112" s="148" t="e">
        <f ca="1">_xll.qlBachelierBlackFormulaImpliedVol("Call",AB54,AB54,(AB68-Curve!$D$6)/365,AB107,AB99)</f>
        <v>#NUM!</v>
      </c>
      <c r="AC112" s="148">
        <f ca="1">_xll.qlBachelierBlackFormulaImpliedVol("Call",AC54,AC54,(AC68-Curve!$D$6)/365,AC107,AC99)</f>
        <v>8.5889063147315155E-3</v>
      </c>
      <c r="AD112" s="148" t="e">
        <f ca="1">_xll.qlBachelierBlackFormulaImpliedVol("Call",AD54,AD54,(AD68-Curve!$D$6)/365,AD107,AD99)</f>
        <v>#NUM!</v>
      </c>
      <c r="AE112" s="148" t="e">
        <f ca="1">_xll.qlBachelierBlackFormulaImpliedVol("Call",AE54,AE54,(AE68-Curve!$D$6)/365,AE107,AE99)</f>
        <v>#NUM!</v>
      </c>
      <c r="AF112" s="148">
        <f ca="1">_xll.qlBachelierBlackFormulaImpliedVol("Call",AF54,AF54,(AF68-Curve!$D$6)/365,AF107,AF99)</f>
        <v>8.5263561290086116E-3</v>
      </c>
      <c r="AG112" s="148">
        <f ca="1">_xll.qlBachelierBlackFormulaImpliedVol("Call",AG54,AG54,(AG68-Curve!$D$6)/365,AG107,AG99)</f>
        <v>7.3588581661662433E-3</v>
      </c>
      <c r="AH112" s="148">
        <f ca="1">_xll.qlBachelierBlackFormulaImpliedVol("Call",AH54,AH54,(AH68-Curve!$D$6)/365,AH107,AH99)</f>
        <v>7.7708944183820195E-3</v>
      </c>
      <c r="AI112" s="148" t="e">
        <f ca="1">_xll.qlBachelierBlackFormulaImpliedVol("Call",AI54,AI54,(AI68-Curve!$D$6)/365,AI107,AI99)</f>
        <v>#NUM!</v>
      </c>
      <c r="AJ112" s="148">
        <f ca="1">_xll.qlBachelierBlackFormulaImpliedVol("Call",AJ54,AJ54,(AJ68-Curve!$D$6)/365,AJ107,AJ99)</f>
        <v>8.2654163503443068E-3</v>
      </c>
      <c r="AK112" s="148" t="e">
        <f ca="1">_xll.qlBachelierBlackFormulaImpliedVol("Call",AK54,AK54,(AK68-Curve!$D$6)/365,AK107,AK99)</f>
        <v>#NUM!</v>
      </c>
      <c r="AL112" s="148">
        <f ca="1">_xll.qlBachelierBlackFormulaImpliedVol("Call",AL54,AL54,(AL68-Curve!$D$6)/365,AL107,AL99)</f>
        <v>8.4656662423509433E-3</v>
      </c>
      <c r="AM112" s="148" t="e">
        <f ca="1">_xll.qlBachelierBlackFormulaImpliedVol("Call",AM54,AM54,(AM68-Curve!$D$6)/365,AM107,AM99)</f>
        <v>#NUM!</v>
      </c>
      <c r="AN112" s="148" t="e">
        <f ca="1">_xll.qlBachelierBlackFormulaImpliedVol("Call",AN54,AN54,(AN68-Curve!$D$6)/365,AN107,AN99)</f>
        <v>#NUM!</v>
      </c>
      <c r="AO112" s="148" t="e">
        <f ca="1">_xll.qlBachelierBlackFormulaImpliedVol("Call",AO54,AO54,(AO68-Curve!$D$6)/365,AO107,AO99)</f>
        <v>#NUM!</v>
      </c>
      <c r="AP112" s="148">
        <f ca="1">_xll.qlBachelierBlackFormulaImpliedVol("Call",AP54,AP54,(AP68-Curve!$D$6)/365,AP107,AP99)</f>
        <v>8.4787529058106669E-3</v>
      </c>
      <c r="AQ112" s="148">
        <f ca="1">_xll.qlBachelierBlackFormulaImpliedVol("Call",AQ54,AQ54,(AQ68-Curve!$D$6)/365,AQ107,AQ99)</f>
        <v>7.3135980684925382E-3</v>
      </c>
      <c r="AR112" s="148">
        <f ca="1">_xll.qlBachelierBlackFormulaImpliedVol("Call",AR54,AR54,(AR68-Curve!$D$6)/365,AR107,AR99)</f>
        <v>7.7218035594773509E-3</v>
      </c>
      <c r="AS112" s="148" t="e">
        <f ca="1">_xll.qlBachelierBlackFormulaImpliedVol("Call",AS54,AS54,(AS68-Curve!$D$6)/365,AS107,AS99)</f>
        <v>#NUM!</v>
      </c>
      <c r="AT112" s="148" t="e">
        <f ca="1">_xll.qlBachelierBlackFormulaImpliedVol("Call",AT54,AT54,(AT68-Curve!$D$6)/365,AT107,AT99)</f>
        <v>#NUM!</v>
      </c>
      <c r="AU112" s="148">
        <f ca="1">_xll.qlBachelierBlackFormulaImpliedVol("Call",AU54,AU54,(AU68-Curve!$D$6)/365,AU107,AU99)</f>
        <v>8.344309756733977E-3</v>
      </c>
      <c r="AV112" s="148" t="e">
        <f ca="1">_xll.qlBachelierBlackFormulaImpliedVol("Call",AV54,AV54,(AV68-Curve!$D$6)/365,AV107,AV99)</f>
        <v>#NUM!</v>
      </c>
      <c r="AW112" s="148">
        <f ca="1">_xll.qlBachelierBlackFormulaImpliedVol("Call",AW54,AW54,(AW68-Curve!$D$6)/365,AW107,AW99)</f>
        <v>8.493167761273502E-3</v>
      </c>
      <c r="AX112" s="148" t="e">
        <f ca="1">_xll.qlBachelierBlackFormulaImpliedVol("Call",AX54,AX54,(AX68-Curve!$D$6)/365,AX107,AX99)</f>
        <v>#NUM!</v>
      </c>
      <c r="AY112" s="148">
        <f ca="1">_xll.qlBachelierBlackFormulaImpliedVol("Call",AY54,AY54,(AY68-Curve!$D$6)/365,AY107,AY99)</f>
        <v>8.4529847129316583E-3</v>
      </c>
      <c r="AZ112" s="148">
        <f ca="1">_xll.qlBachelierBlackFormulaImpliedVol("Call",AZ54,AZ54,(AZ68-Curve!$D$6)/365,AZ107,AZ99)</f>
        <v>8.4336715332041685E-3</v>
      </c>
      <c r="BA112" s="148">
        <f ca="1">_xll.qlBachelierBlackFormulaImpliedVol("Call",BA54,BA54,(BA68-Curve!$D$6)/365,BA107,BA99)</f>
        <v>7.2664892914373535E-3</v>
      </c>
      <c r="BB112" s="148">
        <f ca="1">_xll.qlBachelierBlackFormulaImpliedVol("Call",BB54,BB54,(BB68-Curve!$D$6)/365,BB107,BB99)</f>
        <v>7.6721538433962167E-3</v>
      </c>
      <c r="BC112" s="148">
        <f ca="1">_xll.qlBachelierBlackFormulaImpliedVol("Call",BC54,BC54,(BC68-Curve!$D$6)/365,BC107,BC99)</f>
        <v>7.9820851840207829E-3</v>
      </c>
      <c r="BD112" s="148">
        <f ca="1">_xll.qlBachelierBlackFormulaImpliedVol("Call",BD54,BD54,(BD68-Curve!$D$6)/365,BD107,BD99)</f>
        <v>8.1746874280118932E-3</v>
      </c>
      <c r="BE112" s="148">
        <f ca="1">_xll.qlBachelierBlackFormulaImpliedVol("Call",BE54,BE54,(BE68-Curve!$D$6)/365,BE107,BE99)</f>
        <v>8.2974095307270478E-3</v>
      </c>
      <c r="BF112" s="148">
        <f ca="1">_xll.qlBachelierBlackFormulaImpliedVol("Call",BF54,BF54,(BF68-Curve!$D$6)/365,BF107,BF99)</f>
        <v>8.3724192059535987E-3</v>
      </c>
      <c r="BG112" s="148" t="e">
        <f ca="1">_xll.qlBachelierBlackFormulaImpliedVol("Call",BG54,BG54,(BG68-Curve!$D$6)/365,BG107,BG99)</f>
        <v>#NUM!</v>
      </c>
      <c r="BH112" s="148" t="e">
        <f ca="1">_xll.qlBachelierBlackFormulaImpliedVol("Call",BH54,BH54,(BH68-Curve!$D$6)/365,BH107,BH99)</f>
        <v>#NUM!</v>
      </c>
      <c r="BI112" s="148" t="e">
        <f ca="1">_xll.qlBachelierBlackFormulaImpliedVol("Call",BI54,BI54,(BI68-Curve!$D$6)/365,BI107,BI99)</f>
        <v>#NUM!</v>
      </c>
      <c r="BJ112" s="148" t="e">
        <f ca="1">_xll.qlBachelierBlackFormulaImpliedVol("Call",BJ54,BJ54,(BJ68-Curve!$D$6)/365,BJ107,BJ99)</f>
        <v>#NUM!</v>
      </c>
      <c r="BK112" s="148" t="e">
        <f ca="1">_xll.qlBachelierBlackFormulaImpliedVol("Call",BK54,BK54,(BK68-Curve!$D$6)/365,BK107,BK99)</f>
        <v>#NUM!</v>
      </c>
      <c r="BL112" s="148" t="e">
        <f ca="1">_xll.qlBachelierBlackFormulaImpliedVol("Call",BL54,BL54,(BL68-Curve!$D$6)/365,BL107,BL99)</f>
        <v>#NUM!</v>
      </c>
      <c r="BM112" s="148">
        <f ca="1">_xll.qlBachelierBlackFormulaImpliedVol("Call",BM54,BM54,(BM68-Curve!$D$6)/365,BM107,BM99)</f>
        <v>7.9332603667961847E-3</v>
      </c>
      <c r="BN112" s="148">
        <f ca="1">_xll.qlBachelierBlackFormulaImpliedVol("Call",BN54,BN54,(BN68-Curve!$D$6)/365,BN107,BN99)</f>
        <v>8.1269832510404445E-3</v>
      </c>
      <c r="BO112" s="148">
        <f ca="1">_xll.qlBachelierBlackFormulaImpliedVol("Call",BO54,BO54,(BO68-Curve!$D$6)/365,BO107,BO99)</f>
        <v>8.2513070705255102E-3</v>
      </c>
      <c r="BP112" s="148">
        <f ca="1">_xll.qlBachelierBlackFormulaImpliedVol("Call",BP54,BP54,(BP68-Curve!$D$6)/365,BP107,BP99)</f>
        <v>8.330034580539835E-3</v>
      </c>
      <c r="BQ112" s="148">
        <f ca="1">_xll.qlBachelierBlackFormulaImpliedVol("Call",BQ54,BQ54,(BQ68-Curve!$D$6)/365,BQ107,BQ99)</f>
        <v>8.4063661354092066E-3</v>
      </c>
      <c r="BR112" s="148" t="e">
        <f ca="1">_xll.qlBachelierBlackFormulaImpliedVol("Call",BR54,BR54,(BR68-Curve!$D$6)/365,BR107,BR99)</f>
        <v>#NUM!</v>
      </c>
      <c r="BS112" s="148" t="e">
        <f ca="1">_xll.qlBachelierBlackFormulaImpliedVol("Call",BS54,BS54,(BS68-Curve!$D$6)/365,BS107,BS99)</f>
        <v>#NUM!</v>
      </c>
      <c r="BT112" s="148">
        <f ca="1">_xll.qlBachelierBlackFormulaImpliedVol("Call",BT54,BT54,(BT68-Curve!$D$6)/365,BT107,BT99)</f>
        <v>8.3505378445795034E-3</v>
      </c>
      <c r="BU112" s="148">
        <f ca="1">_xll.qlBachelierBlackFormulaImpliedVol("Call",BU54,BU54,(BU68-Curve!$D$6)/365,BU107,BU99)</f>
        <v>7.1718677806620864E-3</v>
      </c>
      <c r="BV112" s="148">
        <f ca="1">_xll.qlBachelierBlackFormulaImpliedVol("Call",BV54,BV54,(BV68-Curve!$D$6)/365,BV107,BV99)</f>
        <v>7.5767525785279009E-3</v>
      </c>
      <c r="BW112" s="148">
        <f ca="1">_xll.qlBachelierBlackFormulaImpliedVol("Call",BW54,BW54,(BW68-Curve!$D$6)/365,BW107,BW99)</f>
        <v>7.8845485090392915E-3</v>
      </c>
      <c r="BX112" s="148">
        <f ca="1">_xll.qlBachelierBlackFormulaImpliedVol("Call",BX54,BX54,(BX68-Curve!$D$6)/365,BX107,BX99)</f>
        <v>8.0798936701843571E-3</v>
      </c>
      <c r="BY112" s="148">
        <f ca="1">_xll.qlBachelierBlackFormulaImpliedVol("Call",BY54,BY54,(BY68-Curve!$D$6)/365,BY107,BY99)</f>
        <v>8.2087886402074251E-3</v>
      </c>
      <c r="BZ112" s="148" t="e">
        <f ca="1">_xll.qlBachelierBlackFormulaImpliedVol("Call",BZ54,BZ54,(BZ68-Curve!$D$6)/365,BZ107,BZ99)</f>
        <v>#NUM!</v>
      </c>
      <c r="CA112" s="148">
        <f ca="1">_xll.qlBachelierBlackFormulaImpliedVol("Call",CA54,CA54,(CA68-Curve!$D$6)/365,CA107,CA99)</f>
        <v>8.3639864757735147E-3</v>
      </c>
      <c r="CB112" s="148">
        <f ca="1">_xll.qlBachelierBlackFormulaImpliedVol("Call",CB54,CB54,(CB68-Curve!$D$6)/365,CB107,CB99)</f>
        <v>8.3463858600489726E-3</v>
      </c>
      <c r="CC112" s="148">
        <f ca="1">_xll.qlBachelierBlackFormulaImpliedVol("Call",CC54,CC54,(CC68-Curve!$D$6)/365,CC107,CC99)</f>
        <v>8.3274585510199721E-3</v>
      </c>
      <c r="CD112" s="148">
        <f ca="1">_xll.qlBachelierBlackFormulaImpliedVol("Call",CD54,CD54,(CD68-Curve!$D$6)/365,CD107,CD99)</f>
        <v>8.3087764767906039E-3</v>
      </c>
      <c r="CE112" s="148">
        <f ca="1">_xll.qlBachelierBlackFormulaImpliedVol("Call",CE54,CE54,(CE68-Curve!$D$6)/365,CE107,CE99)</f>
        <v>7.1244748431760659E-3</v>
      </c>
      <c r="CF112" s="148">
        <f ca="1">_xll.qlBachelierBlackFormulaImpliedVol("Call",CF54,CF54,(CF68-Curve!$D$6)/365,CF107,CF99)</f>
        <v>7.5283984921577412E-3</v>
      </c>
      <c r="CG112" s="148">
        <f ca="1">_xll.qlBachelierBlackFormulaImpliedVol("Call",CG54,CG54,(CG68-Curve!$D$6)/365,CG107,CG99)</f>
        <v>7.8368028074078389E-3</v>
      </c>
      <c r="CH112" s="148" t="e">
        <f ca="1">_xll.qlBachelierBlackFormulaImpliedVol("Call",CH54,CH54,(CH68-Curve!$D$6)/365,CH107,CH99)</f>
        <v>#NUM!</v>
      </c>
      <c r="CI112" s="148" t="e">
        <f ca="1">_xll.qlBachelierBlackFormulaImpliedVol("Call",CI54,CI54,(CI68-Curve!$D$6)/365,CI107,CI99)</f>
        <v>#NUM!</v>
      </c>
      <c r="CJ112" s="148">
        <f ca="1">_xll.qlBachelierBlackFormulaImpliedVol("Call",CJ54,CJ54,(CJ68-Curve!$D$6)/365,CJ107,CJ99)</f>
        <v>8.2445964812170296E-3</v>
      </c>
      <c r="CK112" s="148">
        <f ca="1">_xll.qlBachelierBlackFormulaImpliedVol("Call",CK54,CK54,(CK68-Curve!$D$6)/365,CK107,CK99)</f>
        <v>8.3223441322838789E-3</v>
      </c>
      <c r="CL112" s="148" t="e">
        <f ca="1">_xll.qlBachelierBlackFormulaImpliedVol("Call",CL54,CL54,(CL68-Curve!$D$6)/365,CL107,CL99)</f>
        <v>#NUM!</v>
      </c>
      <c r="CM112" s="148">
        <f ca="1">_xll.qlBachelierBlackFormulaImpliedVol("Call",CM54,CM54,(CM68-Curve!$D$6)/365,CM107,CM99)</f>
        <v>8.287406556778466E-3</v>
      </c>
      <c r="CN112" s="148">
        <f ca="1">_xll.qlBachelierBlackFormulaImpliedVol("Call",CN54,CN54,(CN68-Curve!$D$6)/365,CN107,CN99)</f>
        <v>8.269331969132411E-3</v>
      </c>
      <c r="CO112" s="148">
        <f ca="1">_xll.qlBachelierBlackFormulaImpliedVol("Call",CO54,CO54,(CO68-Curve!$D$6)/365,CO107,CO99)</f>
        <v>7.0773817533791869E-3</v>
      </c>
      <c r="CP112" s="148">
        <f ca="1">_xll.qlBachelierBlackFormulaImpliedVol("Call",CP54,CP54,(CP68-Curve!$D$6)/365,CP107,CP99)</f>
        <v>7.4811659253181326E-3</v>
      </c>
      <c r="CQ112" s="148" t="e">
        <f ca="1">_xll.qlBachelierBlackFormulaImpliedVol("Call",CQ54,CQ54,(CQ68-Curve!$D$6)/365,CQ107,CQ99)</f>
        <v>#NUM!</v>
      </c>
      <c r="CR112" s="148">
        <f ca="1">_xll.qlBachelierBlackFormulaImpliedVol("Call",CR54,CR54,(CR68-Curve!$D$6)/365,CR107,CR99)</f>
        <v>7.9937395873849026E-3</v>
      </c>
      <c r="CS112" s="148">
        <f ca="1">_xll.qlBachelierBlackFormulaImpliedVol("Call",CS54,CS54,(CS68-Curve!$D$6)/365,CS107,CS99)</f>
        <v>8.123728065249098E-3</v>
      </c>
      <c r="CT112" s="148">
        <f ca="1">_xll.qlBachelierBlackFormulaImpliedVol("Call",CT54,CT54,(CT68-Curve!$D$6)/365,CT107,CT99)</f>
        <v>8.2037368189908089E-3</v>
      </c>
      <c r="CU112" s="148">
        <f ca="1">_xll.qlBachelierBlackFormulaImpliedVol("Call",CU54,CU54,(CU68-Curve!$D$6)/365,CU107,CU99)</f>
        <v>8.2837455727367542E-3</v>
      </c>
      <c r="CV112" s="148">
        <f ca="1">_xll.qlBachelierBlackFormulaImpliedVol("Call",CV54,CV54,(CV68-Curve!$D$6)/365,CV107,CV99)</f>
        <v>8.2664176718343224E-3</v>
      </c>
      <c r="CW112" s="148">
        <f ca="1">_xll.qlBachelierBlackFormulaImpliedVol("Call",CW54,CW54,(CW68-Curve!$D$6)/365,CW107,CW99)</f>
        <v>8.2489473499745784E-3</v>
      </c>
      <c r="CX112" s="148">
        <f ca="1">_xll.qlBachelierBlackFormulaImpliedVol("Call",CX54,CX54,(CX68-Curve!$D$6)/365,CX107,CX99)</f>
        <v>8.2316669228552544E-3</v>
      </c>
    </row>
    <row r="113" spans="2:102">
      <c r="B113" s="104" t="s">
        <v>258</v>
      </c>
      <c r="C113" s="150">
        <f t="shared" ref="C113:AH113" ca="1" si="24">C97-C112</f>
        <v>-4.9995073866775678E-3</v>
      </c>
      <c r="D113" s="150">
        <f t="shared" ca="1" si="24"/>
        <v>-3.9255910041213092E-3</v>
      </c>
      <c r="E113" s="150">
        <f t="shared" ca="1" si="24"/>
        <v>-2.7199368969089369E-3</v>
      </c>
      <c r="F113" s="150" t="e">
        <f t="shared" ca="1" si="24"/>
        <v>#NUM!</v>
      </c>
      <c r="G113" s="150" t="e">
        <f t="shared" ca="1" si="24"/>
        <v>#VALUE!</v>
      </c>
      <c r="H113" s="150">
        <f t="shared" ca="1" si="24"/>
        <v>-1.0501986973220998E-3</v>
      </c>
      <c r="I113" s="150" t="e">
        <f t="shared" ca="1" si="24"/>
        <v>#VALUE!</v>
      </c>
      <c r="J113" s="150" t="e">
        <f t="shared" ca="1" si="24"/>
        <v>#VALUE!</v>
      </c>
      <c r="K113" s="150">
        <f t="shared" ca="1" si="24"/>
        <v>-5.0163699427169077E-4</v>
      </c>
      <c r="L113" s="150">
        <f t="shared" ca="1" si="24"/>
        <v>-3.361893067400732E-4</v>
      </c>
      <c r="M113" s="150">
        <f t="shared" ca="1" si="24"/>
        <v>-4.5141835182400305E-3</v>
      </c>
      <c r="N113" s="150" t="e">
        <f t="shared" ca="1" si="24"/>
        <v>#VALUE!</v>
      </c>
      <c r="O113" s="150">
        <f t="shared" ca="1" si="24"/>
        <v>-2.3138247064030011E-3</v>
      </c>
      <c r="P113" s="150" t="e">
        <f t="shared" ca="1" si="24"/>
        <v>#VALUE!</v>
      </c>
      <c r="Q113" s="150" t="e">
        <f t="shared" ca="1" si="24"/>
        <v>#NUM!</v>
      </c>
      <c r="R113" s="150">
        <f t="shared" ca="1" si="24"/>
        <v>-8.2394130756053598E-4</v>
      </c>
      <c r="S113" s="150">
        <f t="shared" ca="1" si="24"/>
        <v>-6.1577713046160817E-4</v>
      </c>
      <c r="T113" s="150">
        <f t="shared" ca="1" si="24"/>
        <v>-4.8776344294006874E-4</v>
      </c>
      <c r="U113" s="150">
        <f t="shared" ca="1" si="24"/>
        <v>-3.1144739695912818E-4</v>
      </c>
      <c r="V113" s="150" t="e">
        <f t="shared" ca="1" si="24"/>
        <v>#VALUE!</v>
      </c>
      <c r="W113" s="150" t="e">
        <f t="shared" ca="1" si="24"/>
        <v>#VALUE!</v>
      </c>
      <c r="X113" s="150">
        <f t="shared" ca="1" si="24"/>
        <v>-2.7354496892449433E-3</v>
      </c>
      <c r="Y113" s="150">
        <f t="shared" ca="1" si="24"/>
        <v>-1.8859304259550734E-3</v>
      </c>
      <c r="Z113" s="150" t="e">
        <f t="shared" ca="1" si="24"/>
        <v>#NUM!</v>
      </c>
      <c r="AA113" s="150" t="e">
        <f t="shared" ca="1" si="24"/>
        <v>#NUM!</v>
      </c>
      <c r="AB113" s="150" t="e">
        <f t="shared" ca="1" si="24"/>
        <v>#VALUE!</v>
      </c>
      <c r="AC113" s="150">
        <f t="shared" ca="1" si="24"/>
        <v>-4.7465375620679706E-4</v>
      </c>
      <c r="AD113" s="150" t="e">
        <f t="shared" ca="1" si="24"/>
        <v>#VALUE!</v>
      </c>
      <c r="AE113" s="150" t="e">
        <f t="shared" ca="1" si="24"/>
        <v>#VALUE!</v>
      </c>
      <c r="AF113" s="150">
        <f t="shared" ca="1" si="24"/>
        <v>-6.9961481555363622E-5</v>
      </c>
      <c r="AG113" s="150">
        <f t="shared" ca="1" si="24"/>
        <v>-3.1573433375660619E-3</v>
      </c>
      <c r="AH113" s="150">
        <f t="shared" ca="1" si="24"/>
        <v>-2.2542572185245404E-3</v>
      </c>
      <c r="AI113" s="150" t="e">
        <f t="shared" ref="AI113:BN113" ca="1" si="25">AI97-AI112</f>
        <v>#VALUE!</v>
      </c>
      <c r="AJ113" s="150">
        <f t="shared" ca="1" si="25"/>
        <v>-1.1029492912286373E-3</v>
      </c>
      <c r="AK113" s="150" t="e">
        <f t="shared" ca="1" si="25"/>
        <v>#NUM!</v>
      </c>
      <c r="AL113" s="150">
        <f t="shared" ca="1" si="25"/>
        <v>-5.3026193416764317E-4</v>
      </c>
      <c r="AM113" s="150" t="e">
        <f t="shared" ca="1" si="25"/>
        <v>#VALUE!</v>
      </c>
      <c r="AN113" s="150" t="e">
        <f t="shared" ca="1" si="25"/>
        <v>#VALUE!</v>
      </c>
      <c r="AO113" s="150" t="e">
        <f t="shared" ca="1" si="25"/>
        <v>#VALUE!</v>
      </c>
      <c r="AP113" s="150">
        <f t="shared" ca="1" si="25"/>
        <v>-3.4612313242103968E-5</v>
      </c>
      <c r="AQ113" s="150">
        <f t="shared" ca="1" si="25"/>
        <v>-2.5142017209930359E-3</v>
      </c>
      <c r="AR113" s="150">
        <f t="shared" ca="1" si="25"/>
        <v>-1.7370610062192454E-3</v>
      </c>
      <c r="AS113" s="150" t="e">
        <f t="shared" ca="1" si="25"/>
        <v>#VALUE!</v>
      </c>
      <c r="AT113" s="150" t="e">
        <f t="shared" ca="1" si="25"/>
        <v>#VALUE!</v>
      </c>
      <c r="AU113" s="150">
        <f t="shared" ca="1" si="25"/>
        <v>-5.2664410930542555E-4</v>
      </c>
      <c r="AV113" s="150" t="e">
        <f t="shared" ca="1" si="25"/>
        <v>#VALUE!</v>
      </c>
      <c r="AW113" s="150">
        <f t="shared" ca="1" si="25"/>
        <v>-2.5668315460222052E-4</v>
      </c>
      <c r="AX113" s="150" t="e">
        <f t="shared" ca="1" si="25"/>
        <v>#VALUE!</v>
      </c>
      <c r="AY113" s="150">
        <f t="shared" ca="1" si="25"/>
        <v>-1.0535977374658348E-4</v>
      </c>
      <c r="AZ113" s="150">
        <f t="shared" ca="1" si="25"/>
        <v>-3.0855487559310404E-5</v>
      </c>
      <c r="BA113" s="150">
        <f t="shared" ca="1" si="25"/>
        <v>-1.8910252043517232E-3</v>
      </c>
      <c r="BB113" s="150">
        <f t="shared" ca="1" si="25"/>
        <v>-1.3098674980186456E-3</v>
      </c>
      <c r="BC113" s="150">
        <f t="shared" ca="1" si="25"/>
        <v>-9.0095965902925283E-4</v>
      </c>
      <c r="BD113" s="150">
        <f t="shared" ca="1" si="25"/>
        <v>-6.3767099421179786E-4</v>
      </c>
      <c r="BE113" s="150">
        <f t="shared" ca="1" si="25"/>
        <v>-4.0226409353607238E-4</v>
      </c>
      <c r="BF113" s="150">
        <f t="shared" ca="1" si="25"/>
        <v>-2.9445247266492343E-4</v>
      </c>
      <c r="BG113" s="150" t="e">
        <f t="shared" ca="1" si="25"/>
        <v>#NUM!</v>
      </c>
      <c r="BH113" s="150" t="e">
        <f t="shared" ca="1" si="25"/>
        <v>#VALUE!</v>
      </c>
      <c r="BI113" s="150" t="e">
        <f t="shared" ca="1" si="25"/>
        <v>#NUM!</v>
      </c>
      <c r="BJ113" s="150" t="e">
        <f t="shared" ca="1" si="25"/>
        <v>#VALUE!</v>
      </c>
      <c r="BK113" s="150" t="e">
        <f t="shared" ca="1" si="25"/>
        <v>#VALUE!</v>
      </c>
      <c r="BL113" s="150" t="e">
        <f t="shared" ca="1" si="25"/>
        <v>#VALUE!</v>
      </c>
      <c r="BM113" s="150">
        <f t="shared" ca="1" si="25"/>
        <v>-6.6802868327790581E-4</v>
      </c>
      <c r="BN113" s="150">
        <f t="shared" ca="1" si="25"/>
        <v>-4.4153436975070352E-4</v>
      </c>
      <c r="BO113" s="150" t="e">
        <f t="shared" ref="BO113:CT113" ca="1" si="26">BO97-BO112</f>
        <v>#VALUE!</v>
      </c>
      <c r="BP113" s="150">
        <f t="shared" ca="1" si="26"/>
        <v>-2.0593896671203607E-4</v>
      </c>
      <c r="BQ113" s="150">
        <f t="shared" ca="1" si="26"/>
        <v>-1.2781772009897233E-4</v>
      </c>
      <c r="BR113" s="150" t="e">
        <f t="shared" ca="1" si="26"/>
        <v>#VALUE!</v>
      </c>
      <c r="BS113" s="150" t="e">
        <f t="shared" ca="1" si="26"/>
        <v>#NUM!</v>
      </c>
      <c r="BT113" s="150">
        <f t="shared" ca="1" si="26"/>
        <v>1.4529808211417167E-5</v>
      </c>
      <c r="BU113" s="150">
        <f t="shared" ca="1" si="26"/>
        <v>-8.2052614710273562E-4</v>
      </c>
      <c r="BV113" s="150">
        <f t="shared" ca="1" si="26"/>
        <v>-5.6108751928601007E-4</v>
      </c>
      <c r="BW113" s="150">
        <f t="shared" ca="1" si="26"/>
        <v>-4.4411508217213555E-4</v>
      </c>
      <c r="BX113" s="150">
        <f t="shared" ca="1" si="26"/>
        <v>-2.715904802433073E-4</v>
      </c>
      <c r="BY113" s="150">
        <f t="shared" ca="1" si="26"/>
        <v>-1.9114798502780674E-4</v>
      </c>
      <c r="BZ113" s="150" t="e">
        <f t="shared" ca="1" si="26"/>
        <v>#VALUE!</v>
      </c>
      <c r="CA113" s="150">
        <f t="shared" ca="1" si="26"/>
        <v>-7.6378097698566461E-5</v>
      </c>
      <c r="CB113" s="150">
        <f t="shared" ca="1" si="26"/>
        <v>-4.933843176420892E-5</v>
      </c>
      <c r="CC113" s="150">
        <f t="shared" ca="1" si="26"/>
        <v>-2.0894491290793238E-5</v>
      </c>
      <c r="CD113" s="150">
        <f t="shared" ca="1" si="26"/>
        <v>7.2007727368542801E-6</v>
      </c>
      <c r="CE113" s="150">
        <f t="shared" ca="1" si="26"/>
        <v>-4.0508466833399752E-4</v>
      </c>
      <c r="CF113" s="150">
        <f t="shared" ca="1" si="26"/>
        <v>-2.8538007242599663E-4</v>
      </c>
      <c r="CG113" s="150">
        <f t="shared" ca="1" si="26"/>
        <v>-2.2378567992536839E-4</v>
      </c>
      <c r="CH113" s="150" t="e">
        <f t="shared" ca="1" si="26"/>
        <v>#VALUE!</v>
      </c>
      <c r="CI113" s="150" t="e">
        <f t="shared" ca="1" si="26"/>
        <v>#VALUE!</v>
      </c>
      <c r="CJ113" s="150">
        <f t="shared" ca="1" si="26"/>
        <v>-7.1783614771192897E-5</v>
      </c>
      <c r="CK113" s="150">
        <f t="shared" ca="1" si="26"/>
        <v>-3.4282863142521061E-5</v>
      </c>
      <c r="CL113" s="150" t="e">
        <f t="shared" ca="1" si="26"/>
        <v>#VALUE!</v>
      </c>
      <c r="CM113" s="150">
        <f t="shared" ca="1" si="26"/>
        <v>-1.0329372239331266E-5</v>
      </c>
      <c r="CN113" s="150">
        <f t="shared" ca="1" si="26"/>
        <v>-5.8067051035610127E-3</v>
      </c>
      <c r="CO113" s="150">
        <f t="shared" ca="1" si="26"/>
        <v>6.7654215563095477E-17</v>
      </c>
      <c r="CP113" s="150">
        <f t="shared" ca="1" si="26"/>
        <v>8.8722432178833799E-15</v>
      </c>
      <c r="CQ113" s="150" t="e">
        <f t="shared" ca="1" si="26"/>
        <v>#VALUE!</v>
      </c>
      <c r="CR113" s="150">
        <f t="shared" ca="1" si="26"/>
        <v>2.7564756033271465E-15</v>
      </c>
      <c r="CS113" s="150">
        <f t="shared" ca="1" si="26"/>
        <v>2.6124935548210715E-15</v>
      </c>
      <c r="CT113" s="150">
        <f t="shared" ca="1" si="26"/>
        <v>3.6116942769837124E-15</v>
      </c>
      <c r="CU113" s="150">
        <f ca="1">CU97-CU112</f>
        <v>3.7470027081099033E-16</v>
      </c>
      <c r="CV113" s="150">
        <f ca="1">CV97-CV112</f>
        <v>8.6279941524658454E-14</v>
      </c>
      <c r="CW113" s="150">
        <f ca="1">CW97-CW112</f>
        <v>2.6889948601116487E-14</v>
      </c>
      <c r="CX113" s="150">
        <f ca="1">CX97-CX112</f>
        <v>3.0551949858903527E-14</v>
      </c>
    </row>
    <row r="114" spans="2:102" ht="13.5" thickBot="1">
      <c r="B114" s="107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  <c r="AF114" s="143"/>
      <c r="AG114" s="143"/>
      <c r="AH114" s="143"/>
      <c r="AI114" s="143"/>
      <c r="AJ114" s="143"/>
      <c r="AK114" s="143"/>
      <c r="AL114" s="143"/>
      <c r="AM114" s="143"/>
      <c r="AN114" s="143"/>
      <c r="AO114" s="143"/>
      <c r="AP114" s="143"/>
      <c r="AQ114" s="143"/>
      <c r="AR114" s="143"/>
      <c r="AS114" s="143"/>
      <c r="AT114" s="143"/>
      <c r="AU114" s="143"/>
      <c r="AV114" s="143"/>
      <c r="AW114" s="143"/>
      <c r="AX114" s="143"/>
      <c r="AY114" s="143"/>
      <c r="AZ114" s="143"/>
      <c r="BA114" s="143"/>
      <c r="BB114" s="143"/>
      <c r="BC114" s="143"/>
      <c r="BD114" s="143"/>
      <c r="BE114" s="143"/>
      <c r="BF114" s="143"/>
      <c r="BG114" s="143"/>
      <c r="BH114" s="143"/>
      <c r="BI114" s="143"/>
      <c r="BJ114" s="143"/>
      <c r="BK114" s="143"/>
      <c r="BL114" s="143"/>
      <c r="BM114" s="143"/>
      <c r="BN114" s="143"/>
      <c r="BO114" s="143"/>
      <c r="BP114" s="143"/>
      <c r="BQ114" s="143"/>
      <c r="BR114" s="143"/>
      <c r="BS114" s="143"/>
      <c r="BT114" s="143"/>
      <c r="BU114" s="143"/>
      <c r="BV114" s="143"/>
      <c r="BW114" s="143"/>
      <c r="BX114" s="143"/>
      <c r="BY114" s="143"/>
      <c r="BZ114" s="143"/>
      <c r="CA114" s="143"/>
      <c r="CB114" s="143"/>
      <c r="CC114" s="143"/>
      <c r="CD114" s="143"/>
      <c r="CE114" s="143"/>
      <c r="CF114" s="143"/>
      <c r="CG114" s="143"/>
      <c r="CH114" s="143"/>
      <c r="CI114" s="143"/>
      <c r="CJ114" s="143"/>
      <c r="CK114" s="143"/>
      <c r="CL114" s="143"/>
      <c r="CM114" s="143"/>
      <c r="CN114" s="143"/>
      <c r="CO114" s="143"/>
      <c r="CP114" s="143"/>
      <c r="CQ114" s="143"/>
      <c r="CR114" s="143"/>
      <c r="CS114" s="143"/>
      <c r="CT114" s="143"/>
      <c r="CU114" s="143"/>
      <c r="CV114" s="143"/>
      <c r="CW114" s="143"/>
      <c r="CX114" s="143"/>
    </row>
    <row r="115" spans="2:102">
      <c r="C115" s="84"/>
      <c r="M115" s="84"/>
      <c r="W115" s="84"/>
      <c r="AG115" s="84"/>
      <c r="AQ115" s="84"/>
      <c r="BA115" s="84"/>
      <c r="BK115" s="84"/>
      <c r="BU115" s="84"/>
      <c r="CE115" s="84"/>
      <c r="CO115" s="84"/>
    </row>
  </sheetData>
  <dataValidations disablePrompts="1" count="5">
    <dataValidation type="list" allowBlank="1" showInputMessage="1" showErrorMessage="1" sqref="C59:CX59 C55:CX55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C51:CX51">
      <formula1>"Payer,Receiver"</formula1>
    </dataValidation>
    <dataValidation type="list" allowBlank="1" showInputMessage="1" showErrorMessage="1" sqref="C79:CX79">
      <formula1>"Physical,Cash"</formula1>
    </dataValidation>
    <dataValidation type="list" allowBlank="1" showInputMessage="1" showErrorMessage="1" sqref="C37:CX38 C21:CX22">
      <formula1>"Following,Modified Following,Preceding,Modified Preceding,Unadjusted"</formula1>
    </dataValidation>
    <dataValidation type="list" allowBlank="1" showInputMessage="1" showErrorMessage="1" sqref="C36:CX36 C10:CX10 C20:CX20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</sheetPr>
  <dimension ref="B2:AH100"/>
  <sheetViews>
    <sheetView showGridLines="0" topLeftCell="A13" zoomScale="70" zoomScaleNormal="70" workbookViewId="0">
      <selection activeCell="T47" sqref="T47"/>
    </sheetView>
  </sheetViews>
  <sheetFormatPr defaultRowHeight="15"/>
  <cols>
    <col min="2" max="2" width="19.5703125" style="47" bestFit="1" customWidth="1"/>
    <col min="3" max="3" width="15.28515625" style="47" bestFit="1" customWidth="1"/>
    <col min="5" max="7" width="13.140625" customWidth="1"/>
    <col min="8" max="8" width="13.7109375" bestFit="1" customWidth="1"/>
    <col min="10" max="10" width="13.5703125" customWidth="1"/>
    <col min="11" max="13" width="12.42578125" customWidth="1"/>
    <col min="14" max="14" width="12.42578125" bestFit="1" customWidth="1"/>
    <col min="15" max="15" width="11.5703125" bestFit="1" customWidth="1"/>
    <col min="16" max="16" width="12.42578125" bestFit="1" customWidth="1"/>
    <col min="17" max="17" width="11.5703125" bestFit="1" customWidth="1"/>
    <col min="18" max="18" width="12.42578125" bestFit="1" customWidth="1"/>
    <col min="19" max="19" width="11.5703125" bestFit="1" customWidth="1"/>
    <col min="20" max="20" width="12.42578125" bestFit="1" customWidth="1"/>
    <col min="21" max="21" width="11.5703125" bestFit="1" customWidth="1"/>
    <col min="22" max="22" width="12.42578125" bestFit="1" customWidth="1"/>
    <col min="23" max="23" width="11.5703125" bestFit="1" customWidth="1"/>
    <col min="24" max="24" width="12.42578125" bestFit="1" customWidth="1"/>
    <col min="25" max="25" width="11.5703125" bestFit="1" customWidth="1"/>
    <col min="26" max="26" width="12" bestFit="1" customWidth="1"/>
    <col min="27" max="27" width="11.140625" bestFit="1" customWidth="1"/>
    <col min="28" max="28" width="12.42578125" bestFit="1" customWidth="1"/>
    <col min="29" max="29" width="11.5703125" bestFit="1" customWidth="1"/>
    <col min="30" max="30" width="12.42578125" bestFit="1" customWidth="1"/>
    <col min="31" max="31" width="11.5703125" bestFit="1" customWidth="1"/>
    <col min="32" max="32" width="12.42578125" bestFit="1" customWidth="1"/>
    <col min="33" max="33" width="11.5703125" bestFit="1" customWidth="1"/>
    <col min="34" max="34" width="12.42578125" bestFit="1" customWidth="1"/>
  </cols>
  <sheetData>
    <row r="2" spans="2:34">
      <c r="B2" s="48" t="s">
        <v>303</v>
      </c>
    </row>
    <row r="3" spans="2:34">
      <c r="M3" s="215">
        <v>1.6279875189181392E-2</v>
      </c>
    </row>
    <row r="4" spans="2:34">
      <c r="B4" s="48" t="s">
        <v>60</v>
      </c>
    </row>
    <row r="5" spans="2:34" ht="15.75" thickBot="1">
      <c r="J5" s="263"/>
      <c r="K5" s="264"/>
      <c r="L5" s="264"/>
      <c r="M5" s="265" t="s">
        <v>340</v>
      </c>
      <c r="N5" s="257" t="s">
        <v>173</v>
      </c>
      <c r="O5" s="258" t="s">
        <v>341</v>
      </c>
      <c r="P5" s="258" t="s">
        <v>174</v>
      </c>
      <c r="Q5" s="258" t="s">
        <v>342</v>
      </c>
      <c r="R5" s="258" t="s">
        <v>175</v>
      </c>
      <c r="S5" s="258" t="s">
        <v>343</v>
      </c>
      <c r="T5" s="258" t="s">
        <v>157</v>
      </c>
      <c r="U5" s="258" t="s">
        <v>344</v>
      </c>
      <c r="V5" s="258" t="s">
        <v>158</v>
      </c>
      <c r="W5" s="258" t="s">
        <v>345</v>
      </c>
      <c r="X5" s="258" t="s">
        <v>176</v>
      </c>
      <c r="Y5" s="258" t="s">
        <v>346</v>
      </c>
      <c r="Z5" s="258" t="s">
        <v>347</v>
      </c>
      <c r="AA5" s="258" t="s">
        <v>348</v>
      </c>
      <c r="AB5" s="258" t="s">
        <v>349</v>
      </c>
      <c r="AC5" s="258" t="s">
        <v>350</v>
      </c>
      <c r="AD5" s="258" t="s">
        <v>351</v>
      </c>
      <c r="AE5" s="258" t="s">
        <v>352</v>
      </c>
      <c r="AF5" s="258" t="s">
        <v>353</v>
      </c>
      <c r="AG5" s="258" t="s">
        <v>354</v>
      </c>
      <c r="AH5" s="259" t="s">
        <v>177</v>
      </c>
    </row>
    <row r="6" spans="2:34">
      <c r="B6" s="102" t="s">
        <v>48</v>
      </c>
      <c r="C6" s="103">
        <f ca="1">Curve!$D$6</f>
        <v>42254</v>
      </c>
      <c r="E6" t="s">
        <v>50</v>
      </c>
      <c r="F6" s="187" t="str">
        <f ca="1">Calibration!$DA$2</f>
        <v>obj_00828#0004</v>
      </c>
      <c r="G6" s="179"/>
      <c r="J6" s="266"/>
      <c r="K6" s="267"/>
      <c r="L6" s="267"/>
      <c r="M6" s="268" t="s">
        <v>339</v>
      </c>
      <c r="N6" s="260">
        <f ca="1">_xll.qlCalendarAdvance("NullCalendar",$C$6,N5)</f>
        <v>45907</v>
      </c>
      <c r="O6" s="261">
        <f ca="1">_xll.qlCalendarAdvance("NullCalendar",$C$6,O5)</f>
        <v>46088</v>
      </c>
      <c r="P6" s="261">
        <f ca="1">_xll.qlCalendarAdvance("NullCalendar",$C$6,P5)</f>
        <v>46272</v>
      </c>
      <c r="Q6" s="261">
        <f ca="1">_xll.qlCalendarAdvance("NullCalendar",$C$6,Q5)</f>
        <v>46453</v>
      </c>
      <c r="R6" s="261">
        <f ca="1">_xll.qlCalendarAdvance("NullCalendar",$C$6,R5)</f>
        <v>46637</v>
      </c>
      <c r="S6" s="261">
        <f ca="1">_xll.qlCalendarAdvance("NullCalendar",$C$6,S5)</f>
        <v>46819</v>
      </c>
      <c r="T6" s="261">
        <f ca="1">_xll.qlCalendarAdvance("NullCalendar",$C$6,T5)</f>
        <v>47003</v>
      </c>
      <c r="U6" s="261">
        <f ca="1">_xll.qlCalendarAdvance("NullCalendar",$C$6,U5)</f>
        <v>47184</v>
      </c>
      <c r="V6" s="261">
        <f ca="1">_xll.qlCalendarAdvance("NullCalendar",$C$6,V5)</f>
        <v>47368</v>
      </c>
      <c r="W6" s="261">
        <f ca="1">_xll.qlCalendarAdvance("NullCalendar",$C$6,W5)</f>
        <v>47549</v>
      </c>
      <c r="X6" s="261">
        <f ca="1">_xll.qlCalendarAdvance("NullCalendar",$C$6,X5)</f>
        <v>47733</v>
      </c>
      <c r="Y6" s="261">
        <f ca="1">_xll.qlCalendarAdvance("NullCalendar",$C$6,Y5)</f>
        <v>47914</v>
      </c>
      <c r="Z6" s="261">
        <f ca="1">_xll.qlCalendarAdvance("NullCalendar",$C$6,Z5)</f>
        <v>48098</v>
      </c>
      <c r="AA6" s="261">
        <f ca="1">_xll.qlCalendarAdvance("NullCalendar",$C$6,AA5)</f>
        <v>48280</v>
      </c>
      <c r="AB6" s="261">
        <f ca="1">_xll.qlCalendarAdvance("NullCalendar",$C$6,AB5)</f>
        <v>48464</v>
      </c>
      <c r="AC6" s="261">
        <f ca="1">_xll.qlCalendarAdvance("NullCalendar",$C$6,AC5)</f>
        <v>48645</v>
      </c>
      <c r="AD6" s="261">
        <f ca="1">_xll.qlCalendarAdvance("NullCalendar",$C$6,AD5)</f>
        <v>48829</v>
      </c>
      <c r="AE6" s="261">
        <f ca="1">_xll.qlCalendarAdvance("NullCalendar",$C$6,AE5)</f>
        <v>49010</v>
      </c>
      <c r="AF6" s="261">
        <f ca="1">_xll.qlCalendarAdvance("NullCalendar",$C$6,AF5)</f>
        <v>49194</v>
      </c>
      <c r="AG6" s="261">
        <f ca="1">_xll.qlCalendarAdvance("NullCalendar",$C$6,AG5)</f>
        <v>49375</v>
      </c>
      <c r="AH6" s="262">
        <f ca="1">_xll.qlCalendarAdvance("NullCalendar",$C$6,AH5)</f>
        <v>49559</v>
      </c>
    </row>
    <row r="7" spans="2:34">
      <c r="B7" s="104" t="s">
        <v>65</v>
      </c>
      <c r="C7" s="106" t="s">
        <v>16</v>
      </c>
      <c r="E7" t="s">
        <v>309</v>
      </c>
      <c r="F7" s="179" t="str">
        <f ca="1">_xll.qlSwaptionCashFlows(,C75,C89,TRUE)</f>
        <v>obj_00ab2#0000</v>
      </c>
      <c r="J7" s="181" t="s">
        <v>305</v>
      </c>
      <c r="K7" s="181" t="s">
        <v>49</v>
      </c>
      <c r="L7" s="181" t="s">
        <v>314</v>
      </c>
      <c r="M7" s="181" t="s">
        <v>306</v>
      </c>
      <c r="N7" s="196">
        <f ca="1">_xll.qlDayCounterYearFraction("Act/365 (Fixed)",$C$6,N6)</f>
        <v>10.008219178082191</v>
      </c>
      <c r="O7" s="197">
        <f ca="1">_xll.qlDayCounterYearFraction("Act/365 (Fixed)",$C$6,O6)</f>
        <v>10.504109589041096</v>
      </c>
      <c r="P7" s="197">
        <f ca="1">_xll.qlDayCounterYearFraction("Act/365 (Fixed)",$C$6,P6)</f>
        <v>11.008219178082191</v>
      </c>
      <c r="Q7" s="197">
        <f ca="1">_xll.qlDayCounterYearFraction("Act/365 (Fixed)",$C$6,Q6)</f>
        <v>11.504109589041096</v>
      </c>
      <c r="R7" s="197">
        <f ca="1">_xll.qlDayCounterYearFraction("Act/365 (Fixed)",$C$6,R6)</f>
        <v>12.008219178082191</v>
      </c>
      <c r="S7" s="197">
        <f ca="1">_xll.qlDayCounterYearFraction("Act/365 (Fixed)",$C$6,S6)</f>
        <v>12.506849315068493</v>
      </c>
      <c r="T7" s="197">
        <f ca="1">_xll.qlDayCounterYearFraction("Act/365 (Fixed)",$C$6,T6)</f>
        <v>13.010958904109589</v>
      </c>
      <c r="U7" s="197">
        <f ca="1">_xll.qlDayCounterYearFraction("Act/365 (Fixed)",$C$6,U6)</f>
        <v>13.506849315068493</v>
      </c>
      <c r="V7" s="197">
        <f ca="1">_xll.qlDayCounterYearFraction("Act/365 (Fixed)",$C$6,V6)</f>
        <v>14.010958904109589</v>
      </c>
      <c r="W7" s="197">
        <f ca="1">_xll.qlDayCounterYearFraction("Act/365 (Fixed)",$C$6,W6)</f>
        <v>14.506849315068493</v>
      </c>
      <c r="X7" s="197">
        <f ca="1">_xll.qlDayCounterYearFraction("Act/365 (Fixed)",$C$6,X6)</f>
        <v>15.010958904109589</v>
      </c>
      <c r="Y7" s="197">
        <f ca="1">_xll.qlDayCounterYearFraction("Act/365 (Fixed)",$C$6,Y6)</f>
        <v>15.506849315068493</v>
      </c>
      <c r="Z7" s="197">
        <f ca="1">_xll.qlDayCounterYearFraction("Act/365 (Fixed)",$C$6,Z6)</f>
        <v>16.010958904109589</v>
      </c>
      <c r="AA7" s="197">
        <f ca="1">_xll.qlDayCounterYearFraction("Act/365 (Fixed)",$C$6,AA6)</f>
        <v>16.509589041095889</v>
      </c>
      <c r="AB7" s="197">
        <f ca="1">_xll.qlDayCounterYearFraction("Act/365 (Fixed)",$C$6,AB6)</f>
        <v>17.013698630136986</v>
      </c>
      <c r="AC7" s="197">
        <f ca="1">_xll.qlDayCounterYearFraction("Act/365 (Fixed)",$C$6,AC6)</f>
        <v>17.509589041095889</v>
      </c>
      <c r="AD7" s="197">
        <f ca="1">_xll.qlDayCounterYearFraction("Act/365 (Fixed)",$C$6,AD6)</f>
        <v>18.013698630136986</v>
      </c>
      <c r="AE7" s="197">
        <f ca="1">_xll.qlDayCounterYearFraction("Act/365 (Fixed)",$C$6,AE6)</f>
        <v>18.509589041095889</v>
      </c>
      <c r="AF7" s="197">
        <f ca="1">_xll.qlDayCounterYearFraction("Act/365 (Fixed)",$C$6,AF6)</f>
        <v>19.013698630136986</v>
      </c>
      <c r="AG7" s="197">
        <f ca="1">_xll.qlDayCounterYearFraction("Act/365 (Fixed)",$C$6,AG6)</f>
        <v>19.509589041095889</v>
      </c>
      <c r="AH7" s="198">
        <f ca="1">_xll.qlDayCounterYearFraction("Act/365 (Fixed)",$C$6,AH6)</f>
        <v>20.013698630136986</v>
      </c>
    </row>
    <row r="8" spans="2:34" ht="15.75" thickBot="1">
      <c r="B8" s="107" t="s">
        <v>47</v>
      </c>
      <c r="C8" s="109" t="s">
        <v>16</v>
      </c>
      <c r="J8" s="192">
        <v>-0.76366590480504293</v>
      </c>
      <c r="K8" s="182" t="e">
        <f t="array" aca="1" ref="K8" ca="1">XLHullWhiteLeg($F$6,$F$9,J8,$G$12:$G$21,$H$12:$H$21)</f>
        <v>#VALUE!</v>
      </c>
      <c r="L8" s="182" t="e">
        <f t="array" aca="1" ref="L8" ca="1">XLHullWhiteLeg($F$6,$F$9,J8,$E$12:$E$33,$F$12:$F$33)</f>
        <v>#VALUE!</v>
      </c>
      <c r="M8" s="211">
        <f t="shared" ref="M8:M31" ca="1" si="0">L8/K8</f>
        <v>-0.50040211498615206</v>
      </c>
      <c r="N8" s="199" t="e">
        <f ca="1">_xll.qlRealHullWhiteModelZeroBond($F$6,$F$9,N$7,$J8)/$K8</f>
        <v>#NUM!</v>
      </c>
      <c r="O8" s="200" t="e">
        <f ca="1">_xll.qlRealHullWhiteModelZeroBond($F$6,$F$9,O$7,$J8)/$K8</f>
        <v>#NUM!</v>
      </c>
      <c r="P8" s="200" t="e">
        <f ca="1">_xll.qlRealHullWhiteModelZeroBond($F$6,$F$9,P$7,$J8)/$K8</f>
        <v>#NUM!</v>
      </c>
      <c r="Q8" s="200" t="e">
        <f ca="1">_xll.qlRealHullWhiteModelZeroBond($F$6,$F$9,Q$7,$J8)/$K8</f>
        <v>#NUM!</v>
      </c>
      <c r="R8" s="200" t="e">
        <f ca="1">_xll.qlRealHullWhiteModelZeroBond($F$6,$F$9,R$7,$J8)/$K8</f>
        <v>#NUM!</v>
      </c>
      <c r="S8" s="200" t="e">
        <f ca="1">_xll.qlRealHullWhiteModelZeroBond($F$6,$F$9,S$7,$J8)/$K8</f>
        <v>#NUM!</v>
      </c>
      <c r="T8" s="200" t="e">
        <f ca="1">_xll.qlRealHullWhiteModelZeroBond($F$6,$F$9,T$7,$J8)/$K8</f>
        <v>#NUM!</v>
      </c>
      <c r="U8" s="200" t="e">
        <f ca="1">_xll.qlRealHullWhiteModelZeroBond($F$6,$F$9,U$7,$J8)/$K8</f>
        <v>#NUM!</v>
      </c>
      <c r="V8" s="200" t="e">
        <f ca="1">_xll.qlRealHullWhiteModelZeroBond($F$6,$F$9,V$7,$J8)/$K8</f>
        <v>#NUM!</v>
      </c>
      <c r="W8" s="200" t="e">
        <f ca="1">_xll.qlRealHullWhiteModelZeroBond($F$6,$F$9,W$7,$J8)/$K8</f>
        <v>#NUM!</v>
      </c>
      <c r="X8" s="200" t="e">
        <f ca="1">_xll.qlRealHullWhiteModelZeroBond($F$6,$F$9,X$7,$J8)/$K8</f>
        <v>#NUM!</v>
      </c>
      <c r="Y8" s="200" t="e">
        <f ca="1">_xll.qlRealHullWhiteModelZeroBond($F$6,$F$9,Y$7,$J8)/$K8</f>
        <v>#NUM!</v>
      </c>
      <c r="Z8" s="200" t="e">
        <f ca="1">_xll.qlRealHullWhiteModelZeroBond($F$6,$F$9,Z$7,$J8)/$K8</f>
        <v>#NUM!</v>
      </c>
      <c r="AA8" s="200" t="e">
        <f ca="1">_xll.qlRealHullWhiteModelZeroBond($F$6,$F$9,AA$7,$J8)/$K8</f>
        <v>#NUM!</v>
      </c>
      <c r="AB8" s="200" t="e">
        <f ca="1">_xll.qlRealHullWhiteModelZeroBond($F$6,$F$9,AB$7,$J8)/$K8</f>
        <v>#NUM!</v>
      </c>
      <c r="AC8" s="200" t="e">
        <f ca="1">_xll.qlRealHullWhiteModelZeroBond($F$6,$F$9,AC$7,$J8)/$K8</f>
        <v>#NUM!</v>
      </c>
      <c r="AD8" s="200" t="e">
        <f ca="1">_xll.qlRealHullWhiteModelZeroBond($F$6,$F$9,AD$7,$J8)/$K8</f>
        <v>#NUM!</v>
      </c>
      <c r="AE8" s="200" t="e">
        <f ca="1">_xll.qlRealHullWhiteModelZeroBond($F$6,$F$9,AE$7,$J8)/$K8</f>
        <v>#NUM!</v>
      </c>
      <c r="AF8" s="200" t="e">
        <f ca="1">_xll.qlRealHullWhiteModelZeroBond($F$6,$F$9,AF$7,$J8)/$K8</f>
        <v>#NUM!</v>
      </c>
      <c r="AG8" s="200" t="e">
        <f ca="1">_xll.qlRealHullWhiteModelZeroBond($F$6,$F$9,AG$7,$J8)/$K8</f>
        <v>#NUM!</v>
      </c>
      <c r="AH8" s="201" t="e">
        <f ca="1">_xll.qlRealHullWhiteModelZeroBond($F$6,$F$9,AH$7,$J8)/$K8</f>
        <v>#NUM!</v>
      </c>
    </row>
    <row r="9" spans="2:34" ht="15.75" thickBot="1">
      <c r="E9" t="s">
        <v>313</v>
      </c>
      <c r="F9" s="180">
        <f ca="1">_xll.qlSwaptionCashFlowsExerciseTimes(F7)</f>
        <v>10.010958904109589</v>
      </c>
      <c r="J9" s="193">
        <v>-0.6</v>
      </c>
      <c r="K9" s="183" t="e">
        <f t="array" aca="1" ref="K9" ca="1">XLHullWhiteLeg($F$6,$F$9,J9,$G$12:$G$21,$H$12:$H$21)</f>
        <v>#VALUE!</v>
      </c>
      <c r="L9" s="183" t="e">
        <f t="array" aca="1" ref="L9" ca="1">XLHullWhiteLeg($F$6,$F$9,J9,$E$12:$E$33,$F$12:$F$33)</f>
        <v>#VALUE!</v>
      </c>
      <c r="M9" s="212">
        <f t="shared" ca="1" si="0"/>
        <v>-0.42042978412285875</v>
      </c>
      <c r="N9" s="202" t="e">
        <f ca="1">_xll.qlRealHullWhiteModelZeroBond($F$6,$F$9,N$7,$J9)/$K9</f>
        <v>#NUM!</v>
      </c>
      <c r="O9" s="203" t="e">
        <f ca="1">_xll.qlRealHullWhiteModelZeroBond($F$6,$F$9,O$7,$J9)/$K9</f>
        <v>#NUM!</v>
      </c>
      <c r="P9" s="203" t="e">
        <f ca="1">_xll.qlRealHullWhiteModelZeroBond($F$6,$F$9,P$7,$J9)/$K9</f>
        <v>#NUM!</v>
      </c>
      <c r="Q9" s="203" t="e">
        <f ca="1">_xll.qlRealHullWhiteModelZeroBond($F$6,$F$9,Q$7,$J9)/$K9</f>
        <v>#NUM!</v>
      </c>
      <c r="R9" s="203" t="e">
        <f ca="1">_xll.qlRealHullWhiteModelZeroBond($F$6,$F$9,R$7,$J9)/$K9</f>
        <v>#NUM!</v>
      </c>
      <c r="S9" s="203" t="e">
        <f ca="1">_xll.qlRealHullWhiteModelZeroBond($F$6,$F$9,S$7,$J9)/$K9</f>
        <v>#NUM!</v>
      </c>
      <c r="T9" s="203" t="e">
        <f ca="1">_xll.qlRealHullWhiteModelZeroBond($F$6,$F$9,T$7,$J9)/$K9</f>
        <v>#NUM!</v>
      </c>
      <c r="U9" s="203" t="e">
        <f ca="1">_xll.qlRealHullWhiteModelZeroBond($F$6,$F$9,U$7,$J9)/$K9</f>
        <v>#NUM!</v>
      </c>
      <c r="V9" s="203" t="e">
        <f ca="1">_xll.qlRealHullWhiteModelZeroBond($F$6,$F$9,V$7,$J9)/$K9</f>
        <v>#NUM!</v>
      </c>
      <c r="W9" s="203" t="e">
        <f ca="1">_xll.qlRealHullWhiteModelZeroBond($F$6,$F$9,W$7,$J9)/$K9</f>
        <v>#NUM!</v>
      </c>
      <c r="X9" s="203" t="e">
        <f ca="1">_xll.qlRealHullWhiteModelZeroBond($F$6,$F$9,X$7,$J9)/$K9</f>
        <v>#NUM!</v>
      </c>
      <c r="Y9" s="203" t="e">
        <f ca="1">_xll.qlRealHullWhiteModelZeroBond($F$6,$F$9,Y$7,$J9)/$K9</f>
        <v>#NUM!</v>
      </c>
      <c r="Z9" s="203" t="e">
        <f ca="1">_xll.qlRealHullWhiteModelZeroBond($F$6,$F$9,Z$7,$J9)/$K9</f>
        <v>#NUM!</v>
      </c>
      <c r="AA9" s="203" t="e">
        <f ca="1">_xll.qlRealHullWhiteModelZeroBond($F$6,$F$9,AA$7,$J9)/$K9</f>
        <v>#NUM!</v>
      </c>
      <c r="AB9" s="203" t="e">
        <f ca="1">_xll.qlRealHullWhiteModelZeroBond($F$6,$F$9,AB$7,$J9)/$K9</f>
        <v>#NUM!</v>
      </c>
      <c r="AC9" s="203" t="e">
        <f ca="1">_xll.qlRealHullWhiteModelZeroBond($F$6,$F$9,AC$7,$J9)/$K9</f>
        <v>#NUM!</v>
      </c>
      <c r="AD9" s="203" t="e">
        <f ca="1">_xll.qlRealHullWhiteModelZeroBond($F$6,$F$9,AD$7,$J9)/$K9</f>
        <v>#NUM!</v>
      </c>
      <c r="AE9" s="203" t="e">
        <f ca="1">_xll.qlRealHullWhiteModelZeroBond($F$6,$F$9,AE$7,$J9)/$K9</f>
        <v>#NUM!</v>
      </c>
      <c r="AF9" s="203" t="e">
        <f ca="1">_xll.qlRealHullWhiteModelZeroBond($F$6,$F$9,AF$7,$J9)/$K9</f>
        <v>#NUM!</v>
      </c>
      <c r="AG9" s="203" t="e">
        <f ca="1">_xll.qlRealHullWhiteModelZeroBond($F$6,$F$9,AG$7,$J9)/$K9</f>
        <v>#NUM!</v>
      </c>
      <c r="AH9" s="204" t="e">
        <f ca="1">_xll.qlRealHullWhiteModelZeroBond($F$6,$F$9,AH$7,$J9)/$K9</f>
        <v>#NUM!</v>
      </c>
    </row>
    <row r="10" spans="2:34">
      <c r="B10" s="102" t="s">
        <v>3</v>
      </c>
      <c r="C10" s="110" t="s">
        <v>20</v>
      </c>
      <c r="J10" s="193">
        <v>-0.6</v>
      </c>
      <c r="K10" s="183" t="e">
        <f t="array" aca="1" ref="K10" ca="1">XLHullWhiteLeg($F$6,$F$9,J10,$G$12:$G$21,$H$12:$H$21)</f>
        <v>#VALUE!</v>
      </c>
      <c r="L10" s="183" t="e">
        <f t="array" aca="1" ref="L10" ca="1">XLHullWhiteLeg($F$6,$F$9,J10,$E$12:$E$33,$F$12:$F$33)</f>
        <v>#VALUE!</v>
      </c>
      <c r="M10" s="212" t="e">
        <f t="shared" ca="1" si="0"/>
        <v>#VALUE!</v>
      </c>
      <c r="N10" s="202" t="e">
        <f ca="1">_xll.qlRealHullWhiteModelZeroBond($F$6,$F$9,N$7,$J10)/$K10</f>
        <v>#NUM!</v>
      </c>
      <c r="O10" s="203" t="e">
        <f ca="1">_xll.qlRealHullWhiteModelZeroBond($F$6,$F$9,O$7,$J10)/$K10</f>
        <v>#NUM!</v>
      </c>
      <c r="P10" s="203" t="e">
        <f ca="1">_xll.qlRealHullWhiteModelZeroBond($F$6,$F$9,P$7,$J10)/$K10</f>
        <v>#NUM!</v>
      </c>
      <c r="Q10" s="203" t="e">
        <f ca="1">_xll.qlRealHullWhiteModelZeroBond($F$6,$F$9,Q$7,$J10)/$K10</f>
        <v>#NUM!</v>
      </c>
      <c r="R10" s="203" t="e">
        <f ca="1">_xll.qlRealHullWhiteModelZeroBond($F$6,$F$9,R$7,$J10)/$K10</f>
        <v>#NUM!</v>
      </c>
      <c r="S10" s="203" t="e">
        <f ca="1">_xll.qlRealHullWhiteModelZeroBond($F$6,$F$9,S$7,$J10)/$K10</f>
        <v>#NUM!</v>
      </c>
      <c r="T10" s="203" t="e">
        <f ca="1">_xll.qlRealHullWhiteModelZeroBond($F$6,$F$9,T$7,$J10)/$K10</f>
        <v>#NUM!</v>
      </c>
      <c r="U10" s="203" t="e">
        <f ca="1">_xll.qlRealHullWhiteModelZeroBond($F$6,$F$9,U$7,$J10)/$K10</f>
        <v>#NUM!</v>
      </c>
      <c r="V10" s="203" t="e">
        <f ca="1">_xll.qlRealHullWhiteModelZeroBond($F$6,$F$9,V$7,$J10)/$K10</f>
        <v>#NUM!</v>
      </c>
      <c r="W10" s="203" t="e">
        <f ca="1">_xll.qlRealHullWhiteModelZeroBond($F$6,$F$9,W$7,$J10)/$K10</f>
        <v>#NUM!</v>
      </c>
      <c r="X10" s="203" t="e">
        <f ca="1">_xll.qlRealHullWhiteModelZeroBond($F$6,$F$9,X$7,$J10)/$K10</f>
        <v>#NUM!</v>
      </c>
      <c r="Y10" s="203" t="e">
        <f ca="1">_xll.qlRealHullWhiteModelZeroBond($F$6,$F$9,Y$7,$J10)/$K10</f>
        <v>#NUM!</v>
      </c>
      <c r="Z10" s="203" t="e">
        <f ca="1">_xll.qlRealHullWhiteModelZeroBond($F$6,$F$9,Z$7,$J10)/$K10</f>
        <v>#NUM!</v>
      </c>
      <c r="AA10" s="203" t="e">
        <f ca="1">_xll.qlRealHullWhiteModelZeroBond($F$6,$F$9,AA$7,$J10)/$K10</f>
        <v>#NUM!</v>
      </c>
      <c r="AB10" s="203" t="e">
        <f ca="1">_xll.qlRealHullWhiteModelZeroBond($F$6,$F$9,AB$7,$J10)/$K10</f>
        <v>#NUM!</v>
      </c>
      <c r="AC10" s="203" t="e">
        <f ca="1">_xll.qlRealHullWhiteModelZeroBond($F$6,$F$9,AC$7,$J10)/$K10</f>
        <v>#NUM!</v>
      </c>
      <c r="AD10" s="203" t="e">
        <f ca="1">_xll.qlRealHullWhiteModelZeroBond($F$6,$F$9,AD$7,$J10)/$K10</f>
        <v>#NUM!</v>
      </c>
      <c r="AE10" s="203" t="e">
        <f ca="1">_xll.qlRealHullWhiteModelZeroBond($F$6,$F$9,AE$7,$J10)/$K10</f>
        <v>#NUM!</v>
      </c>
      <c r="AF10" s="203" t="e">
        <f ca="1">_xll.qlRealHullWhiteModelZeroBond($F$6,$F$9,AF$7,$J10)/$K10</f>
        <v>#NUM!</v>
      </c>
      <c r="AG10" s="203" t="e">
        <f ca="1">_xll.qlRealHullWhiteModelZeroBond($F$6,$F$9,AG$7,$J10)/$K10</f>
        <v>#NUM!</v>
      </c>
      <c r="AH10" s="204" t="e">
        <f ca="1">_xll.qlRealHullWhiteModelZeroBond($F$6,$F$9,AH$7,$J10)/$K10</f>
        <v>#NUM!</v>
      </c>
    </row>
    <row r="11" spans="2:34">
      <c r="B11" s="104" t="s">
        <v>304</v>
      </c>
      <c r="C11" s="111">
        <f ca="1">_xll.qlCalendarAdvance(C10,C6,C7)</f>
        <v>45908</v>
      </c>
      <c r="E11" s="181" t="s">
        <v>308</v>
      </c>
      <c r="F11" s="181" t="s">
        <v>310</v>
      </c>
      <c r="G11" s="181" t="s">
        <v>311</v>
      </c>
      <c r="H11" s="181" t="s">
        <v>312</v>
      </c>
      <c r="J11" s="193">
        <v>-0.4</v>
      </c>
      <c r="K11" s="183" t="e">
        <f t="array" aca="1" ref="K11" ca="1">XLHullWhiteLeg($F$6,$F$9,J11,$G$12:$G$21,$H$12:$H$21)</f>
        <v>#VALUE!</v>
      </c>
      <c r="L11" s="183" t="e">
        <f t="array" aca="1" ref="L11" ca="1">XLHullWhiteLeg($F$6,$F$9,J11,$E$12:$E$33,$F$12:$F$33)</f>
        <v>#VALUE!</v>
      </c>
      <c r="M11" s="212" t="e">
        <f t="shared" ca="1" si="0"/>
        <v>#VALUE!</v>
      </c>
      <c r="N11" s="202" t="e">
        <f ca="1">_xll.qlRealHullWhiteModelZeroBond($F$6,$F$9,N$7,$J11)/$K11</f>
        <v>#NUM!</v>
      </c>
      <c r="O11" s="203" t="e">
        <f ca="1">_xll.qlRealHullWhiteModelZeroBond($F$6,$F$9,O$7,$J11)/$K11</f>
        <v>#NUM!</v>
      </c>
      <c r="P11" s="203" t="e">
        <f ca="1">_xll.qlRealHullWhiteModelZeroBond($F$6,$F$9,P$7,$J11)/$K11</f>
        <v>#NUM!</v>
      </c>
      <c r="Q11" s="203" t="e">
        <f ca="1">_xll.qlRealHullWhiteModelZeroBond($F$6,$F$9,Q$7,$J11)/$K11</f>
        <v>#NUM!</v>
      </c>
      <c r="R11" s="203" t="e">
        <f ca="1">_xll.qlRealHullWhiteModelZeroBond($F$6,$F$9,R$7,$J11)/$K11</f>
        <v>#NUM!</v>
      </c>
      <c r="S11" s="203" t="e">
        <f ca="1">_xll.qlRealHullWhiteModelZeroBond($F$6,$F$9,S$7,$J11)/$K11</f>
        <v>#NUM!</v>
      </c>
      <c r="T11" s="203" t="e">
        <f ca="1">_xll.qlRealHullWhiteModelZeroBond($F$6,$F$9,T$7,$J11)/$K11</f>
        <v>#NUM!</v>
      </c>
      <c r="U11" s="203" t="e">
        <f ca="1">_xll.qlRealHullWhiteModelZeroBond($F$6,$F$9,U$7,$J11)/$K11</f>
        <v>#NUM!</v>
      </c>
      <c r="V11" s="203" t="e">
        <f ca="1">_xll.qlRealHullWhiteModelZeroBond($F$6,$F$9,V$7,$J11)/$K11</f>
        <v>#NUM!</v>
      </c>
      <c r="W11" s="203" t="e">
        <f ca="1">_xll.qlRealHullWhiteModelZeroBond($F$6,$F$9,W$7,$J11)/$K11</f>
        <v>#NUM!</v>
      </c>
      <c r="X11" s="203" t="e">
        <f ca="1">_xll.qlRealHullWhiteModelZeroBond($F$6,$F$9,X$7,$J11)/$K11</f>
        <v>#NUM!</v>
      </c>
      <c r="Y11" s="203" t="e">
        <f ca="1">_xll.qlRealHullWhiteModelZeroBond($F$6,$F$9,Y$7,$J11)/$K11</f>
        <v>#NUM!</v>
      </c>
      <c r="Z11" s="203" t="e">
        <f ca="1">_xll.qlRealHullWhiteModelZeroBond($F$6,$F$9,Z$7,$J11)/$K11</f>
        <v>#NUM!</v>
      </c>
      <c r="AA11" s="203" t="e">
        <f ca="1">_xll.qlRealHullWhiteModelZeroBond($F$6,$F$9,AA$7,$J11)/$K11</f>
        <v>#NUM!</v>
      </c>
      <c r="AB11" s="203" t="e">
        <f ca="1">_xll.qlRealHullWhiteModelZeroBond($F$6,$F$9,AB$7,$J11)/$K11</f>
        <v>#NUM!</v>
      </c>
      <c r="AC11" s="203" t="e">
        <f ca="1">_xll.qlRealHullWhiteModelZeroBond($F$6,$F$9,AC$7,$J11)/$K11</f>
        <v>#NUM!</v>
      </c>
      <c r="AD11" s="203" t="e">
        <f ca="1">_xll.qlRealHullWhiteModelZeroBond($F$6,$F$9,AD$7,$J11)/$K11</f>
        <v>#NUM!</v>
      </c>
      <c r="AE11" s="203" t="e">
        <f ca="1">_xll.qlRealHullWhiteModelZeroBond($F$6,$F$9,AE$7,$J11)/$K11</f>
        <v>#NUM!</v>
      </c>
      <c r="AF11" s="203" t="e">
        <f ca="1">_xll.qlRealHullWhiteModelZeroBond($F$6,$F$9,AF$7,$J11)/$K11</f>
        <v>#NUM!</v>
      </c>
      <c r="AG11" s="203" t="e">
        <f ca="1">_xll.qlRealHullWhiteModelZeroBond($F$6,$F$9,AG$7,$J11)/$K11</f>
        <v>#NUM!</v>
      </c>
      <c r="AH11" s="204" t="e">
        <f ca="1">_xll.qlRealHullWhiteModelZeroBond($F$6,$F$9,AH$7,$J11)/$K11</f>
        <v>#NUM!</v>
      </c>
    </row>
    <row r="12" spans="2:34">
      <c r="B12" s="104" t="s">
        <v>66</v>
      </c>
      <c r="C12" s="111">
        <f ca="1">_xll.qlCalendarAdvance(C10,C11,"2D")</f>
        <v>45910</v>
      </c>
      <c r="E12" s="182">
        <f t="array" aca="1" ref="E12:E34" ca="1">_xll.qlSwaptionCashFlowsFloatTimes(F7)</f>
        <v>10.016438356164384</v>
      </c>
      <c r="F12" s="188">
        <f t="array" aca="1" ref="F12:F34" ca="1">_xll.qlSwaptionCashFlowsFloatWeights(F7)</f>
        <v>1</v>
      </c>
      <c r="G12" s="182">
        <f t="array" aca="1" ref="G12:G22" ca="1">_xll.qlSwaptionCashFlowsFixedTimes(F7)</f>
        <v>11.016438356164384</v>
      </c>
      <c r="H12" s="188">
        <f t="array" aca="1" ref="H12:H22" ca="1">_xll.qlSwaptionCashFlowsFixedWeights(F7)</f>
        <v>1</v>
      </c>
      <c r="J12" s="193">
        <v>-0.3</v>
      </c>
      <c r="K12" s="183" t="e">
        <f t="array" aca="1" ref="K12" ca="1">XLHullWhiteLeg($F$6,$F$9,J12,$G$12:$G$21,$H$12:$H$21)</f>
        <v>#VALUE!</v>
      </c>
      <c r="L12" s="183" t="e">
        <f t="array" aca="1" ref="L12" ca="1">XLHullWhiteLeg($F$6,$F$9,J12,$E$12:$E$33,$F$12:$F$33)</f>
        <v>#VALUE!</v>
      </c>
      <c r="M12" s="212">
        <f t="shared" ca="1" si="0"/>
        <v>-0.23857335359706625</v>
      </c>
      <c r="N12" s="202" t="e">
        <f ca="1">_xll.qlRealHullWhiteModelZeroBond($F$6,$F$9,N$7,$J12)/$K12</f>
        <v>#NUM!</v>
      </c>
      <c r="O12" s="203" t="e">
        <f ca="1">_xll.qlRealHullWhiteModelZeroBond($F$6,$F$9,O$7,$J12)/$K12</f>
        <v>#NUM!</v>
      </c>
      <c r="P12" s="203" t="e">
        <f ca="1">_xll.qlRealHullWhiteModelZeroBond($F$6,$F$9,P$7,$J12)/$K12</f>
        <v>#NUM!</v>
      </c>
      <c r="Q12" s="203" t="e">
        <f ca="1">_xll.qlRealHullWhiteModelZeroBond($F$6,$F$9,Q$7,$J12)/$K12</f>
        <v>#NUM!</v>
      </c>
      <c r="R12" s="203" t="e">
        <f ca="1">_xll.qlRealHullWhiteModelZeroBond($F$6,$F$9,R$7,$J12)/$K12</f>
        <v>#NUM!</v>
      </c>
      <c r="S12" s="203" t="e">
        <f ca="1">_xll.qlRealHullWhiteModelZeroBond($F$6,$F$9,S$7,$J12)/$K12</f>
        <v>#NUM!</v>
      </c>
      <c r="T12" s="203" t="e">
        <f ca="1">_xll.qlRealHullWhiteModelZeroBond($F$6,$F$9,T$7,$J12)/$K12</f>
        <v>#NUM!</v>
      </c>
      <c r="U12" s="203" t="e">
        <f ca="1">_xll.qlRealHullWhiteModelZeroBond($F$6,$F$9,U$7,$J12)/$K12</f>
        <v>#NUM!</v>
      </c>
      <c r="V12" s="203" t="e">
        <f ca="1">_xll.qlRealHullWhiteModelZeroBond($F$6,$F$9,V$7,$J12)/$K12</f>
        <v>#NUM!</v>
      </c>
      <c r="W12" s="203" t="e">
        <f ca="1">_xll.qlRealHullWhiteModelZeroBond($F$6,$F$9,W$7,$J12)/$K12</f>
        <v>#NUM!</v>
      </c>
      <c r="X12" s="203" t="e">
        <f ca="1">_xll.qlRealHullWhiteModelZeroBond($F$6,$F$9,X$7,$J12)/$K12</f>
        <v>#NUM!</v>
      </c>
      <c r="Y12" s="203" t="e">
        <f ca="1">_xll.qlRealHullWhiteModelZeroBond($F$6,$F$9,Y$7,$J12)/$K12</f>
        <v>#NUM!</v>
      </c>
      <c r="Z12" s="203" t="e">
        <f ca="1">_xll.qlRealHullWhiteModelZeroBond($F$6,$F$9,Z$7,$J12)/$K12</f>
        <v>#NUM!</v>
      </c>
      <c r="AA12" s="203" t="e">
        <f ca="1">_xll.qlRealHullWhiteModelZeroBond($F$6,$F$9,AA$7,$J12)/$K12</f>
        <v>#NUM!</v>
      </c>
      <c r="AB12" s="203" t="e">
        <f ca="1">_xll.qlRealHullWhiteModelZeroBond($F$6,$F$9,AB$7,$J12)/$K12</f>
        <v>#NUM!</v>
      </c>
      <c r="AC12" s="203" t="e">
        <f ca="1">_xll.qlRealHullWhiteModelZeroBond($F$6,$F$9,AC$7,$J12)/$K12</f>
        <v>#NUM!</v>
      </c>
      <c r="AD12" s="203" t="e">
        <f ca="1">_xll.qlRealHullWhiteModelZeroBond($F$6,$F$9,AD$7,$J12)/$K12</f>
        <v>#NUM!</v>
      </c>
      <c r="AE12" s="203" t="e">
        <f ca="1">_xll.qlRealHullWhiteModelZeroBond($F$6,$F$9,AE$7,$J12)/$K12</f>
        <v>#NUM!</v>
      </c>
      <c r="AF12" s="203" t="e">
        <f ca="1">_xll.qlRealHullWhiteModelZeroBond($F$6,$F$9,AF$7,$J12)/$K12</f>
        <v>#NUM!</v>
      </c>
      <c r="AG12" s="203" t="e">
        <f ca="1">_xll.qlRealHullWhiteModelZeroBond($F$6,$F$9,AG$7,$J12)/$K12</f>
        <v>#NUM!</v>
      </c>
      <c r="AH12" s="204" t="e">
        <f ca="1">_xll.qlRealHullWhiteModelZeroBond($F$6,$F$9,AH$7,$J12)/$K12</f>
        <v>#NUM!</v>
      </c>
    </row>
    <row r="13" spans="2:34" ht="15.75" thickBot="1">
      <c r="B13" s="107" t="s">
        <v>67</v>
      </c>
      <c r="C13" s="112">
        <f ca="1">_xll.qlCalendarAdvance(C10,C12,C8,"Unadjusted")</f>
        <v>49562</v>
      </c>
      <c r="E13" s="183">
        <f ca="1"/>
        <v>10.016438356164384</v>
      </c>
      <c r="F13" s="189">
        <f ca="1"/>
        <v>8.6689874715628612E-4</v>
      </c>
      <c r="G13" s="183">
        <f ca="1"/>
        <v>12.016438356164384</v>
      </c>
      <c r="H13" s="189">
        <f ca="1"/>
        <v>1</v>
      </c>
      <c r="J13" s="193">
        <v>-0.25</v>
      </c>
      <c r="K13" s="183" t="e">
        <f t="array" aca="1" ref="K13" ca="1">XLHullWhiteLeg($F$6,$F$9,J13,$G$12:$G$21,$H$12:$H$21)</f>
        <v>#VALUE!</v>
      </c>
      <c r="L13" s="183" t="e">
        <f t="array" aca="1" ref="L13" ca="1">XLHullWhiteLeg($F$6,$F$9,J13,$E$12:$E$33,$F$12:$F$33)</f>
        <v>#VALUE!</v>
      </c>
      <c r="M13" s="212" t="e">
        <f t="shared" ca="1" si="0"/>
        <v>#VALUE!</v>
      </c>
      <c r="N13" s="202" t="e">
        <f ca="1">_xll.qlRealHullWhiteModelZeroBond($F$6,$F$9,N$7,$J13)/$K13</f>
        <v>#NUM!</v>
      </c>
      <c r="O13" s="203" t="e">
        <f ca="1">_xll.qlRealHullWhiteModelZeroBond($F$6,$F$9,O$7,$J13)/$K13</f>
        <v>#NUM!</v>
      </c>
      <c r="P13" s="203" t="e">
        <f ca="1">_xll.qlRealHullWhiteModelZeroBond($F$6,$F$9,P$7,$J13)/$K13</f>
        <v>#NUM!</v>
      </c>
      <c r="Q13" s="203" t="e">
        <f ca="1">_xll.qlRealHullWhiteModelZeroBond($F$6,$F$9,Q$7,$J13)/$K13</f>
        <v>#NUM!</v>
      </c>
      <c r="R13" s="203" t="e">
        <f ca="1">_xll.qlRealHullWhiteModelZeroBond($F$6,$F$9,R$7,$J13)/$K13</f>
        <v>#NUM!</v>
      </c>
      <c r="S13" s="203" t="e">
        <f ca="1">_xll.qlRealHullWhiteModelZeroBond($F$6,$F$9,S$7,$J13)/$K13</f>
        <v>#NUM!</v>
      </c>
      <c r="T13" s="203" t="e">
        <f ca="1">_xll.qlRealHullWhiteModelZeroBond($F$6,$F$9,T$7,$J13)/$K13</f>
        <v>#NUM!</v>
      </c>
      <c r="U13" s="203" t="e">
        <f ca="1">_xll.qlRealHullWhiteModelZeroBond($F$6,$F$9,U$7,$J13)/$K13</f>
        <v>#NUM!</v>
      </c>
      <c r="V13" s="203" t="e">
        <f ca="1">_xll.qlRealHullWhiteModelZeroBond($F$6,$F$9,V$7,$J13)/$K13</f>
        <v>#NUM!</v>
      </c>
      <c r="W13" s="203" t="e">
        <f ca="1">_xll.qlRealHullWhiteModelZeroBond($F$6,$F$9,W$7,$J13)/$K13</f>
        <v>#NUM!</v>
      </c>
      <c r="X13" s="203" t="e">
        <f ca="1">_xll.qlRealHullWhiteModelZeroBond($F$6,$F$9,X$7,$J13)/$K13</f>
        <v>#NUM!</v>
      </c>
      <c r="Y13" s="203" t="e">
        <f ca="1">_xll.qlRealHullWhiteModelZeroBond($F$6,$F$9,Y$7,$J13)/$K13</f>
        <v>#NUM!</v>
      </c>
      <c r="Z13" s="203" t="e">
        <f ca="1">_xll.qlRealHullWhiteModelZeroBond($F$6,$F$9,Z$7,$J13)/$K13</f>
        <v>#NUM!</v>
      </c>
      <c r="AA13" s="203" t="e">
        <f ca="1">_xll.qlRealHullWhiteModelZeroBond($F$6,$F$9,AA$7,$J13)/$K13</f>
        <v>#NUM!</v>
      </c>
      <c r="AB13" s="203" t="e">
        <f ca="1">_xll.qlRealHullWhiteModelZeroBond($F$6,$F$9,AB$7,$J13)/$K13</f>
        <v>#NUM!</v>
      </c>
      <c r="AC13" s="203" t="e">
        <f ca="1">_xll.qlRealHullWhiteModelZeroBond($F$6,$F$9,AC$7,$J13)/$K13</f>
        <v>#NUM!</v>
      </c>
      <c r="AD13" s="203" t="e">
        <f ca="1">_xll.qlRealHullWhiteModelZeroBond($F$6,$F$9,AD$7,$J13)/$K13</f>
        <v>#NUM!</v>
      </c>
      <c r="AE13" s="203" t="e">
        <f ca="1">_xll.qlRealHullWhiteModelZeroBond($F$6,$F$9,AE$7,$J13)/$K13</f>
        <v>#NUM!</v>
      </c>
      <c r="AF13" s="203" t="e">
        <f ca="1">_xll.qlRealHullWhiteModelZeroBond($F$6,$F$9,AF$7,$J13)/$K13</f>
        <v>#NUM!</v>
      </c>
      <c r="AG13" s="203" t="e">
        <f ca="1">_xll.qlRealHullWhiteModelZeroBond($F$6,$F$9,AG$7,$J13)/$K13</f>
        <v>#NUM!</v>
      </c>
      <c r="AH13" s="204" t="e">
        <f ca="1">_xll.qlRealHullWhiteModelZeroBond($F$6,$F$9,AH$7,$J13)/$K13</f>
        <v>#NUM!</v>
      </c>
    </row>
    <row r="14" spans="2:34" ht="15.75" thickBot="1">
      <c r="E14" s="183">
        <f ca="1"/>
        <v>10.512328767123288</v>
      </c>
      <c r="F14" s="189">
        <f ca="1"/>
        <v>8.6399881148646607E-4</v>
      </c>
      <c r="G14" s="183">
        <f ca="1"/>
        <v>13.021917808219179</v>
      </c>
      <c r="H14" s="189">
        <f ca="1"/>
        <v>1.0027777777777778</v>
      </c>
      <c r="J14" s="193">
        <v>-0.2</v>
      </c>
      <c r="K14" s="183" t="e">
        <f t="array" aca="1" ref="K14" ca="1">XLHullWhiteLeg($F$6,$F$9,J14,$G$12:$G$21,$H$12:$H$21)</f>
        <v>#VALUE!</v>
      </c>
      <c r="L14" s="183" t="e">
        <f t="array" aca="1" ref="L14" ca="1">XLHullWhiteLeg($F$6,$F$9,J14,$E$12:$E$33,$F$12:$F$33)</f>
        <v>#VALUE!</v>
      </c>
      <c r="M14" s="212" t="e">
        <f t="shared" ca="1" si="0"/>
        <v>#VALUE!</v>
      </c>
      <c r="N14" s="202" t="e">
        <f ca="1">_xll.qlRealHullWhiteModelZeroBond($F$6,$F$9,N$7,$J14)/$K14</f>
        <v>#NUM!</v>
      </c>
      <c r="O14" s="203" t="e">
        <f ca="1">_xll.qlRealHullWhiteModelZeroBond($F$6,$F$9,O$7,$J14)/$K14</f>
        <v>#NUM!</v>
      </c>
      <c r="P14" s="203" t="e">
        <f ca="1">_xll.qlRealHullWhiteModelZeroBond($F$6,$F$9,P$7,$J14)/$K14</f>
        <v>#NUM!</v>
      </c>
      <c r="Q14" s="203" t="e">
        <f ca="1">_xll.qlRealHullWhiteModelZeroBond($F$6,$F$9,Q$7,$J14)/$K14</f>
        <v>#NUM!</v>
      </c>
      <c r="R14" s="203" t="e">
        <f ca="1">_xll.qlRealHullWhiteModelZeroBond($F$6,$F$9,R$7,$J14)/$K14</f>
        <v>#NUM!</v>
      </c>
      <c r="S14" s="203" t="e">
        <f ca="1">_xll.qlRealHullWhiteModelZeroBond($F$6,$F$9,S$7,$J14)/$K14</f>
        <v>#NUM!</v>
      </c>
      <c r="T14" s="203" t="e">
        <f ca="1">_xll.qlRealHullWhiteModelZeroBond($F$6,$F$9,T$7,$J14)/$K14</f>
        <v>#NUM!</v>
      </c>
      <c r="U14" s="203" t="e">
        <f ca="1">_xll.qlRealHullWhiteModelZeroBond($F$6,$F$9,U$7,$J14)/$K14</f>
        <v>#NUM!</v>
      </c>
      <c r="V14" s="203" t="e">
        <f ca="1">_xll.qlRealHullWhiteModelZeroBond($F$6,$F$9,V$7,$J14)/$K14</f>
        <v>#NUM!</v>
      </c>
      <c r="W14" s="203" t="e">
        <f ca="1">_xll.qlRealHullWhiteModelZeroBond($F$6,$F$9,W$7,$J14)/$K14</f>
        <v>#NUM!</v>
      </c>
      <c r="X14" s="203" t="e">
        <f ca="1">_xll.qlRealHullWhiteModelZeroBond($F$6,$F$9,X$7,$J14)/$K14</f>
        <v>#NUM!</v>
      </c>
      <c r="Y14" s="203" t="e">
        <f ca="1">_xll.qlRealHullWhiteModelZeroBond($F$6,$F$9,Y$7,$J14)/$K14</f>
        <v>#NUM!</v>
      </c>
      <c r="Z14" s="203" t="e">
        <f ca="1">_xll.qlRealHullWhiteModelZeroBond($F$6,$F$9,Z$7,$J14)/$K14</f>
        <v>#NUM!</v>
      </c>
      <c r="AA14" s="203" t="e">
        <f ca="1">_xll.qlRealHullWhiteModelZeroBond($F$6,$F$9,AA$7,$J14)/$K14</f>
        <v>#NUM!</v>
      </c>
      <c r="AB14" s="203" t="e">
        <f ca="1">_xll.qlRealHullWhiteModelZeroBond($F$6,$F$9,AB$7,$J14)/$K14</f>
        <v>#NUM!</v>
      </c>
      <c r="AC14" s="203" t="e">
        <f ca="1">_xll.qlRealHullWhiteModelZeroBond($F$6,$F$9,AC$7,$J14)/$K14</f>
        <v>#NUM!</v>
      </c>
      <c r="AD14" s="203" t="e">
        <f ca="1">_xll.qlRealHullWhiteModelZeroBond($F$6,$F$9,AD$7,$J14)/$K14</f>
        <v>#NUM!</v>
      </c>
      <c r="AE14" s="203" t="e">
        <f ca="1">_xll.qlRealHullWhiteModelZeroBond($F$6,$F$9,AE$7,$J14)/$K14</f>
        <v>#NUM!</v>
      </c>
      <c r="AF14" s="203" t="e">
        <f ca="1">_xll.qlRealHullWhiteModelZeroBond($F$6,$F$9,AF$7,$J14)/$K14</f>
        <v>#NUM!</v>
      </c>
      <c r="AG14" s="203" t="e">
        <f ca="1">_xll.qlRealHullWhiteModelZeroBond($F$6,$F$9,AG$7,$J14)/$K14</f>
        <v>#NUM!</v>
      </c>
      <c r="AH14" s="204" t="e">
        <f ca="1">_xll.qlRealHullWhiteModelZeroBond($F$6,$F$9,AH$7,$J14)/$K14</f>
        <v>#NUM!</v>
      </c>
    </row>
    <row r="15" spans="2:34">
      <c r="B15" s="102" t="s">
        <v>39</v>
      </c>
      <c r="C15" s="113" t="str">
        <f ca="1">_xll.qlSchedule(C17,C18,C19,C20,C21,C22,C23,C24,C25,C26,C27,C28,C29)</f>
        <v>obj_00982#0000</v>
      </c>
      <c r="E15" s="183">
        <f ca="1"/>
        <v>11.016438356164384</v>
      </c>
      <c r="F15" s="189">
        <f ca="1"/>
        <v>7.9290002432208517E-4</v>
      </c>
      <c r="G15" s="183">
        <f ca="1"/>
        <v>14.019178082191781</v>
      </c>
      <c r="H15" s="189">
        <f ca="1"/>
        <v>0.99722222222222223</v>
      </c>
      <c r="J15" s="193">
        <v>-0.15</v>
      </c>
      <c r="K15" s="183" t="e">
        <f t="array" aca="1" ref="K15" ca="1">XLHullWhiteLeg($F$6,$F$9,J15,$G$12:$G$21,$H$12:$H$21)</f>
        <v>#VALUE!</v>
      </c>
      <c r="L15" s="183" t="e">
        <f t="array" aca="1" ref="L15" ca="1">XLHullWhiteLeg($F$6,$F$9,J15,$E$12:$E$33,$F$12:$F$33)</f>
        <v>#VALUE!</v>
      </c>
      <c r="M15" s="212" t="e">
        <f t="shared" ca="1" si="0"/>
        <v>#VALUE!</v>
      </c>
      <c r="N15" s="202" t="e">
        <f ca="1">_xll.qlRealHullWhiteModelZeroBond($F$6,$F$9,N$7,$J15)/$K15</f>
        <v>#NUM!</v>
      </c>
      <c r="O15" s="203" t="e">
        <f ca="1">_xll.qlRealHullWhiteModelZeroBond($F$6,$F$9,O$7,$J15)/$K15</f>
        <v>#NUM!</v>
      </c>
      <c r="P15" s="203" t="e">
        <f ca="1">_xll.qlRealHullWhiteModelZeroBond($F$6,$F$9,P$7,$J15)/$K15</f>
        <v>#NUM!</v>
      </c>
      <c r="Q15" s="203" t="e">
        <f ca="1">_xll.qlRealHullWhiteModelZeroBond($F$6,$F$9,Q$7,$J15)/$K15</f>
        <v>#NUM!</v>
      </c>
      <c r="R15" s="203" t="e">
        <f ca="1">_xll.qlRealHullWhiteModelZeroBond($F$6,$F$9,R$7,$J15)/$K15</f>
        <v>#NUM!</v>
      </c>
      <c r="S15" s="203" t="e">
        <f ca="1">_xll.qlRealHullWhiteModelZeroBond($F$6,$F$9,S$7,$J15)/$K15</f>
        <v>#NUM!</v>
      </c>
      <c r="T15" s="203" t="e">
        <f ca="1">_xll.qlRealHullWhiteModelZeroBond($F$6,$F$9,T$7,$J15)/$K15</f>
        <v>#NUM!</v>
      </c>
      <c r="U15" s="203" t="e">
        <f ca="1">_xll.qlRealHullWhiteModelZeroBond($F$6,$F$9,U$7,$J15)/$K15</f>
        <v>#NUM!</v>
      </c>
      <c r="V15" s="203" t="e">
        <f ca="1">_xll.qlRealHullWhiteModelZeroBond($F$6,$F$9,V$7,$J15)/$K15</f>
        <v>#NUM!</v>
      </c>
      <c r="W15" s="203" t="e">
        <f ca="1">_xll.qlRealHullWhiteModelZeroBond($F$6,$F$9,W$7,$J15)/$K15</f>
        <v>#NUM!</v>
      </c>
      <c r="X15" s="203" t="e">
        <f ca="1">_xll.qlRealHullWhiteModelZeroBond($F$6,$F$9,X$7,$J15)/$K15</f>
        <v>#NUM!</v>
      </c>
      <c r="Y15" s="203" t="e">
        <f ca="1">_xll.qlRealHullWhiteModelZeroBond($F$6,$F$9,Y$7,$J15)/$K15</f>
        <v>#NUM!</v>
      </c>
      <c r="Z15" s="203" t="e">
        <f ca="1">_xll.qlRealHullWhiteModelZeroBond($F$6,$F$9,Z$7,$J15)/$K15</f>
        <v>#NUM!</v>
      </c>
      <c r="AA15" s="203" t="e">
        <f ca="1">_xll.qlRealHullWhiteModelZeroBond($F$6,$F$9,AA$7,$J15)/$K15</f>
        <v>#NUM!</v>
      </c>
      <c r="AB15" s="203" t="e">
        <f ca="1">_xll.qlRealHullWhiteModelZeroBond($F$6,$F$9,AB$7,$J15)/$K15</f>
        <v>#NUM!</v>
      </c>
      <c r="AC15" s="203" t="e">
        <f ca="1">_xll.qlRealHullWhiteModelZeroBond($F$6,$F$9,AC$7,$J15)/$K15</f>
        <v>#NUM!</v>
      </c>
      <c r="AD15" s="203" t="e">
        <f ca="1">_xll.qlRealHullWhiteModelZeroBond($F$6,$F$9,AD$7,$J15)/$K15</f>
        <v>#NUM!</v>
      </c>
      <c r="AE15" s="203" t="e">
        <f ca="1">_xll.qlRealHullWhiteModelZeroBond($F$6,$F$9,AE$7,$J15)/$K15</f>
        <v>#NUM!</v>
      </c>
      <c r="AF15" s="203" t="e">
        <f ca="1">_xll.qlRealHullWhiteModelZeroBond($F$6,$F$9,AF$7,$J15)/$K15</f>
        <v>#NUM!</v>
      </c>
      <c r="AG15" s="203" t="e">
        <f ca="1">_xll.qlRealHullWhiteModelZeroBond($F$6,$F$9,AG$7,$J15)/$K15</f>
        <v>#NUM!</v>
      </c>
      <c r="AH15" s="204" t="e">
        <f ca="1">_xll.qlRealHullWhiteModelZeroBond($F$6,$F$9,AH$7,$J15)/$K15</f>
        <v>#NUM!</v>
      </c>
    </row>
    <row r="16" spans="2:34" ht="15.75" thickBot="1">
      <c r="B16" s="107" t="s">
        <v>5</v>
      </c>
      <c r="C16" s="114" t="str">
        <f ca="1">_xll.ohRangeRetrieveError(C15)</f>
        <v/>
      </c>
      <c r="E16" s="183">
        <f ca="1"/>
        <v>11.512328767123288</v>
      </c>
      <c r="F16" s="189">
        <f ca="1"/>
        <v>7.289151917648784E-4</v>
      </c>
      <c r="G16" s="183">
        <f ca="1"/>
        <v>15.019178082191781</v>
      </c>
      <c r="H16" s="189">
        <f ca="1"/>
        <v>1</v>
      </c>
      <c r="J16" s="193">
        <v>-0.1</v>
      </c>
      <c r="K16" s="183" t="e">
        <f t="array" aca="1" ref="K16" ca="1">XLHullWhiteLeg($F$6,$F$9,J16,$G$12:$G$21,$H$12:$H$21)</f>
        <v>#VALUE!</v>
      </c>
      <c r="L16" s="183" t="e">
        <f t="array" aca="1" ref="L16" ca="1">XLHullWhiteLeg($F$6,$F$9,J16,$E$12:$E$33,$F$12:$F$33)</f>
        <v>#VALUE!</v>
      </c>
      <c r="M16" s="212">
        <f t="shared" ca="1" si="0"/>
        <v>-8.4148318688819543E-2</v>
      </c>
      <c r="N16" s="202" t="e">
        <f ca="1">_xll.qlRealHullWhiteModelZeroBond($F$6,$F$9,N$7,$J16)/$K16</f>
        <v>#NUM!</v>
      </c>
      <c r="O16" s="203" t="e">
        <f ca="1">_xll.qlRealHullWhiteModelZeroBond($F$6,$F$9,O$7,$J16)/$K16</f>
        <v>#NUM!</v>
      </c>
      <c r="P16" s="203" t="e">
        <f ca="1">_xll.qlRealHullWhiteModelZeroBond($F$6,$F$9,P$7,$J16)/$K16</f>
        <v>#NUM!</v>
      </c>
      <c r="Q16" s="203" t="e">
        <f ca="1">_xll.qlRealHullWhiteModelZeroBond($F$6,$F$9,Q$7,$J16)/$K16</f>
        <v>#NUM!</v>
      </c>
      <c r="R16" s="203" t="e">
        <f ca="1">_xll.qlRealHullWhiteModelZeroBond($F$6,$F$9,R$7,$J16)/$K16</f>
        <v>#NUM!</v>
      </c>
      <c r="S16" s="203" t="e">
        <f ca="1">_xll.qlRealHullWhiteModelZeroBond($F$6,$F$9,S$7,$J16)/$K16</f>
        <v>#NUM!</v>
      </c>
      <c r="T16" s="203" t="e">
        <f ca="1">_xll.qlRealHullWhiteModelZeroBond($F$6,$F$9,T$7,$J16)/$K16</f>
        <v>#NUM!</v>
      </c>
      <c r="U16" s="203" t="e">
        <f ca="1">_xll.qlRealHullWhiteModelZeroBond($F$6,$F$9,U$7,$J16)/$K16</f>
        <v>#NUM!</v>
      </c>
      <c r="V16" s="203" t="e">
        <f ca="1">_xll.qlRealHullWhiteModelZeroBond($F$6,$F$9,V$7,$J16)/$K16</f>
        <v>#NUM!</v>
      </c>
      <c r="W16" s="203" t="e">
        <f ca="1">_xll.qlRealHullWhiteModelZeroBond($F$6,$F$9,W$7,$J16)/$K16</f>
        <v>#NUM!</v>
      </c>
      <c r="X16" s="203" t="e">
        <f ca="1">_xll.qlRealHullWhiteModelZeroBond($F$6,$F$9,X$7,$J16)/$K16</f>
        <v>#NUM!</v>
      </c>
      <c r="Y16" s="203" t="e">
        <f ca="1">_xll.qlRealHullWhiteModelZeroBond($F$6,$F$9,Y$7,$J16)/$K16</f>
        <v>#NUM!</v>
      </c>
      <c r="Z16" s="203" t="e">
        <f ca="1">_xll.qlRealHullWhiteModelZeroBond($F$6,$F$9,Z$7,$J16)/$K16</f>
        <v>#NUM!</v>
      </c>
      <c r="AA16" s="203" t="e">
        <f ca="1">_xll.qlRealHullWhiteModelZeroBond($F$6,$F$9,AA$7,$J16)/$K16</f>
        <v>#NUM!</v>
      </c>
      <c r="AB16" s="203" t="e">
        <f ca="1">_xll.qlRealHullWhiteModelZeroBond($F$6,$F$9,AB$7,$J16)/$K16</f>
        <v>#NUM!</v>
      </c>
      <c r="AC16" s="203" t="e">
        <f ca="1">_xll.qlRealHullWhiteModelZeroBond($F$6,$F$9,AC$7,$J16)/$K16</f>
        <v>#NUM!</v>
      </c>
      <c r="AD16" s="203" t="e">
        <f ca="1">_xll.qlRealHullWhiteModelZeroBond($F$6,$F$9,AD$7,$J16)/$K16</f>
        <v>#NUM!</v>
      </c>
      <c r="AE16" s="203" t="e">
        <f ca="1">_xll.qlRealHullWhiteModelZeroBond($F$6,$F$9,AE$7,$J16)/$K16</f>
        <v>#NUM!</v>
      </c>
      <c r="AF16" s="203" t="e">
        <f ca="1">_xll.qlRealHullWhiteModelZeroBond($F$6,$F$9,AF$7,$J16)/$K16</f>
        <v>#NUM!</v>
      </c>
      <c r="AG16" s="203" t="e">
        <f ca="1">_xll.qlRealHullWhiteModelZeroBond($F$6,$F$9,AG$7,$J16)/$K16</f>
        <v>#NUM!</v>
      </c>
      <c r="AH16" s="204" t="e">
        <f ca="1">_xll.qlRealHullWhiteModelZeroBond($F$6,$F$9,AH$7,$J16)/$K16</f>
        <v>#NUM!</v>
      </c>
    </row>
    <row r="17" spans="2:34">
      <c r="B17" s="102" t="s">
        <v>2</v>
      </c>
      <c r="C17" s="115"/>
      <c r="E17" s="183">
        <f ca="1"/>
        <v>12.016438356164384</v>
      </c>
      <c r="F17" s="189">
        <f ca="1"/>
        <v>6.4330246455202023E-4</v>
      </c>
      <c r="G17" s="183">
        <f ca="1"/>
        <v>16.019178082191782</v>
      </c>
      <c r="H17" s="189">
        <f ca="1"/>
        <v>1</v>
      </c>
      <c r="J17" s="193">
        <v>-0.05</v>
      </c>
      <c r="K17" s="183" t="e">
        <f t="array" aca="1" ref="K17" ca="1">XLHullWhiteLeg($F$6,$F$9,J17,$G$12:$G$21,$H$12:$H$21)</f>
        <v>#VALUE!</v>
      </c>
      <c r="L17" s="183" t="e">
        <f t="array" aca="1" ref="L17" ca="1">XLHullWhiteLeg($F$6,$F$9,J17,$E$12:$E$33,$F$12:$F$33)</f>
        <v>#VALUE!</v>
      </c>
      <c r="M17" s="212" t="e">
        <f t="shared" ca="1" si="0"/>
        <v>#VALUE!</v>
      </c>
      <c r="N17" s="202" t="e">
        <f ca="1">_xll.qlRealHullWhiteModelZeroBond($F$6,$F$9,N$7,$J17)/$K17</f>
        <v>#NUM!</v>
      </c>
      <c r="O17" s="203" t="e">
        <f ca="1">_xll.qlRealHullWhiteModelZeroBond($F$6,$F$9,O$7,$J17)/$K17</f>
        <v>#NUM!</v>
      </c>
      <c r="P17" s="203" t="e">
        <f ca="1">_xll.qlRealHullWhiteModelZeroBond($F$6,$F$9,P$7,$J17)/$K17</f>
        <v>#NUM!</v>
      </c>
      <c r="Q17" s="203" t="e">
        <f ca="1">_xll.qlRealHullWhiteModelZeroBond($F$6,$F$9,Q$7,$J17)/$K17</f>
        <v>#NUM!</v>
      </c>
      <c r="R17" s="203" t="e">
        <f ca="1">_xll.qlRealHullWhiteModelZeroBond($F$6,$F$9,R$7,$J17)/$K17</f>
        <v>#NUM!</v>
      </c>
      <c r="S17" s="203" t="e">
        <f ca="1">_xll.qlRealHullWhiteModelZeroBond($F$6,$F$9,S$7,$J17)/$K17</f>
        <v>#NUM!</v>
      </c>
      <c r="T17" s="203" t="e">
        <f ca="1">_xll.qlRealHullWhiteModelZeroBond($F$6,$F$9,T$7,$J17)/$K17</f>
        <v>#NUM!</v>
      </c>
      <c r="U17" s="203" t="e">
        <f ca="1">_xll.qlRealHullWhiteModelZeroBond($F$6,$F$9,U$7,$J17)/$K17</f>
        <v>#NUM!</v>
      </c>
      <c r="V17" s="203" t="e">
        <f ca="1">_xll.qlRealHullWhiteModelZeroBond($F$6,$F$9,V$7,$J17)/$K17</f>
        <v>#NUM!</v>
      </c>
      <c r="W17" s="203" t="e">
        <f ca="1">_xll.qlRealHullWhiteModelZeroBond($F$6,$F$9,W$7,$J17)/$K17</f>
        <v>#NUM!</v>
      </c>
      <c r="X17" s="203" t="e">
        <f ca="1">_xll.qlRealHullWhiteModelZeroBond($F$6,$F$9,X$7,$J17)/$K17</f>
        <v>#NUM!</v>
      </c>
      <c r="Y17" s="203" t="e">
        <f ca="1">_xll.qlRealHullWhiteModelZeroBond($F$6,$F$9,Y$7,$J17)/$K17</f>
        <v>#NUM!</v>
      </c>
      <c r="Z17" s="203" t="e">
        <f ca="1">_xll.qlRealHullWhiteModelZeroBond($F$6,$F$9,Z$7,$J17)/$K17</f>
        <v>#NUM!</v>
      </c>
      <c r="AA17" s="203" t="e">
        <f ca="1">_xll.qlRealHullWhiteModelZeroBond($F$6,$F$9,AA$7,$J17)/$K17</f>
        <v>#NUM!</v>
      </c>
      <c r="AB17" s="203" t="e">
        <f ca="1">_xll.qlRealHullWhiteModelZeroBond($F$6,$F$9,AB$7,$J17)/$K17</f>
        <v>#NUM!</v>
      </c>
      <c r="AC17" s="203" t="e">
        <f ca="1">_xll.qlRealHullWhiteModelZeroBond($F$6,$F$9,AC$7,$J17)/$K17</f>
        <v>#NUM!</v>
      </c>
      <c r="AD17" s="203" t="e">
        <f ca="1">_xll.qlRealHullWhiteModelZeroBond($F$6,$F$9,AD$7,$J17)/$K17</f>
        <v>#NUM!</v>
      </c>
      <c r="AE17" s="203" t="e">
        <f ca="1">_xll.qlRealHullWhiteModelZeroBond($F$6,$F$9,AE$7,$J17)/$K17</f>
        <v>#NUM!</v>
      </c>
      <c r="AF17" s="203" t="e">
        <f ca="1">_xll.qlRealHullWhiteModelZeroBond($F$6,$F$9,AF$7,$J17)/$K17</f>
        <v>#NUM!</v>
      </c>
      <c r="AG17" s="203" t="e">
        <f ca="1">_xll.qlRealHullWhiteModelZeroBond($F$6,$F$9,AG$7,$J17)/$K17</f>
        <v>#NUM!</v>
      </c>
      <c r="AH17" s="204" t="e">
        <f ca="1">_xll.qlRealHullWhiteModelZeroBond($F$6,$F$9,AH$7,$J17)/$K17</f>
        <v>#NUM!</v>
      </c>
    </row>
    <row r="18" spans="2:34">
      <c r="B18" s="104" t="s">
        <v>66</v>
      </c>
      <c r="C18" s="111">
        <f ca="1">C$12</f>
        <v>45910</v>
      </c>
      <c r="E18" s="183">
        <f ca="1"/>
        <v>12.515068493150684</v>
      </c>
      <c r="F18" s="189">
        <f ca="1"/>
        <v>6.2403456813830971E-4</v>
      </c>
      <c r="G18" s="183">
        <f ca="1"/>
        <v>17.021917808219179</v>
      </c>
      <c r="H18" s="189">
        <f ca="1"/>
        <v>1</v>
      </c>
      <c r="J18" s="193">
        <v>0</v>
      </c>
      <c r="K18" s="183" t="e">
        <f t="array" aca="1" ref="K18" ca="1">XLHullWhiteLeg($F$6,$F$9,J18,$G$12:$G$21,$H$12:$H$21)</f>
        <v>#VALUE!</v>
      </c>
      <c r="L18" s="183" t="e">
        <f t="array" aca="1" ref="L18" ca="1">XLHullWhiteLeg($F$6,$F$9,J18,$E$12:$E$33,$F$12:$F$33)</f>
        <v>#VALUE!</v>
      </c>
      <c r="M18" s="212">
        <f t="shared" ca="1" si="0"/>
        <v>6.2057473039722269E-3</v>
      </c>
      <c r="N18" s="202" t="e">
        <f ca="1">_xll.qlRealHullWhiteModelZeroBond($F$6,$F$9,N$7,$J18)/$K18</f>
        <v>#NUM!</v>
      </c>
      <c r="O18" s="203" t="e">
        <f ca="1">_xll.qlRealHullWhiteModelZeroBond($F$6,$F$9,O$7,$J18)/$K18</f>
        <v>#NUM!</v>
      </c>
      <c r="P18" s="203" t="e">
        <f ca="1">_xll.qlRealHullWhiteModelZeroBond($F$6,$F$9,P$7,$J18)/$K18</f>
        <v>#NUM!</v>
      </c>
      <c r="Q18" s="203" t="e">
        <f ca="1">_xll.qlRealHullWhiteModelZeroBond($F$6,$F$9,Q$7,$J18)/$K18</f>
        <v>#NUM!</v>
      </c>
      <c r="R18" s="203" t="e">
        <f ca="1">_xll.qlRealHullWhiteModelZeroBond($F$6,$F$9,R$7,$J18)/$K18</f>
        <v>#NUM!</v>
      </c>
      <c r="S18" s="203" t="e">
        <f ca="1">_xll.qlRealHullWhiteModelZeroBond($F$6,$F$9,S$7,$J18)/$K18</f>
        <v>#NUM!</v>
      </c>
      <c r="T18" s="203" t="e">
        <f ca="1">_xll.qlRealHullWhiteModelZeroBond($F$6,$F$9,T$7,$J18)/$K18</f>
        <v>#NUM!</v>
      </c>
      <c r="U18" s="203" t="e">
        <f ca="1">_xll.qlRealHullWhiteModelZeroBond($F$6,$F$9,U$7,$J18)/$K18</f>
        <v>#NUM!</v>
      </c>
      <c r="V18" s="203" t="e">
        <f ca="1">_xll.qlRealHullWhiteModelZeroBond($F$6,$F$9,V$7,$J18)/$K18</f>
        <v>#NUM!</v>
      </c>
      <c r="W18" s="203" t="e">
        <f ca="1">_xll.qlRealHullWhiteModelZeroBond($F$6,$F$9,W$7,$J18)/$K18</f>
        <v>#NUM!</v>
      </c>
      <c r="X18" s="203" t="e">
        <f ca="1">_xll.qlRealHullWhiteModelZeroBond($F$6,$F$9,X$7,$J18)/$K18</f>
        <v>#NUM!</v>
      </c>
      <c r="Y18" s="203" t="e">
        <f ca="1">_xll.qlRealHullWhiteModelZeroBond($F$6,$F$9,Y$7,$J18)/$K18</f>
        <v>#NUM!</v>
      </c>
      <c r="Z18" s="203" t="e">
        <f ca="1">_xll.qlRealHullWhiteModelZeroBond($F$6,$F$9,Z$7,$J18)/$K18</f>
        <v>#NUM!</v>
      </c>
      <c r="AA18" s="203" t="e">
        <f ca="1">_xll.qlRealHullWhiteModelZeroBond($F$6,$F$9,AA$7,$J18)/$K18</f>
        <v>#NUM!</v>
      </c>
      <c r="AB18" s="203" t="e">
        <f ca="1">_xll.qlRealHullWhiteModelZeroBond($F$6,$F$9,AB$7,$J18)/$K18</f>
        <v>#NUM!</v>
      </c>
      <c r="AC18" s="203" t="e">
        <f ca="1">_xll.qlRealHullWhiteModelZeroBond($F$6,$F$9,AC$7,$J18)/$K18</f>
        <v>#NUM!</v>
      </c>
      <c r="AD18" s="203" t="e">
        <f ca="1">_xll.qlRealHullWhiteModelZeroBond($F$6,$F$9,AD$7,$J18)/$K18</f>
        <v>#NUM!</v>
      </c>
      <c r="AE18" s="203" t="e">
        <f ca="1">_xll.qlRealHullWhiteModelZeroBond($F$6,$F$9,AE$7,$J18)/$K18</f>
        <v>#NUM!</v>
      </c>
      <c r="AF18" s="203" t="e">
        <f ca="1">_xll.qlRealHullWhiteModelZeroBond($F$6,$F$9,AF$7,$J18)/$K18</f>
        <v>#NUM!</v>
      </c>
      <c r="AG18" s="203" t="e">
        <f ca="1">_xll.qlRealHullWhiteModelZeroBond($F$6,$F$9,AG$7,$J18)/$K18</f>
        <v>#NUM!</v>
      </c>
      <c r="AH18" s="204" t="e">
        <f ca="1">_xll.qlRealHullWhiteModelZeroBond($F$6,$F$9,AH$7,$J18)/$K18</f>
        <v>#NUM!</v>
      </c>
    </row>
    <row r="19" spans="2:34">
      <c r="B19" s="104" t="s">
        <v>67</v>
      </c>
      <c r="C19" s="111">
        <f ca="1">C$13</f>
        <v>49562</v>
      </c>
      <c r="E19" s="183">
        <f ca="1"/>
        <v>13.021917808219179</v>
      </c>
      <c r="F19" s="189">
        <f ca="1"/>
        <v>6.2496387863619773E-4</v>
      </c>
      <c r="G19" s="183">
        <f ca="1"/>
        <v>18.027397260273972</v>
      </c>
      <c r="H19" s="189">
        <f ca="1"/>
        <v>1.0055555555555555</v>
      </c>
      <c r="J19" s="193">
        <v>0.02</v>
      </c>
      <c r="K19" s="183" t="e">
        <f t="array" aca="1" ref="K19" ca="1">XLHullWhiteLeg($F$6,$F$9,J19,$G$12:$G$21,$H$12:$H$21)</f>
        <v>#VALUE!</v>
      </c>
      <c r="L19" s="183" t="e">
        <f t="array" aca="1" ref="L19" ca="1">XLHullWhiteLeg($F$6,$F$9,J19,$E$12:$E$33,$F$12:$F$33)</f>
        <v>#VALUE!</v>
      </c>
      <c r="M19" s="212" t="e">
        <f t="shared" ca="1" si="0"/>
        <v>#VALUE!</v>
      </c>
      <c r="N19" s="202" t="e">
        <f ca="1">_xll.qlRealHullWhiteModelZeroBond($F$6,$F$9,N$7,$J19)/$K19</f>
        <v>#NUM!</v>
      </c>
      <c r="O19" s="203" t="e">
        <f ca="1">_xll.qlRealHullWhiteModelZeroBond($F$6,$F$9,O$7,$J19)/$K19</f>
        <v>#NUM!</v>
      </c>
      <c r="P19" s="203" t="e">
        <f ca="1">_xll.qlRealHullWhiteModelZeroBond($F$6,$F$9,P$7,$J19)/$K19</f>
        <v>#NUM!</v>
      </c>
      <c r="Q19" s="203" t="e">
        <f ca="1">_xll.qlRealHullWhiteModelZeroBond($F$6,$F$9,Q$7,$J19)/$K19</f>
        <v>#NUM!</v>
      </c>
      <c r="R19" s="203" t="e">
        <f ca="1">_xll.qlRealHullWhiteModelZeroBond($F$6,$F$9,R$7,$J19)/$K19</f>
        <v>#NUM!</v>
      </c>
      <c r="S19" s="203" t="e">
        <f ca="1">_xll.qlRealHullWhiteModelZeroBond($F$6,$F$9,S$7,$J19)/$K19</f>
        <v>#NUM!</v>
      </c>
      <c r="T19" s="203" t="e">
        <f ca="1">_xll.qlRealHullWhiteModelZeroBond($F$6,$F$9,T$7,$J19)/$K19</f>
        <v>#NUM!</v>
      </c>
      <c r="U19" s="203" t="e">
        <f ca="1">_xll.qlRealHullWhiteModelZeroBond($F$6,$F$9,U$7,$J19)/$K19</f>
        <v>#NUM!</v>
      </c>
      <c r="V19" s="203" t="e">
        <f ca="1">_xll.qlRealHullWhiteModelZeroBond($F$6,$F$9,V$7,$J19)/$K19</f>
        <v>#NUM!</v>
      </c>
      <c r="W19" s="203" t="e">
        <f ca="1">_xll.qlRealHullWhiteModelZeroBond($F$6,$F$9,W$7,$J19)/$K19</f>
        <v>#NUM!</v>
      </c>
      <c r="X19" s="203" t="e">
        <f ca="1">_xll.qlRealHullWhiteModelZeroBond($F$6,$F$9,X$7,$J19)/$K19</f>
        <v>#NUM!</v>
      </c>
      <c r="Y19" s="203" t="e">
        <f ca="1">_xll.qlRealHullWhiteModelZeroBond($F$6,$F$9,Y$7,$J19)/$K19</f>
        <v>#NUM!</v>
      </c>
      <c r="Z19" s="203" t="e">
        <f ca="1">_xll.qlRealHullWhiteModelZeroBond($F$6,$F$9,Z$7,$J19)/$K19</f>
        <v>#NUM!</v>
      </c>
      <c r="AA19" s="203" t="e">
        <f ca="1">_xll.qlRealHullWhiteModelZeroBond($F$6,$F$9,AA$7,$J19)/$K19</f>
        <v>#NUM!</v>
      </c>
      <c r="AB19" s="203" t="e">
        <f ca="1">_xll.qlRealHullWhiteModelZeroBond($F$6,$F$9,AB$7,$J19)/$K19</f>
        <v>#NUM!</v>
      </c>
      <c r="AC19" s="203" t="e">
        <f ca="1">_xll.qlRealHullWhiteModelZeroBond($F$6,$F$9,AC$7,$J19)/$K19</f>
        <v>#NUM!</v>
      </c>
      <c r="AD19" s="203" t="e">
        <f ca="1">_xll.qlRealHullWhiteModelZeroBond($F$6,$F$9,AD$7,$J19)/$K19</f>
        <v>#NUM!</v>
      </c>
      <c r="AE19" s="203" t="e">
        <f ca="1">_xll.qlRealHullWhiteModelZeroBond($F$6,$F$9,AE$7,$J19)/$K19</f>
        <v>#NUM!</v>
      </c>
      <c r="AF19" s="203" t="e">
        <f ca="1">_xll.qlRealHullWhiteModelZeroBond($F$6,$F$9,AF$7,$J19)/$K19</f>
        <v>#NUM!</v>
      </c>
      <c r="AG19" s="203" t="e">
        <f ca="1">_xll.qlRealHullWhiteModelZeroBond($F$6,$F$9,AG$7,$J19)/$K19</f>
        <v>#NUM!</v>
      </c>
      <c r="AH19" s="204" t="e">
        <f ca="1">_xll.qlRealHullWhiteModelZeroBond($F$6,$F$9,AH$7,$J19)/$K19</f>
        <v>#NUM!</v>
      </c>
    </row>
    <row r="20" spans="2:34">
      <c r="B20" s="104" t="s">
        <v>6</v>
      </c>
      <c r="C20" s="116" t="s">
        <v>7</v>
      </c>
      <c r="E20" s="183">
        <f ca="1"/>
        <v>13.520547945205479</v>
      </c>
      <c r="F20" s="189">
        <f ca="1"/>
        <v>5.9508441578470794E-4</v>
      </c>
      <c r="G20" s="183">
        <f ca="1"/>
        <v>19.024657534246575</v>
      </c>
      <c r="H20" s="189">
        <f ca="1"/>
        <v>0.99722222222222223</v>
      </c>
      <c r="J20" s="193">
        <v>0.05</v>
      </c>
      <c r="K20" s="183" t="e">
        <f t="array" aca="1" ref="K20" ca="1">XLHullWhiteLeg($F$6,$F$9,J20,$G$12:$G$21,$H$12:$H$21)</f>
        <v>#VALUE!</v>
      </c>
      <c r="L20" s="183" t="e">
        <f t="array" aca="1" ref="L20" ca="1">XLHullWhiteLeg($F$6,$F$9,J20,$E$12:$E$33,$F$12:$F$33)</f>
        <v>#VALUE!</v>
      </c>
      <c r="M20" s="212">
        <f t="shared" ca="1" si="0"/>
        <v>5.5240279291594363E-2</v>
      </c>
      <c r="N20" s="202" t="e">
        <f ca="1">_xll.qlRealHullWhiteModelZeroBond($F$6,$F$9,N$7,$J20)/$K20</f>
        <v>#NUM!</v>
      </c>
      <c r="O20" s="203" t="e">
        <f ca="1">_xll.qlRealHullWhiteModelZeroBond($F$6,$F$9,O$7,$J20)/$K20</f>
        <v>#NUM!</v>
      </c>
      <c r="P20" s="203" t="e">
        <f ca="1">_xll.qlRealHullWhiteModelZeroBond($F$6,$F$9,P$7,$J20)/$K20</f>
        <v>#NUM!</v>
      </c>
      <c r="Q20" s="203" t="e">
        <f ca="1">_xll.qlRealHullWhiteModelZeroBond($F$6,$F$9,Q$7,$J20)/$K20</f>
        <v>#NUM!</v>
      </c>
      <c r="R20" s="203" t="e">
        <f ca="1">_xll.qlRealHullWhiteModelZeroBond($F$6,$F$9,R$7,$J20)/$K20</f>
        <v>#NUM!</v>
      </c>
      <c r="S20" s="203" t="e">
        <f ca="1">_xll.qlRealHullWhiteModelZeroBond($F$6,$F$9,S$7,$J20)/$K20</f>
        <v>#NUM!</v>
      </c>
      <c r="T20" s="203" t="e">
        <f ca="1">_xll.qlRealHullWhiteModelZeroBond($F$6,$F$9,T$7,$J20)/$K20</f>
        <v>#NUM!</v>
      </c>
      <c r="U20" s="203" t="e">
        <f ca="1">_xll.qlRealHullWhiteModelZeroBond($F$6,$F$9,U$7,$J20)/$K20</f>
        <v>#NUM!</v>
      </c>
      <c r="V20" s="203" t="e">
        <f ca="1">_xll.qlRealHullWhiteModelZeroBond($F$6,$F$9,V$7,$J20)/$K20</f>
        <v>#NUM!</v>
      </c>
      <c r="W20" s="203" t="e">
        <f ca="1">_xll.qlRealHullWhiteModelZeroBond($F$6,$F$9,W$7,$J20)/$K20</f>
        <v>#NUM!</v>
      </c>
      <c r="X20" s="203" t="e">
        <f ca="1">_xll.qlRealHullWhiteModelZeroBond($F$6,$F$9,X$7,$J20)/$K20</f>
        <v>#NUM!</v>
      </c>
      <c r="Y20" s="203" t="e">
        <f ca="1">_xll.qlRealHullWhiteModelZeroBond($F$6,$F$9,Y$7,$J20)/$K20</f>
        <v>#NUM!</v>
      </c>
      <c r="Z20" s="203" t="e">
        <f ca="1">_xll.qlRealHullWhiteModelZeroBond($F$6,$F$9,Z$7,$J20)/$K20</f>
        <v>#NUM!</v>
      </c>
      <c r="AA20" s="203" t="e">
        <f ca="1">_xll.qlRealHullWhiteModelZeroBond($F$6,$F$9,AA$7,$J20)/$K20</f>
        <v>#NUM!</v>
      </c>
      <c r="AB20" s="203" t="e">
        <f ca="1">_xll.qlRealHullWhiteModelZeroBond($F$6,$F$9,AB$7,$J20)/$K20</f>
        <v>#NUM!</v>
      </c>
      <c r="AC20" s="203" t="e">
        <f ca="1">_xll.qlRealHullWhiteModelZeroBond($F$6,$F$9,AC$7,$J20)/$K20</f>
        <v>#NUM!</v>
      </c>
      <c r="AD20" s="203" t="e">
        <f ca="1">_xll.qlRealHullWhiteModelZeroBond($F$6,$F$9,AD$7,$J20)/$K20</f>
        <v>#NUM!</v>
      </c>
      <c r="AE20" s="203" t="e">
        <f ca="1">_xll.qlRealHullWhiteModelZeroBond($F$6,$F$9,AE$7,$J20)/$K20</f>
        <v>#NUM!</v>
      </c>
      <c r="AF20" s="203" t="e">
        <f ca="1">_xll.qlRealHullWhiteModelZeroBond($F$6,$F$9,AF$7,$J20)/$K20</f>
        <v>#NUM!</v>
      </c>
      <c r="AG20" s="203" t="e">
        <f ca="1">_xll.qlRealHullWhiteModelZeroBond($F$6,$F$9,AG$7,$J20)/$K20</f>
        <v>#NUM!</v>
      </c>
      <c r="AH20" s="204" t="e">
        <f ca="1">_xll.qlRealHullWhiteModelZeroBond($F$6,$F$9,AH$7,$J20)/$K20</f>
        <v>#NUM!</v>
      </c>
    </row>
    <row r="21" spans="2:34">
      <c r="B21" s="104" t="s">
        <v>3</v>
      </c>
      <c r="C21" s="116" t="s">
        <v>20</v>
      </c>
      <c r="E21" s="183">
        <f ca="1"/>
        <v>14.019178082191781</v>
      </c>
      <c r="F21" s="189">
        <f ca="1"/>
        <v>5.2278723776888469E-4</v>
      </c>
      <c r="G21" s="183">
        <f ca="1"/>
        <v>20.021917808219179</v>
      </c>
      <c r="H21" s="189">
        <f ca="1"/>
        <v>0.99722222222222223</v>
      </c>
      <c r="J21" s="193">
        <v>0.1</v>
      </c>
      <c r="K21" s="183" t="e">
        <f t="array" aca="1" ref="K21" ca="1">XLHullWhiteLeg($F$6,$F$9,J21,$G$12:$G$21,$H$12:$H$21)</f>
        <v>#VALUE!</v>
      </c>
      <c r="L21" s="183" t="e">
        <f t="array" aca="1" ref="L21" ca="1">XLHullWhiteLeg($F$6,$F$9,J21,$E$12:$E$33,$F$12:$F$33)</f>
        <v>#VALUE!</v>
      </c>
      <c r="M21" s="212" t="e">
        <f t="shared" ca="1" si="0"/>
        <v>#VALUE!</v>
      </c>
      <c r="N21" s="202" t="e">
        <f ca="1">_xll.qlRealHullWhiteModelZeroBond($F$6,$F$9,N$7,$J21)/$K21</f>
        <v>#NUM!</v>
      </c>
      <c r="O21" s="203" t="e">
        <f ca="1">_xll.qlRealHullWhiteModelZeroBond($F$6,$F$9,O$7,$J21)/$K21</f>
        <v>#NUM!</v>
      </c>
      <c r="P21" s="203" t="e">
        <f ca="1">_xll.qlRealHullWhiteModelZeroBond($F$6,$F$9,P$7,$J21)/$K21</f>
        <v>#NUM!</v>
      </c>
      <c r="Q21" s="203" t="e">
        <f ca="1">_xll.qlRealHullWhiteModelZeroBond($F$6,$F$9,Q$7,$J21)/$K21</f>
        <v>#NUM!</v>
      </c>
      <c r="R21" s="203" t="e">
        <f ca="1">_xll.qlRealHullWhiteModelZeroBond($F$6,$F$9,R$7,$J21)/$K21</f>
        <v>#NUM!</v>
      </c>
      <c r="S21" s="203" t="e">
        <f ca="1">_xll.qlRealHullWhiteModelZeroBond($F$6,$F$9,S$7,$J21)/$K21</f>
        <v>#NUM!</v>
      </c>
      <c r="T21" s="203" t="e">
        <f ca="1">_xll.qlRealHullWhiteModelZeroBond($F$6,$F$9,T$7,$J21)/$K21</f>
        <v>#NUM!</v>
      </c>
      <c r="U21" s="203" t="e">
        <f ca="1">_xll.qlRealHullWhiteModelZeroBond($F$6,$F$9,U$7,$J21)/$K21</f>
        <v>#NUM!</v>
      </c>
      <c r="V21" s="203" t="e">
        <f ca="1">_xll.qlRealHullWhiteModelZeroBond($F$6,$F$9,V$7,$J21)/$K21</f>
        <v>#NUM!</v>
      </c>
      <c r="W21" s="203" t="e">
        <f ca="1">_xll.qlRealHullWhiteModelZeroBond($F$6,$F$9,W$7,$J21)/$K21</f>
        <v>#NUM!</v>
      </c>
      <c r="X21" s="203" t="e">
        <f ca="1">_xll.qlRealHullWhiteModelZeroBond($F$6,$F$9,X$7,$J21)/$K21</f>
        <v>#NUM!</v>
      </c>
      <c r="Y21" s="203" t="e">
        <f ca="1">_xll.qlRealHullWhiteModelZeroBond($F$6,$F$9,Y$7,$J21)/$K21</f>
        <v>#NUM!</v>
      </c>
      <c r="Z21" s="203" t="e">
        <f ca="1">_xll.qlRealHullWhiteModelZeroBond($F$6,$F$9,Z$7,$J21)/$K21</f>
        <v>#NUM!</v>
      </c>
      <c r="AA21" s="203" t="e">
        <f ca="1">_xll.qlRealHullWhiteModelZeroBond($F$6,$F$9,AA$7,$J21)/$K21</f>
        <v>#NUM!</v>
      </c>
      <c r="AB21" s="203" t="e">
        <f ca="1">_xll.qlRealHullWhiteModelZeroBond($F$6,$F$9,AB$7,$J21)/$K21</f>
        <v>#NUM!</v>
      </c>
      <c r="AC21" s="203" t="e">
        <f ca="1">_xll.qlRealHullWhiteModelZeroBond($F$6,$F$9,AC$7,$J21)/$K21</f>
        <v>#NUM!</v>
      </c>
      <c r="AD21" s="203" t="e">
        <f ca="1">_xll.qlRealHullWhiteModelZeroBond($F$6,$F$9,AD$7,$J21)/$K21</f>
        <v>#NUM!</v>
      </c>
      <c r="AE21" s="203" t="e">
        <f ca="1">_xll.qlRealHullWhiteModelZeroBond($F$6,$F$9,AE$7,$J21)/$K21</f>
        <v>#NUM!</v>
      </c>
      <c r="AF21" s="203" t="e">
        <f ca="1">_xll.qlRealHullWhiteModelZeroBond($F$6,$F$9,AF$7,$J21)/$K21</f>
        <v>#NUM!</v>
      </c>
      <c r="AG21" s="203" t="e">
        <f ca="1">_xll.qlRealHullWhiteModelZeroBond($F$6,$F$9,AG$7,$J21)/$K21</f>
        <v>#NUM!</v>
      </c>
      <c r="AH21" s="204" t="e">
        <f ca="1">_xll.qlRealHullWhiteModelZeroBond($F$6,$F$9,AH$7,$J21)/$K21</f>
        <v>#NUM!</v>
      </c>
    </row>
    <row r="22" spans="2:34">
      <c r="B22" s="104" t="s">
        <v>4</v>
      </c>
      <c r="C22" s="116" t="s">
        <v>21</v>
      </c>
      <c r="E22" s="183">
        <f ca="1"/>
        <v>14.517808219178082</v>
      </c>
      <c r="F22" s="189">
        <f ca="1"/>
        <v>4.8566389874760141E-4</v>
      </c>
      <c r="G22" s="183" t="e">
        <f ca="1"/>
        <v>#N/A</v>
      </c>
      <c r="H22" s="189" t="e">
        <f ca="1"/>
        <v>#N/A</v>
      </c>
      <c r="J22" s="193">
        <v>0.15</v>
      </c>
      <c r="K22" s="183" t="e">
        <f t="array" aca="1" ref="K22" ca="1">XLHullWhiteLeg($F$6,$F$9,J22,$G$12:$G$21,$H$12:$H$21)</f>
        <v>#VALUE!</v>
      </c>
      <c r="L22" s="183" t="e">
        <f t="array" aca="1" ref="L22" ca="1">XLHullWhiteLeg($F$6,$F$9,J22,$E$12:$E$33,$F$12:$F$33)</f>
        <v>#VALUE!</v>
      </c>
      <c r="M22" s="212" t="e">
        <f t="shared" ca="1" si="0"/>
        <v>#VALUE!</v>
      </c>
      <c r="N22" s="202" t="e">
        <f ca="1">_xll.qlRealHullWhiteModelZeroBond($F$6,$F$9,N$7,$J22)/$K22</f>
        <v>#NUM!</v>
      </c>
      <c r="O22" s="203" t="e">
        <f ca="1">_xll.qlRealHullWhiteModelZeroBond($F$6,$F$9,O$7,$J22)/$K22</f>
        <v>#NUM!</v>
      </c>
      <c r="P22" s="203" t="e">
        <f ca="1">_xll.qlRealHullWhiteModelZeroBond($F$6,$F$9,P$7,$J22)/$K22</f>
        <v>#NUM!</v>
      </c>
      <c r="Q22" s="203" t="e">
        <f ca="1">_xll.qlRealHullWhiteModelZeroBond($F$6,$F$9,Q$7,$J22)/$K22</f>
        <v>#NUM!</v>
      </c>
      <c r="R22" s="203" t="e">
        <f ca="1">_xll.qlRealHullWhiteModelZeroBond($F$6,$F$9,R$7,$J22)/$K22</f>
        <v>#NUM!</v>
      </c>
      <c r="S22" s="203" t="e">
        <f ca="1">_xll.qlRealHullWhiteModelZeroBond($F$6,$F$9,S$7,$J22)/$K22</f>
        <v>#NUM!</v>
      </c>
      <c r="T22" s="203" t="e">
        <f ca="1">_xll.qlRealHullWhiteModelZeroBond($F$6,$F$9,T$7,$J22)/$K22</f>
        <v>#NUM!</v>
      </c>
      <c r="U22" s="203" t="e">
        <f ca="1">_xll.qlRealHullWhiteModelZeroBond($F$6,$F$9,U$7,$J22)/$K22</f>
        <v>#NUM!</v>
      </c>
      <c r="V22" s="203" t="e">
        <f ca="1">_xll.qlRealHullWhiteModelZeroBond($F$6,$F$9,V$7,$J22)/$K22</f>
        <v>#NUM!</v>
      </c>
      <c r="W22" s="203" t="e">
        <f ca="1">_xll.qlRealHullWhiteModelZeroBond($F$6,$F$9,W$7,$J22)/$K22</f>
        <v>#NUM!</v>
      </c>
      <c r="X22" s="203" t="e">
        <f ca="1">_xll.qlRealHullWhiteModelZeroBond($F$6,$F$9,X$7,$J22)/$K22</f>
        <v>#NUM!</v>
      </c>
      <c r="Y22" s="203" t="e">
        <f ca="1">_xll.qlRealHullWhiteModelZeroBond($F$6,$F$9,Y$7,$J22)/$K22</f>
        <v>#NUM!</v>
      </c>
      <c r="Z22" s="203" t="e">
        <f ca="1">_xll.qlRealHullWhiteModelZeroBond($F$6,$F$9,Z$7,$J22)/$K22</f>
        <v>#NUM!</v>
      </c>
      <c r="AA22" s="203" t="e">
        <f ca="1">_xll.qlRealHullWhiteModelZeroBond($F$6,$F$9,AA$7,$J22)/$K22</f>
        <v>#NUM!</v>
      </c>
      <c r="AB22" s="203" t="e">
        <f ca="1">_xll.qlRealHullWhiteModelZeroBond($F$6,$F$9,AB$7,$J22)/$K22</f>
        <v>#NUM!</v>
      </c>
      <c r="AC22" s="203" t="e">
        <f ca="1">_xll.qlRealHullWhiteModelZeroBond($F$6,$F$9,AC$7,$J22)/$K22</f>
        <v>#NUM!</v>
      </c>
      <c r="AD22" s="203" t="e">
        <f ca="1">_xll.qlRealHullWhiteModelZeroBond($F$6,$F$9,AD$7,$J22)/$K22</f>
        <v>#NUM!</v>
      </c>
      <c r="AE22" s="203" t="e">
        <f ca="1">_xll.qlRealHullWhiteModelZeroBond($F$6,$F$9,AE$7,$J22)/$K22</f>
        <v>#NUM!</v>
      </c>
      <c r="AF22" s="203" t="e">
        <f ca="1">_xll.qlRealHullWhiteModelZeroBond($F$6,$F$9,AF$7,$J22)/$K22</f>
        <v>#NUM!</v>
      </c>
      <c r="AG22" s="203" t="e">
        <f ca="1">_xll.qlRealHullWhiteModelZeroBond($F$6,$F$9,AG$7,$J22)/$K22</f>
        <v>#NUM!</v>
      </c>
      <c r="AH22" s="204" t="e">
        <f ca="1">_xll.qlRealHullWhiteModelZeroBond($F$6,$F$9,AH$7,$J22)/$K22</f>
        <v>#NUM!</v>
      </c>
    </row>
    <row r="23" spans="2:34">
      <c r="B23" s="104" t="s">
        <v>68</v>
      </c>
      <c r="C23" s="116" t="s">
        <v>21</v>
      </c>
      <c r="E23" s="183">
        <f ca="1"/>
        <v>15.019178082191781</v>
      </c>
      <c r="F23" s="189">
        <f ca="1"/>
        <v>4.8248764417713197E-4</v>
      </c>
      <c r="G23" s="184"/>
      <c r="H23" s="184"/>
      <c r="J23" s="193">
        <v>0.2</v>
      </c>
      <c r="K23" s="183" t="e">
        <f t="array" aca="1" ref="K23" ca="1">XLHullWhiteLeg($F$6,$F$9,J23,$G$12:$G$21,$H$12:$H$21)</f>
        <v>#VALUE!</v>
      </c>
      <c r="L23" s="183" t="e">
        <f t="array" aca="1" ref="L23" ca="1">XLHullWhiteLeg($F$6,$F$9,J23,$E$12:$E$33,$F$12:$F$33)</f>
        <v>#VALUE!</v>
      </c>
      <c r="M23" s="212">
        <f t="shared" ca="1" si="0"/>
        <v>0.21968319630069671</v>
      </c>
      <c r="N23" s="202" t="e">
        <f ca="1">_xll.qlRealHullWhiteModelZeroBond($F$6,$F$9,N$7,$J23)/$K23</f>
        <v>#NUM!</v>
      </c>
      <c r="O23" s="203" t="e">
        <f ca="1">_xll.qlRealHullWhiteModelZeroBond($F$6,$F$9,O$7,$J23)/$K23</f>
        <v>#NUM!</v>
      </c>
      <c r="P23" s="203" t="e">
        <f ca="1">_xll.qlRealHullWhiteModelZeroBond($F$6,$F$9,P$7,$J23)/$K23</f>
        <v>#NUM!</v>
      </c>
      <c r="Q23" s="203" t="e">
        <f ca="1">_xll.qlRealHullWhiteModelZeroBond($F$6,$F$9,Q$7,$J23)/$K23</f>
        <v>#NUM!</v>
      </c>
      <c r="R23" s="203" t="e">
        <f ca="1">_xll.qlRealHullWhiteModelZeroBond($F$6,$F$9,R$7,$J23)/$K23</f>
        <v>#NUM!</v>
      </c>
      <c r="S23" s="203" t="e">
        <f ca="1">_xll.qlRealHullWhiteModelZeroBond($F$6,$F$9,S$7,$J23)/$K23</f>
        <v>#NUM!</v>
      </c>
      <c r="T23" s="203" t="e">
        <f ca="1">_xll.qlRealHullWhiteModelZeroBond($F$6,$F$9,T$7,$J23)/$K23</f>
        <v>#NUM!</v>
      </c>
      <c r="U23" s="203" t="e">
        <f ca="1">_xll.qlRealHullWhiteModelZeroBond($F$6,$F$9,U$7,$J23)/$K23</f>
        <v>#NUM!</v>
      </c>
      <c r="V23" s="203" t="e">
        <f ca="1">_xll.qlRealHullWhiteModelZeroBond($F$6,$F$9,V$7,$J23)/$K23</f>
        <v>#NUM!</v>
      </c>
      <c r="W23" s="203" t="e">
        <f ca="1">_xll.qlRealHullWhiteModelZeroBond($F$6,$F$9,W$7,$J23)/$K23</f>
        <v>#NUM!</v>
      </c>
      <c r="X23" s="203" t="e">
        <f ca="1">_xll.qlRealHullWhiteModelZeroBond($F$6,$F$9,X$7,$J23)/$K23</f>
        <v>#NUM!</v>
      </c>
      <c r="Y23" s="203" t="e">
        <f ca="1">_xll.qlRealHullWhiteModelZeroBond($F$6,$F$9,Y$7,$J23)/$K23</f>
        <v>#NUM!</v>
      </c>
      <c r="Z23" s="203" t="e">
        <f ca="1">_xll.qlRealHullWhiteModelZeroBond($F$6,$F$9,Z$7,$J23)/$K23</f>
        <v>#NUM!</v>
      </c>
      <c r="AA23" s="203" t="e">
        <f ca="1">_xll.qlRealHullWhiteModelZeroBond($F$6,$F$9,AA$7,$J23)/$K23</f>
        <v>#NUM!</v>
      </c>
      <c r="AB23" s="203" t="e">
        <f ca="1">_xll.qlRealHullWhiteModelZeroBond($F$6,$F$9,AB$7,$J23)/$K23</f>
        <v>#NUM!</v>
      </c>
      <c r="AC23" s="203" t="e">
        <f ca="1">_xll.qlRealHullWhiteModelZeroBond($F$6,$F$9,AC$7,$J23)/$K23</f>
        <v>#NUM!</v>
      </c>
      <c r="AD23" s="203" t="e">
        <f ca="1">_xll.qlRealHullWhiteModelZeroBond($F$6,$F$9,AD$7,$J23)/$K23</f>
        <v>#NUM!</v>
      </c>
      <c r="AE23" s="203" t="e">
        <f ca="1">_xll.qlRealHullWhiteModelZeroBond($F$6,$F$9,AE$7,$J23)/$K23</f>
        <v>#NUM!</v>
      </c>
      <c r="AF23" s="203" t="e">
        <f ca="1">_xll.qlRealHullWhiteModelZeroBond($F$6,$F$9,AF$7,$J23)/$K23</f>
        <v>#NUM!</v>
      </c>
      <c r="AG23" s="203" t="e">
        <f ca="1">_xll.qlRealHullWhiteModelZeroBond($F$6,$F$9,AG$7,$J23)/$K23</f>
        <v>#NUM!</v>
      </c>
      <c r="AH23" s="204" t="e">
        <f ca="1">_xll.qlRealHullWhiteModelZeroBond($F$6,$F$9,AH$7,$J23)/$K23</f>
        <v>#NUM!</v>
      </c>
    </row>
    <row r="24" spans="2:34">
      <c r="B24" s="104" t="s">
        <v>69</v>
      </c>
      <c r="C24" s="116" t="s">
        <v>70</v>
      </c>
      <c r="E24" s="183">
        <f ca="1"/>
        <v>15.515068493150684</v>
      </c>
      <c r="F24" s="189">
        <f ca="1"/>
        <v>4.9690712121996938E-4</v>
      </c>
      <c r="G24" s="184"/>
      <c r="H24" s="184"/>
      <c r="J24" s="193">
        <v>0.25</v>
      </c>
      <c r="K24" s="183" t="e">
        <f t="array" aca="1" ref="K24" ca="1">XLHullWhiteLeg($F$6,$F$9,J24,$G$12:$G$21,$H$12:$H$21)</f>
        <v>#VALUE!</v>
      </c>
      <c r="L24" s="183" t="e">
        <f t="array" aca="1" ref="L24" ca="1">XLHullWhiteLeg($F$6,$F$9,J24,$E$12:$E$33,$F$12:$F$33)</f>
        <v>#VALUE!</v>
      </c>
      <c r="M24" s="212" t="e">
        <f t="shared" ca="1" si="0"/>
        <v>#VALUE!</v>
      </c>
      <c r="N24" s="202" t="e">
        <f ca="1">_xll.qlRealHullWhiteModelZeroBond($F$6,$F$9,N$7,$J24)/$K24</f>
        <v>#NUM!</v>
      </c>
      <c r="O24" s="203" t="e">
        <f ca="1">_xll.qlRealHullWhiteModelZeroBond($F$6,$F$9,O$7,$J24)/$K24</f>
        <v>#NUM!</v>
      </c>
      <c r="P24" s="203" t="e">
        <f ca="1">_xll.qlRealHullWhiteModelZeroBond($F$6,$F$9,P$7,$J24)/$K24</f>
        <v>#NUM!</v>
      </c>
      <c r="Q24" s="203" t="e">
        <f ca="1">_xll.qlRealHullWhiteModelZeroBond($F$6,$F$9,Q$7,$J24)/$K24</f>
        <v>#NUM!</v>
      </c>
      <c r="R24" s="203" t="e">
        <f ca="1">_xll.qlRealHullWhiteModelZeroBond($F$6,$F$9,R$7,$J24)/$K24</f>
        <v>#NUM!</v>
      </c>
      <c r="S24" s="203" t="e">
        <f ca="1">_xll.qlRealHullWhiteModelZeroBond($F$6,$F$9,S$7,$J24)/$K24</f>
        <v>#NUM!</v>
      </c>
      <c r="T24" s="203" t="e">
        <f ca="1">_xll.qlRealHullWhiteModelZeroBond($F$6,$F$9,T$7,$J24)/$K24</f>
        <v>#NUM!</v>
      </c>
      <c r="U24" s="203" t="e">
        <f ca="1">_xll.qlRealHullWhiteModelZeroBond($F$6,$F$9,U$7,$J24)/$K24</f>
        <v>#NUM!</v>
      </c>
      <c r="V24" s="203" t="e">
        <f ca="1">_xll.qlRealHullWhiteModelZeroBond($F$6,$F$9,V$7,$J24)/$K24</f>
        <v>#NUM!</v>
      </c>
      <c r="W24" s="203" t="e">
        <f ca="1">_xll.qlRealHullWhiteModelZeroBond($F$6,$F$9,W$7,$J24)/$K24</f>
        <v>#NUM!</v>
      </c>
      <c r="X24" s="203" t="e">
        <f ca="1">_xll.qlRealHullWhiteModelZeroBond($F$6,$F$9,X$7,$J24)/$K24</f>
        <v>#NUM!</v>
      </c>
      <c r="Y24" s="203" t="e">
        <f ca="1">_xll.qlRealHullWhiteModelZeroBond($F$6,$F$9,Y$7,$J24)/$K24</f>
        <v>#NUM!</v>
      </c>
      <c r="Z24" s="203" t="e">
        <f ca="1">_xll.qlRealHullWhiteModelZeroBond($F$6,$F$9,Z$7,$J24)/$K24</f>
        <v>#NUM!</v>
      </c>
      <c r="AA24" s="203" t="e">
        <f ca="1">_xll.qlRealHullWhiteModelZeroBond($F$6,$F$9,AA$7,$J24)/$K24</f>
        <v>#NUM!</v>
      </c>
      <c r="AB24" s="203" t="e">
        <f ca="1">_xll.qlRealHullWhiteModelZeroBond($F$6,$F$9,AB$7,$J24)/$K24</f>
        <v>#NUM!</v>
      </c>
      <c r="AC24" s="203" t="e">
        <f ca="1">_xll.qlRealHullWhiteModelZeroBond($F$6,$F$9,AC$7,$J24)/$K24</f>
        <v>#NUM!</v>
      </c>
      <c r="AD24" s="203" t="e">
        <f ca="1">_xll.qlRealHullWhiteModelZeroBond($F$6,$F$9,AD$7,$J24)/$K24</f>
        <v>#NUM!</v>
      </c>
      <c r="AE24" s="203" t="e">
        <f ca="1">_xll.qlRealHullWhiteModelZeroBond($F$6,$F$9,AE$7,$J24)/$K24</f>
        <v>#NUM!</v>
      </c>
      <c r="AF24" s="203" t="e">
        <f ca="1">_xll.qlRealHullWhiteModelZeroBond($F$6,$F$9,AF$7,$J24)/$K24</f>
        <v>#NUM!</v>
      </c>
      <c r="AG24" s="203" t="e">
        <f ca="1">_xll.qlRealHullWhiteModelZeroBond($F$6,$F$9,AG$7,$J24)/$K24</f>
        <v>#NUM!</v>
      </c>
      <c r="AH24" s="204" t="e">
        <f ca="1">_xll.qlRealHullWhiteModelZeroBond($F$6,$F$9,AH$7,$J24)/$K24</f>
        <v>#NUM!</v>
      </c>
    </row>
    <row r="25" spans="2:34">
      <c r="B25" s="104" t="s">
        <v>71</v>
      </c>
      <c r="C25" s="123"/>
      <c r="E25" s="183">
        <f ca="1"/>
        <v>16.019178082191782</v>
      </c>
      <c r="F25" s="189">
        <f ca="1"/>
        <v>4.9269231479076581E-4</v>
      </c>
      <c r="G25" s="184"/>
      <c r="H25" s="184"/>
      <c r="J25" s="193">
        <v>0.3</v>
      </c>
      <c r="K25" s="183" t="e">
        <f t="array" aca="1" ref="K25" ca="1">XLHullWhiteLeg($F$6,$F$9,J25,$G$12:$G$21,$H$12:$H$21)</f>
        <v>#VALUE!</v>
      </c>
      <c r="L25" s="183" t="e">
        <f t="array" aca="1" ref="L25" ca="1">XLHullWhiteLeg($F$6,$F$9,J25,$E$12:$E$33,$F$12:$F$33)</f>
        <v>#VALUE!</v>
      </c>
      <c r="M25" s="212">
        <f t="shared" ca="1" si="0"/>
        <v>0.3452181457600097</v>
      </c>
      <c r="N25" s="202" t="e">
        <f ca="1">_xll.qlRealHullWhiteModelZeroBond($F$6,$F$9,N$7,$J25)/$K25</f>
        <v>#NUM!</v>
      </c>
      <c r="O25" s="203" t="e">
        <f ca="1">_xll.qlRealHullWhiteModelZeroBond($F$6,$F$9,O$7,$J25)/$K25</f>
        <v>#NUM!</v>
      </c>
      <c r="P25" s="203" t="e">
        <f ca="1">_xll.qlRealHullWhiteModelZeroBond($F$6,$F$9,P$7,$J25)/$K25</f>
        <v>#NUM!</v>
      </c>
      <c r="Q25" s="203" t="e">
        <f ca="1">_xll.qlRealHullWhiteModelZeroBond($F$6,$F$9,Q$7,$J25)/$K25</f>
        <v>#NUM!</v>
      </c>
      <c r="R25" s="203" t="e">
        <f ca="1">_xll.qlRealHullWhiteModelZeroBond($F$6,$F$9,R$7,$J25)/$K25</f>
        <v>#NUM!</v>
      </c>
      <c r="S25" s="203" t="e">
        <f ca="1">_xll.qlRealHullWhiteModelZeroBond($F$6,$F$9,S$7,$J25)/$K25</f>
        <v>#NUM!</v>
      </c>
      <c r="T25" s="203" t="e">
        <f ca="1">_xll.qlRealHullWhiteModelZeroBond($F$6,$F$9,T$7,$J25)/$K25</f>
        <v>#NUM!</v>
      </c>
      <c r="U25" s="203" t="e">
        <f ca="1">_xll.qlRealHullWhiteModelZeroBond($F$6,$F$9,U$7,$J25)/$K25</f>
        <v>#NUM!</v>
      </c>
      <c r="V25" s="203" t="e">
        <f ca="1">_xll.qlRealHullWhiteModelZeroBond($F$6,$F$9,V$7,$J25)/$K25</f>
        <v>#NUM!</v>
      </c>
      <c r="W25" s="203" t="e">
        <f ca="1">_xll.qlRealHullWhiteModelZeroBond($F$6,$F$9,W$7,$J25)/$K25</f>
        <v>#NUM!</v>
      </c>
      <c r="X25" s="203" t="e">
        <f ca="1">_xll.qlRealHullWhiteModelZeroBond($F$6,$F$9,X$7,$J25)/$K25</f>
        <v>#NUM!</v>
      </c>
      <c r="Y25" s="203" t="e">
        <f ca="1">_xll.qlRealHullWhiteModelZeroBond($F$6,$F$9,Y$7,$J25)/$K25</f>
        <v>#NUM!</v>
      </c>
      <c r="Z25" s="203" t="e">
        <f ca="1">_xll.qlRealHullWhiteModelZeroBond($F$6,$F$9,Z$7,$J25)/$K25</f>
        <v>#NUM!</v>
      </c>
      <c r="AA25" s="203" t="e">
        <f ca="1">_xll.qlRealHullWhiteModelZeroBond($F$6,$F$9,AA$7,$J25)/$K25</f>
        <v>#NUM!</v>
      </c>
      <c r="AB25" s="203" t="e">
        <f ca="1">_xll.qlRealHullWhiteModelZeroBond($F$6,$F$9,AB$7,$J25)/$K25</f>
        <v>#NUM!</v>
      </c>
      <c r="AC25" s="203" t="e">
        <f ca="1">_xll.qlRealHullWhiteModelZeroBond($F$6,$F$9,AC$7,$J25)/$K25</f>
        <v>#NUM!</v>
      </c>
      <c r="AD25" s="203" t="e">
        <f ca="1">_xll.qlRealHullWhiteModelZeroBond($F$6,$F$9,AD$7,$J25)/$K25</f>
        <v>#NUM!</v>
      </c>
      <c r="AE25" s="203" t="e">
        <f ca="1">_xll.qlRealHullWhiteModelZeroBond($F$6,$F$9,AE$7,$J25)/$K25</f>
        <v>#NUM!</v>
      </c>
      <c r="AF25" s="203" t="e">
        <f ca="1">_xll.qlRealHullWhiteModelZeroBond($F$6,$F$9,AF$7,$J25)/$K25</f>
        <v>#NUM!</v>
      </c>
      <c r="AG25" s="203" t="e">
        <f ca="1">_xll.qlRealHullWhiteModelZeroBond($F$6,$F$9,AG$7,$J25)/$K25</f>
        <v>#NUM!</v>
      </c>
      <c r="AH25" s="204" t="e">
        <f ca="1">_xll.qlRealHullWhiteModelZeroBond($F$6,$F$9,AH$7,$J25)/$K25</f>
        <v>#NUM!</v>
      </c>
    </row>
    <row r="26" spans="2:34">
      <c r="B26" s="104" t="s">
        <v>72</v>
      </c>
      <c r="C26" s="124"/>
      <c r="E26" s="183">
        <f ca="1"/>
        <v>16.517808219178082</v>
      </c>
      <c r="F26" s="189">
        <f ca="1"/>
        <v>4.940425338326726E-4</v>
      </c>
      <c r="G26" s="184"/>
      <c r="H26" s="184"/>
      <c r="J26" s="193">
        <v>0.35</v>
      </c>
      <c r="K26" s="183" t="e">
        <f t="array" aca="1" ref="K26" ca="1">XLHullWhiteLeg($F$6,$F$9,J26,$G$12:$G$21,$H$12:$H$21)</f>
        <v>#VALUE!</v>
      </c>
      <c r="L26" s="183" t="e">
        <f t="array" aca="1" ref="L26" ca="1">XLHullWhiteLeg($F$6,$F$9,J26,$E$12:$E$33,$F$12:$F$33)</f>
        <v>#VALUE!</v>
      </c>
      <c r="M26" s="212" t="e">
        <f t="shared" ca="1" si="0"/>
        <v>#VALUE!</v>
      </c>
      <c r="N26" s="202" t="e">
        <f ca="1">_xll.qlRealHullWhiteModelZeroBond($F$6,$F$9,N$7,$J26)/$K26</f>
        <v>#NUM!</v>
      </c>
      <c r="O26" s="203" t="e">
        <f ca="1">_xll.qlRealHullWhiteModelZeroBond($F$6,$F$9,O$7,$J26)/$K26</f>
        <v>#NUM!</v>
      </c>
      <c r="P26" s="203" t="e">
        <f ca="1">_xll.qlRealHullWhiteModelZeroBond($F$6,$F$9,P$7,$J26)/$K26</f>
        <v>#NUM!</v>
      </c>
      <c r="Q26" s="203" t="e">
        <f ca="1">_xll.qlRealHullWhiteModelZeroBond($F$6,$F$9,Q$7,$J26)/$K26</f>
        <v>#NUM!</v>
      </c>
      <c r="R26" s="203" t="e">
        <f ca="1">_xll.qlRealHullWhiteModelZeroBond($F$6,$F$9,R$7,$J26)/$K26</f>
        <v>#NUM!</v>
      </c>
      <c r="S26" s="203" t="e">
        <f ca="1">_xll.qlRealHullWhiteModelZeroBond($F$6,$F$9,S$7,$J26)/$K26</f>
        <v>#NUM!</v>
      </c>
      <c r="T26" s="203" t="e">
        <f ca="1">_xll.qlRealHullWhiteModelZeroBond($F$6,$F$9,T$7,$J26)/$K26</f>
        <v>#NUM!</v>
      </c>
      <c r="U26" s="203" t="e">
        <f ca="1">_xll.qlRealHullWhiteModelZeroBond($F$6,$F$9,U$7,$J26)/$K26</f>
        <v>#NUM!</v>
      </c>
      <c r="V26" s="203" t="e">
        <f ca="1">_xll.qlRealHullWhiteModelZeroBond($F$6,$F$9,V$7,$J26)/$K26</f>
        <v>#NUM!</v>
      </c>
      <c r="W26" s="203" t="e">
        <f ca="1">_xll.qlRealHullWhiteModelZeroBond($F$6,$F$9,W$7,$J26)/$K26</f>
        <v>#NUM!</v>
      </c>
      <c r="X26" s="203" t="e">
        <f ca="1">_xll.qlRealHullWhiteModelZeroBond($F$6,$F$9,X$7,$J26)/$K26</f>
        <v>#NUM!</v>
      </c>
      <c r="Y26" s="203" t="e">
        <f ca="1">_xll.qlRealHullWhiteModelZeroBond($F$6,$F$9,Y$7,$J26)/$K26</f>
        <v>#NUM!</v>
      </c>
      <c r="Z26" s="203" t="e">
        <f ca="1">_xll.qlRealHullWhiteModelZeroBond($F$6,$F$9,Z$7,$J26)/$K26</f>
        <v>#NUM!</v>
      </c>
      <c r="AA26" s="203" t="e">
        <f ca="1">_xll.qlRealHullWhiteModelZeroBond($F$6,$F$9,AA$7,$J26)/$K26</f>
        <v>#NUM!</v>
      </c>
      <c r="AB26" s="203" t="e">
        <f ca="1">_xll.qlRealHullWhiteModelZeroBond($F$6,$F$9,AB$7,$J26)/$K26</f>
        <v>#NUM!</v>
      </c>
      <c r="AC26" s="203" t="e">
        <f ca="1">_xll.qlRealHullWhiteModelZeroBond($F$6,$F$9,AC$7,$J26)/$K26</f>
        <v>#NUM!</v>
      </c>
      <c r="AD26" s="203" t="e">
        <f ca="1">_xll.qlRealHullWhiteModelZeroBond($F$6,$F$9,AD$7,$J26)/$K26</f>
        <v>#NUM!</v>
      </c>
      <c r="AE26" s="203" t="e">
        <f ca="1">_xll.qlRealHullWhiteModelZeroBond($F$6,$F$9,AE$7,$J26)/$K26</f>
        <v>#NUM!</v>
      </c>
      <c r="AF26" s="203" t="e">
        <f ca="1">_xll.qlRealHullWhiteModelZeroBond($F$6,$F$9,AF$7,$J26)/$K26</f>
        <v>#NUM!</v>
      </c>
      <c r="AG26" s="203" t="e">
        <f ca="1">_xll.qlRealHullWhiteModelZeroBond($F$6,$F$9,AG$7,$J26)/$K26</f>
        <v>#NUM!</v>
      </c>
      <c r="AH26" s="204" t="e">
        <f ca="1">_xll.qlRealHullWhiteModelZeroBond($F$6,$F$9,AH$7,$J26)/$K26</f>
        <v>#NUM!</v>
      </c>
    </row>
    <row r="27" spans="2:34">
      <c r="B27" s="104" t="s">
        <v>73</v>
      </c>
      <c r="C27" s="124"/>
      <c r="E27" s="183">
        <f ca="1"/>
        <v>17.021917808219179</v>
      </c>
      <c r="F27" s="189">
        <f ca="1"/>
        <v>4.7685966787835987E-4</v>
      </c>
      <c r="G27" s="184"/>
      <c r="H27" s="184"/>
      <c r="J27" s="193">
        <v>0.4</v>
      </c>
      <c r="K27" s="183" t="e">
        <f t="array" aca="1" ref="K27" ca="1">XLHullWhiteLeg($F$6,$F$9,J27,$G$12:$G$21,$H$12:$H$21)</f>
        <v>#VALUE!</v>
      </c>
      <c r="L27" s="183" t="e">
        <f t="array" aca="1" ref="L27" ca="1">XLHullWhiteLeg($F$6,$F$9,J27,$E$12:$E$33,$F$12:$F$33)</f>
        <v>#VALUE!</v>
      </c>
      <c r="M27" s="212" t="e">
        <f t="shared" ca="1" si="0"/>
        <v>#VALUE!</v>
      </c>
      <c r="N27" s="202" t="e">
        <f ca="1">_xll.qlRealHullWhiteModelZeroBond($F$6,$F$9,N$7,$J27)/$K27</f>
        <v>#NUM!</v>
      </c>
      <c r="O27" s="203" t="e">
        <f ca="1">_xll.qlRealHullWhiteModelZeroBond($F$6,$F$9,O$7,$J27)/$K27</f>
        <v>#NUM!</v>
      </c>
      <c r="P27" s="203" t="e">
        <f ca="1">_xll.qlRealHullWhiteModelZeroBond($F$6,$F$9,P$7,$J27)/$K27</f>
        <v>#NUM!</v>
      </c>
      <c r="Q27" s="203" t="e">
        <f ca="1">_xll.qlRealHullWhiteModelZeroBond($F$6,$F$9,Q$7,$J27)/$K27</f>
        <v>#NUM!</v>
      </c>
      <c r="R27" s="203" t="e">
        <f ca="1">_xll.qlRealHullWhiteModelZeroBond($F$6,$F$9,R$7,$J27)/$K27</f>
        <v>#NUM!</v>
      </c>
      <c r="S27" s="203" t="e">
        <f ca="1">_xll.qlRealHullWhiteModelZeroBond($F$6,$F$9,S$7,$J27)/$K27</f>
        <v>#NUM!</v>
      </c>
      <c r="T27" s="203" t="e">
        <f ca="1">_xll.qlRealHullWhiteModelZeroBond($F$6,$F$9,T$7,$J27)/$K27</f>
        <v>#NUM!</v>
      </c>
      <c r="U27" s="203" t="e">
        <f ca="1">_xll.qlRealHullWhiteModelZeroBond($F$6,$F$9,U$7,$J27)/$K27</f>
        <v>#NUM!</v>
      </c>
      <c r="V27" s="203" t="e">
        <f ca="1">_xll.qlRealHullWhiteModelZeroBond($F$6,$F$9,V$7,$J27)/$K27</f>
        <v>#NUM!</v>
      </c>
      <c r="W27" s="203" t="e">
        <f ca="1">_xll.qlRealHullWhiteModelZeroBond($F$6,$F$9,W$7,$J27)/$K27</f>
        <v>#NUM!</v>
      </c>
      <c r="X27" s="203" t="e">
        <f ca="1">_xll.qlRealHullWhiteModelZeroBond($F$6,$F$9,X$7,$J27)/$K27</f>
        <v>#NUM!</v>
      </c>
      <c r="Y27" s="203" t="e">
        <f ca="1">_xll.qlRealHullWhiteModelZeroBond($F$6,$F$9,Y$7,$J27)/$K27</f>
        <v>#NUM!</v>
      </c>
      <c r="Z27" s="203" t="e">
        <f ca="1">_xll.qlRealHullWhiteModelZeroBond($F$6,$F$9,Z$7,$J27)/$K27</f>
        <v>#NUM!</v>
      </c>
      <c r="AA27" s="203" t="e">
        <f ca="1">_xll.qlRealHullWhiteModelZeroBond($F$6,$F$9,AA$7,$J27)/$K27</f>
        <v>#NUM!</v>
      </c>
      <c r="AB27" s="203" t="e">
        <f ca="1">_xll.qlRealHullWhiteModelZeroBond($F$6,$F$9,AB$7,$J27)/$K27</f>
        <v>#NUM!</v>
      </c>
      <c r="AC27" s="203" t="e">
        <f ca="1">_xll.qlRealHullWhiteModelZeroBond($F$6,$F$9,AC$7,$J27)/$K27</f>
        <v>#NUM!</v>
      </c>
      <c r="AD27" s="203" t="e">
        <f ca="1">_xll.qlRealHullWhiteModelZeroBond($F$6,$F$9,AD$7,$J27)/$K27</f>
        <v>#NUM!</v>
      </c>
      <c r="AE27" s="203" t="e">
        <f ca="1">_xll.qlRealHullWhiteModelZeroBond($F$6,$F$9,AE$7,$J27)/$K27</f>
        <v>#NUM!</v>
      </c>
      <c r="AF27" s="203" t="e">
        <f ca="1">_xll.qlRealHullWhiteModelZeroBond($F$6,$F$9,AF$7,$J27)/$K27</f>
        <v>#NUM!</v>
      </c>
      <c r="AG27" s="203" t="e">
        <f ca="1">_xll.qlRealHullWhiteModelZeroBond($F$6,$F$9,AG$7,$J27)/$K27</f>
        <v>#NUM!</v>
      </c>
      <c r="AH27" s="204" t="e">
        <f ca="1">_xll.qlRealHullWhiteModelZeroBond($F$6,$F$9,AH$7,$J27)/$K27</f>
        <v>#NUM!</v>
      </c>
    </row>
    <row r="28" spans="2:34">
      <c r="B28" s="104" t="s">
        <v>30</v>
      </c>
      <c r="C28" s="123"/>
      <c r="E28" s="183">
        <f ca="1"/>
        <v>17.517808219178082</v>
      </c>
      <c r="F28" s="189">
        <f ca="1"/>
        <v>4.7525896323663552E-4</v>
      </c>
      <c r="G28" s="184"/>
      <c r="H28" s="184"/>
      <c r="J28" s="193">
        <v>0.41135714142228591</v>
      </c>
      <c r="K28" s="185" t="e">
        <f t="array" aca="1" ref="K28" ca="1">XLHullWhiteLeg($F$6,$F$9,J28,$G$12:$G$21,$H$12:$H$21)</f>
        <v>#VALUE!</v>
      </c>
      <c r="L28" s="185" t="e">
        <f t="array" aca="1" ref="L28" ca="1">XLHullWhiteLeg($F$6,$F$9,J28,$E$12:$E$33,$F$12:$F$33)</f>
        <v>#VALUE!</v>
      </c>
      <c r="M28" s="213">
        <f t="shared" ca="1" si="0"/>
        <v>0.5015806018338631</v>
      </c>
      <c r="N28" s="208" t="e">
        <f ca="1">_xll.qlRealHullWhiteModelZeroBond($F$6,$F$9,N$7,$J28)/$K28</f>
        <v>#NUM!</v>
      </c>
      <c r="O28" s="209" t="e">
        <f ca="1">_xll.qlRealHullWhiteModelZeroBond($F$6,$F$9,O$7,$J28)/$K28</f>
        <v>#NUM!</v>
      </c>
      <c r="P28" s="209" t="e">
        <f ca="1">_xll.qlRealHullWhiteModelZeroBond($F$6,$F$9,P$7,$J28)/$K28</f>
        <v>#NUM!</v>
      </c>
      <c r="Q28" s="209" t="e">
        <f ca="1">_xll.qlRealHullWhiteModelZeroBond($F$6,$F$9,Q$7,$J28)/$K28</f>
        <v>#NUM!</v>
      </c>
      <c r="R28" s="209" t="e">
        <f ca="1">_xll.qlRealHullWhiteModelZeroBond($F$6,$F$9,R$7,$J28)/$K28</f>
        <v>#NUM!</v>
      </c>
      <c r="S28" s="209" t="e">
        <f ca="1">_xll.qlRealHullWhiteModelZeroBond($F$6,$F$9,S$7,$J28)/$K28</f>
        <v>#NUM!</v>
      </c>
      <c r="T28" s="209" t="e">
        <f ca="1">_xll.qlRealHullWhiteModelZeroBond($F$6,$F$9,T$7,$J28)/$K28</f>
        <v>#NUM!</v>
      </c>
      <c r="U28" s="209" t="e">
        <f ca="1">_xll.qlRealHullWhiteModelZeroBond($F$6,$F$9,U$7,$J28)/$K28</f>
        <v>#NUM!</v>
      </c>
      <c r="V28" s="209" t="e">
        <f ca="1">_xll.qlRealHullWhiteModelZeroBond($F$6,$F$9,V$7,$J28)/$K28</f>
        <v>#NUM!</v>
      </c>
      <c r="W28" s="209" t="e">
        <f ca="1">_xll.qlRealHullWhiteModelZeroBond($F$6,$F$9,W$7,$J28)/$K28</f>
        <v>#NUM!</v>
      </c>
      <c r="X28" s="209" t="e">
        <f ca="1">_xll.qlRealHullWhiteModelZeroBond($F$6,$F$9,X$7,$J28)/$K28</f>
        <v>#NUM!</v>
      </c>
      <c r="Y28" s="209" t="e">
        <f ca="1">_xll.qlRealHullWhiteModelZeroBond($F$6,$F$9,Y$7,$J28)/$K28</f>
        <v>#NUM!</v>
      </c>
      <c r="Z28" s="209" t="e">
        <f ca="1">_xll.qlRealHullWhiteModelZeroBond($F$6,$F$9,Z$7,$J28)/$K28</f>
        <v>#NUM!</v>
      </c>
      <c r="AA28" s="209" t="e">
        <f ca="1">_xll.qlRealHullWhiteModelZeroBond($F$6,$F$9,AA$7,$J28)/$K28</f>
        <v>#NUM!</v>
      </c>
      <c r="AB28" s="209" t="e">
        <f ca="1">_xll.qlRealHullWhiteModelZeroBond($F$6,$F$9,AB$7,$J28)/$K28</f>
        <v>#NUM!</v>
      </c>
      <c r="AC28" s="209" t="e">
        <f ca="1">_xll.qlRealHullWhiteModelZeroBond($F$6,$F$9,AC$7,$J28)/$K28</f>
        <v>#NUM!</v>
      </c>
      <c r="AD28" s="209" t="e">
        <f ca="1">_xll.qlRealHullWhiteModelZeroBond($F$6,$F$9,AD$7,$J28)/$K28</f>
        <v>#NUM!</v>
      </c>
      <c r="AE28" s="209" t="e">
        <f ca="1">_xll.qlRealHullWhiteModelZeroBond($F$6,$F$9,AE$7,$J28)/$K28</f>
        <v>#NUM!</v>
      </c>
      <c r="AF28" s="209" t="e">
        <f ca="1">_xll.qlRealHullWhiteModelZeroBond($F$6,$F$9,AF$7,$J28)/$K28</f>
        <v>#NUM!</v>
      </c>
      <c r="AG28" s="209" t="e">
        <f ca="1">_xll.qlRealHullWhiteModelZeroBond($F$6,$F$9,AG$7,$J28)/$K28</f>
        <v>#NUM!</v>
      </c>
      <c r="AH28" s="210" t="e">
        <f ca="1">_xll.qlRealHullWhiteModelZeroBond($F$6,$F$9,AH$7,$J28)/$K28</f>
        <v>#NUM!</v>
      </c>
    </row>
    <row r="29" spans="2:34" ht="15.75" thickBot="1">
      <c r="B29" s="107" t="s">
        <v>32</v>
      </c>
      <c r="C29" s="127"/>
      <c r="E29" s="183">
        <f ca="1"/>
        <v>18.027397260273972</v>
      </c>
      <c r="F29" s="189">
        <f ca="1"/>
        <v>4.3815446756156895E-4</v>
      </c>
      <c r="G29" s="184"/>
      <c r="H29" s="184"/>
      <c r="I29">
        <v>-0.11728156698529443</v>
      </c>
      <c r="J29" s="216">
        <v>-0.11728156698529443</v>
      </c>
      <c r="K29" s="217" t="e">
        <f t="array" aca="1" ref="K29" ca="1">XLHullWhiteLeg($F$6,$F$9,J29,$G$12:$G$21,$H$12:$H$21)</f>
        <v>#VALUE!</v>
      </c>
      <c r="L29" s="217" t="e">
        <f t="array" aca="1" ref="L29" ca="1">XLHullWhiteLeg($F$6,$F$9,J29,$E$12:$E$33,$F$12:$F$33)</f>
        <v>#VALUE!</v>
      </c>
      <c r="M29" s="218" t="e">
        <f t="shared" ca="1" si="0"/>
        <v>#VALUE!</v>
      </c>
      <c r="N29" s="219" t="e">
        <f ca="1">_xll.qlRealHullWhiteModelZeroBond($F$6,$F$9,N$7,$J29)/$K29</f>
        <v>#NUM!</v>
      </c>
      <c r="O29" s="220" t="e">
        <f ca="1">_xll.qlRealHullWhiteModelZeroBond($F$6,$F$9,O$7,$J29)/$K29</f>
        <v>#NUM!</v>
      </c>
      <c r="P29" s="220" t="e">
        <f ca="1">_xll.qlRealHullWhiteModelZeroBond($F$6,$F$9,P$7,$J29)/$K29</f>
        <v>#NUM!</v>
      </c>
      <c r="Q29" s="220" t="e">
        <f ca="1">_xll.qlRealHullWhiteModelZeroBond($F$6,$F$9,Q$7,$J29)/$K29</f>
        <v>#NUM!</v>
      </c>
      <c r="R29" s="220" t="e">
        <f ca="1">_xll.qlRealHullWhiteModelZeroBond($F$6,$F$9,R$7,$J29)/$K29</f>
        <v>#NUM!</v>
      </c>
      <c r="S29" s="220" t="e">
        <f ca="1">_xll.qlRealHullWhiteModelZeroBond($F$6,$F$9,S$7,$J29)/$K29</f>
        <v>#NUM!</v>
      </c>
      <c r="T29" s="220" t="e">
        <f ca="1">_xll.qlRealHullWhiteModelZeroBond($F$6,$F$9,T$7,$J29)/$K29</f>
        <v>#NUM!</v>
      </c>
      <c r="U29" s="220" t="e">
        <f ca="1">_xll.qlRealHullWhiteModelZeroBond($F$6,$F$9,U$7,$J29)/$K29</f>
        <v>#NUM!</v>
      </c>
      <c r="V29" s="220" t="e">
        <f ca="1">_xll.qlRealHullWhiteModelZeroBond($F$6,$F$9,V$7,$J29)/$K29</f>
        <v>#NUM!</v>
      </c>
      <c r="W29" s="220" t="e">
        <f ca="1">_xll.qlRealHullWhiteModelZeroBond($F$6,$F$9,W$7,$J29)/$K29</f>
        <v>#NUM!</v>
      </c>
      <c r="X29" s="220" t="e">
        <f ca="1">_xll.qlRealHullWhiteModelZeroBond($F$6,$F$9,X$7,$J29)/$K29</f>
        <v>#NUM!</v>
      </c>
      <c r="Y29" s="220" t="e">
        <f ca="1">_xll.qlRealHullWhiteModelZeroBond($F$6,$F$9,Y$7,$J29)/$K29</f>
        <v>#NUM!</v>
      </c>
      <c r="Z29" s="220" t="e">
        <f ca="1">_xll.qlRealHullWhiteModelZeroBond($F$6,$F$9,Z$7,$J29)/$K29</f>
        <v>#NUM!</v>
      </c>
      <c r="AA29" s="220" t="e">
        <f ca="1">_xll.qlRealHullWhiteModelZeroBond($F$6,$F$9,AA$7,$J29)/$K29</f>
        <v>#NUM!</v>
      </c>
      <c r="AB29" s="220" t="e">
        <f ca="1">_xll.qlRealHullWhiteModelZeroBond($F$6,$F$9,AB$7,$J29)/$K29</f>
        <v>#NUM!</v>
      </c>
      <c r="AC29" s="220" t="e">
        <f ca="1">_xll.qlRealHullWhiteModelZeroBond($F$6,$F$9,AC$7,$J29)/$K29</f>
        <v>#NUM!</v>
      </c>
      <c r="AD29" s="220" t="e">
        <f ca="1">_xll.qlRealHullWhiteModelZeroBond($F$6,$F$9,AD$7,$J29)/$K29</f>
        <v>#NUM!</v>
      </c>
      <c r="AE29" s="220" t="e">
        <f ca="1">_xll.qlRealHullWhiteModelZeroBond($F$6,$F$9,AE$7,$J29)/$K29</f>
        <v>#NUM!</v>
      </c>
      <c r="AF29" s="220" t="e">
        <f ca="1">_xll.qlRealHullWhiteModelZeroBond($F$6,$F$9,AF$7,$J29)/$K29</f>
        <v>#NUM!</v>
      </c>
      <c r="AG29" s="220" t="e">
        <f ca="1">_xll.qlRealHullWhiteModelZeroBond($F$6,$F$9,AG$7,$J29)/$K29</f>
        <v>#NUM!</v>
      </c>
      <c r="AH29" s="221" t="e">
        <f ca="1">_xll.qlRealHullWhiteModelZeroBond($F$6,$F$9,AH$7,$J29)/$K29</f>
        <v>#NUM!</v>
      </c>
    </row>
    <row r="30" spans="2:34" ht="15.75" thickBot="1">
      <c r="E30" s="183">
        <f ca="1"/>
        <v>18.517808219178082</v>
      </c>
      <c r="F30" s="189">
        <f ca="1"/>
        <v>4.2777525163861796E-4</v>
      </c>
      <c r="G30" s="184"/>
      <c r="H30" s="184"/>
      <c r="I30">
        <v>1.193398044253677E-2</v>
      </c>
      <c r="J30" s="194">
        <v>1.193398044253677E-2</v>
      </c>
      <c r="K30" s="195" t="e">
        <f t="array" aca="1" ref="K30" ca="1">XLHullWhiteLeg($F$6,$F$9,J30,$G$12:$G$21,$H$12:$H$21)</f>
        <v>#VALUE!</v>
      </c>
      <c r="L30" s="195" t="e">
        <f t="array" aca="1" ref="L30" ca="1">XLHullWhiteLeg($F$6,$F$9,J30,$E$12:$E$33,$F$12:$F$33)</f>
        <v>#VALUE!</v>
      </c>
      <c r="M30" s="214" t="e">
        <f t="shared" ca="1" si="0"/>
        <v>#VALUE!</v>
      </c>
      <c r="N30" s="205" t="e">
        <f ca="1">_xll.qlRealHullWhiteModelZeroBond($F$6,$F$9,N$7,$J30)/$K30</f>
        <v>#NUM!</v>
      </c>
      <c r="O30" s="206" t="e">
        <f ca="1">_xll.qlRealHullWhiteModelZeroBond($F$6,$F$9,O$7,$J30)/$K30</f>
        <v>#NUM!</v>
      </c>
      <c r="P30" s="206" t="e">
        <f ca="1">_xll.qlRealHullWhiteModelZeroBond($F$6,$F$9,P$7,$J30)/$K30</f>
        <v>#NUM!</v>
      </c>
      <c r="Q30" s="206" t="e">
        <f ca="1">_xll.qlRealHullWhiteModelZeroBond($F$6,$F$9,Q$7,$J30)/$K30</f>
        <v>#NUM!</v>
      </c>
      <c r="R30" s="206" t="e">
        <f ca="1">_xll.qlRealHullWhiteModelZeroBond($F$6,$F$9,R$7,$J30)/$K30</f>
        <v>#NUM!</v>
      </c>
      <c r="S30" s="206" t="e">
        <f ca="1">_xll.qlRealHullWhiteModelZeroBond($F$6,$F$9,S$7,$J30)/$K30</f>
        <v>#NUM!</v>
      </c>
      <c r="T30" s="206" t="e">
        <f ca="1">_xll.qlRealHullWhiteModelZeroBond($F$6,$F$9,T$7,$J30)/$K30</f>
        <v>#NUM!</v>
      </c>
      <c r="U30" s="206" t="e">
        <f ca="1">_xll.qlRealHullWhiteModelZeroBond($F$6,$F$9,U$7,$J30)/$K30</f>
        <v>#NUM!</v>
      </c>
      <c r="V30" s="206" t="e">
        <f ca="1">_xll.qlRealHullWhiteModelZeroBond($F$6,$F$9,V$7,$J30)/$K30</f>
        <v>#NUM!</v>
      </c>
      <c r="W30" s="206" t="e">
        <f ca="1">_xll.qlRealHullWhiteModelZeroBond($F$6,$F$9,W$7,$J30)/$K30</f>
        <v>#NUM!</v>
      </c>
      <c r="X30" s="206" t="e">
        <f ca="1">_xll.qlRealHullWhiteModelZeroBond($F$6,$F$9,X$7,$J30)/$K30</f>
        <v>#NUM!</v>
      </c>
      <c r="Y30" s="206" t="e">
        <f ca="1">_xll.qlRealHullWhiteModelZeroBond($F$6,$F$9,Y$7,$J30)/$K30</f>
        <v>#NUM!</v>
      </c>
      <c r="Z30" s="206" t="e">
        <f ca="1">_xll.qlRealHullWhiteModelZeroBond($F$6,$F$9,Z$7,$J30)/$K30</f>
        <v>#NUM!</v>
      </c>
      <c r="AA30" s="206" t="e">
        <f ca="1">_xll.qlRealHullWhiteModelZeroBond($F$6,$F$9,AA$7,$J30)/$K30</f>
        <v>#NUM!</v>
      </c>
      <c r="AB30" s="206" t="e">
        <f ca="1">_xll.qlRealHullWhiteModelZeroBond($F$6,$F$9,AB$7,$J30)/$K30</f>
        <v>#NUM!</v>
      </c>
      <c r="AC30" s="206" t="e">
        <f ca="1">_xll.qlRealHullWhiteModelZeroBond($F$6,$F$9,AC$7,$J30)/$K30</f>
        <v>#NUM!</v>
      </c>
      <c r="AD30" s="206" t="e">
        <f ca="1">_xll.qlRealHullWhiteModelZeroBond($F$6,$F$9,AD$7,$J30)/$K30</f>
        <v>#NUM!</v>
      </c>
      <c r="AE30" s="206" t="e">
        <f ca="1">_xll.qlRealHullWhiteModelZeroBond($F$6,$F$9,AE$7,$J30)/$K30</f>
        <v>#NUM!</v>
      </c>
      <c r="AF30" s="206" t="e">
        <f ca="1">_xll.qlRealHullWhiteModelZeroBond($F$6,$F$9,AF$7,$J30)/$K30</f>
        <v>#NUM!</v>
      </c>
      <c r="AG30" s="206" t="e">
        <f ca="1">_xll.qlRealHullWhiteModelZeroBond($F$6,$F$9,AG$7,$J30)/$K30</f>
        <v>#NUM!</v>
      </c>
      <c r="AH30" s="207" t="e">
        <f ca="1">_xll.qlRealHullWhiteModelZeroBond($F$6,$F$9,AH$7,$J30)/$K30</f>
        <v>#NUM!</v>
      </c>
    </row>
    <row r="31" spans="2:34">
      <c r="B31" s="102" t="s">
        <v>94</v>
      </c>
      <c r="C31" s="113" t="str">
        <f ca="1">_xll.qlSchedule(C33,C34,C35,C36,C37,C38,C39,C40,C41,C42,C43,C44,C45)</f>
        <v>obj_00981#0000</v>
      </c>
      <c r="E31" s="183">
        <f ca="1"/>
        <v>19.024657534246575</v>
      </c>
      <c r="F31" s="189">
        <f ca="1"/>
        <v>3.9078712545248528E-4</v>
      </c>
      <c r="G31" s="184"/>
      <c r="H31" s="184"/>
      <c r="I31">
        <v>9.4727064247104614E-2</v>
      </c>
      <c r="J31" s="222">
        <v>9.4727064247104614E-2</v>
      </c>
      <c r="K31" s="223" t="e">
        <f t="array" aca="1" ref="K31" ca="1">XLHullWhiteLeg($F$6,$F$9,J31,$G$12:$G$21,$H$12:$H$21)</f>
        <v>#VALUE!</v>
      </c>
      <c r="L31" s="223" t="e">
        <f t="array" aca="1" ref="L31" ca="1">XLHullWhiteLeg($F$6,$F$9,J31,$E$12:$E$33,$F$12:$F$33)</f>
        <v>#VALUE!</v>
      </c>
      <c r="M31" s="224" t="e">
        <f t="shared" ca="1" si="0"/>
        <v>#VALUE!</v>
      </c>
      <c r="N31" s="225" t="e">
        <f ca="1">_xll.qlRealHullWhiteModelZeroBond($F$6,$F$9,N$7,$J31)/$K31</f>
        <v>#NUM!</v>
      </c>
      <c r="O31" s="226" t="e">
        <f ca="1">_xll.qlRealHullWhiteModelZeroBond($F$6,$F$9,O$7,$J31)/$K31</f>
        <v>#NUM!</v>
      </c>
      <c r="P31" s="226" t="e">
        <f ca="1">_xll.qlRealHullWhiteModelZeroBond($F$6,$F$9,P$7,$J31)/$K31</f>
        <v>#NUM!</v>
      </c>
      <c r="Q31" s="226" t="e">
        <f ca="1">_xll.qlRealHullWhiteModelZeroBond($F$6,$F$9,Q$7,$J31)/$K31</f>
        <v>#NUM!</v>
      </c>
      <c r="R31" s="226" t="e">
        <f ca="1">_xll.qlRealHullWhiteModelZeroBond($F$6,$F$9,R$7,$J31)/$K31</f>
        <v>#NUM!</v>
      </c>
      <c r="S31" s="226" t="e">
        <f ca="1">_xll.qlRealHullWhiteModelZeroBond($F$6,$F$9,S$7,$J31)/$K31</f>
        <v>#NUM!</v>
      </c>
      <c r="T31" s="226" t="e">
        <f ca="1">_xll.qlRealHullWhiteModelZeroBond($F$6,$F$9,T$7,$J31)/$K31</f>
        <v>#NUM!</v>
      </c>
      <c r="U31" s="226" t="e">
        <f ca="1">_xll.qlRealHullWhiteModelZeroBond($F$6,$F$9,U$7,$J31)/$K31</f>
        <v>#NUM!</v>
      </c>
      <c r="V31" s="226" t="e">
        <f ca="1">_xll.qlRealHullWhiteModelZeroBond($F$6,$F$9,V$7,$J31)/$K31</f>
        <v>#NUM!</v>
      </c>
      <c r="W31" s="226" t="e">
        <f ca="1">_xll.qlRealHullWhiteModelZeroBond($F$6,$F$9,W$7,$J31)/$K31</f>
        <v>#NUM!</v>
      </c>
      <c r="X31" s="226" t="e">
        <f ca="1">_xll.qlRealHullWhiteModelZeroBond($F$6,$F$9,X$7,$J31)/$K31</f>
        <v>#NUM!</v>
      </c>
      <c r="Y31" s="226" t="e">
        <f ca="1">_xll.qlRealHullWhiteModelZeroBond($F$6,$F$9,Y$7,$J31)/$K31</f>
        <v>#NUM!</v>
      </c>
      <c r="Z31" s="226" t="e">
        <f ca="1">_xll.qlRealHullWhiteModelZeroBond($F$6,$F$9,Z$7,$J31)/$K31</f>
        <v>#NUM!</v>
      </c>
      <c r="AA31" s="226" t="e">
        <f ca="1">_xll.qlRealHullWhiteModelZeroBond($F$6,$F$9,AA$7,$J31)/$K31</f>
        <v>#NUM!</v>
      </c>
      <c r="AB31" s="226" t="e">
        <f ca="1">_xll.qlRealHullWhiteModelZeroBond($F$6,$F$9,AB$7,$J31)/$K31</f>
        <v>#NUM!</v>
      </c>
      <c r="AC31" s="226" t="e">
        <f ca="1">_xll.qlRealHullWhiteModelZeroBond($F$6,$F$9,AC$7,$J31)/$K31</f>
        <v>#NUM!</v>
      </c>
      <c r="AD31" s="226" t="e">
        <f ca="1">_xll.qlRealHullWhiteModelZeroBond($F$6,$F$9,AD$7,$J31)/$K31</f>
        <v>#NUM!</v>
      </c>
      <c r="AE31" s="226" t="e">
        <f ca="1">_xll.qlRealHullWhiteModelZeroBond($F$6,$F$9,AE$7,$J31)/$K31</f>
        <v>#NUM!</v>
      </c>
      <c r="AF31" s="226" t="e">
        <f ca="1">_xll.qlRealHullWhiteModelZeroBond($F$6,$F$9,AF$7,$J31)/$K31</f>
        <v>#NUM!</v>
      </c>
      <c r="AG31" s="226" t="e">
        <f ca="1">_xll.qlRealHullWhiteModelZeroBond($F$6,$F$9,AG$7,$J31)/$K31</f>
        <v>#NUM!</v>
      </c>
      <c r="AH31" s="227" t="e">
        <f ca="1">_xll.qlRealHullWhiteModelZeroBond($F$6,$F$9,AH$7,$J31)/$K31</f>
        <v>#NUM!</v>
      </c>
    </row>
    <row r="32" spans="2:34" ht="15.75" thickBot="1">
      <c r="B32" s="107" t="s">
        <v>5</v>
      </c>
      <c r="C32" s="114" t="str">
        <f ca="1">_xll.ohRangeRetrieveError(C31)</f>
        <v/>
      </c>
      <c r="E32" s="183">
        <f ca="1"/>
        <v>19.523287671232875</v>
      </c>
      <c r="F32" s="189">
        <f ca="1"/>
        <v>3.558136468524431E-4</v>
      </c>
      <c r="G32" s="184"/>
      <c r="H32" s="184"/>
    </row>
    <row r="33" spans="2:8">
      <c r="B33" s="102" t="s">
        <v>2</v>
      </c>
      <c r="C33" s="115"/>
      <c r="E33" s="183">
        <f ca="1"/>
        <v>20.021917808219179</v>
      </c>
      <c r="F33" s="189">
        <f ca="1"/>
        <v>-1</v>
      </c>
      <c r="G33" s="184"/>
      <c r="H33" s="184"/>
    </row>
    <row r="34" spans="2:8">
      <c r="B34" s="104" t="s">
        <v>66</v>
      </c>
      <c r="C34" s="111">
        <f ca="1">C$12</f>
        <v>45910</v>
      </c>
      <c r="E34" s="185" t="e">
        <f ca="1"/>
        <v>#N/A</v>
      </c>
      <c r="F34" s="190" t="e">
        <f ca="1"/>
        <v>#N/A</v>
      </c>
      <c r="G34" s="186"/>
      <c r="H34" s="186"/>
    </row>
    <row r="35" spans="2:8">
      <c r="B35" s="104" t="s">
        <v>67</v>
      </c>
      <c r="C35" s="111">
        <f ca="1">C$13</f>
        <v>49562</v>
      </c>
    </row>
    <row r="36" spans="2:8">
      <c r="B36" s="104" t="s">
        <v>6</v>
      </c>
      <c r="C36" s="116" t="s">
        <v>19</v>
      </c>
    </row>
    <row r="37" spans="2:8">
      <c r="B37" s="104" t="s">
        <v>3</v>
      </c>
      <c r="C37" s="116" t="s">
        <v>20</v>
      </c>
    </row>
    <row r="38" spans="2:8">
      <c r="B38" s="104" t="s">
        <v>4</v>
      </c>
      <c r="C38" s="116" t="s">
        <v>21</v>
      </c>
    </row>
    <row r="39" spans="2:8">
      <c r="B39" s="104" t="s">
        <v>68</v>
      </c>
      <c r="C39" s="116" t="s">
        <v>21</v>
      </c>
    </row>
    <row r="40" spans="2:8">
      <c r="B40" s="104" t="s">
        <v>69</v>
      </c>
      <c r="C40" s="116" t="s">
        <v>70</v>
      </c>
    </row>
    <row r="41" spans="2:8">
      <c r="B41" s="104" t="s">
        <v>71</v>
      </c>
      <c r="C41" s="123"/>
    </row>
    <row r="42" spans="2:8">
      <c r="B42" s="104" t="s">
        <v>72</v>
      </c>
      <c r="C42" s="124"/>
    </row>
    <row r="43" spans="2:8">
      <c r="B43" s="104" t="s">
        <v>73</v>
      </c>
      <c r="C43" s="124"/>
    </row>
    <row r="44" spans="2:8">
      <c r="B44" s="104" t="s">
        <v>30</v>
      </c>
      <c r="C44" s="123"/>
    </row>
    <row r="45" spans="2:8" ht="15.75" thickBot="1">
      <c r="B45" s="107" t="s">
        <v>32</v>
      </c>
      <c r="C45" s="127"/>
    </row>
    <row r="47" spans="2:8">
      <c r="B47" s="48" t="s">
        <v>74</v>
      </c>
    </row>
    <row r="48" spans="2:8" ht="15.75" thickBot="1"/>
    <row r="49" spans="2:3">
      <c r="B49" s="102" t="s">
        <v>40</v>
      </c>
      <c r="C49" s="134" t="str">
        <f ca="1">_xll.qlVanillaSwap(C51,C52,C53,C54,C55,C56,C57,C58,C59,C60,C61,C62)</f>
        <v>obj_00a4c#0000</v>
      </c>
    </row>
    <row r="50" spans="2:3" ht="15.75" thickBot="1">
      <c r="B50" s="107" t="s">
        <v>5</v>
      </c>
      <c r="C50" s="114" t="str">
        <f ca="1">_xll.ohRangeRetrieveError(C49)</f>
        <v/>
      </c>
    </row>
    <row r="51" spans="2:3">
      <c r="B51" s="102" t="s">
        <v>2</v>
      </c>
      <c r="C51" s="115"/>
    </row>
    <row r="52" spans="2:3">
      <c r="B52" s="104" t="s">
        <v>75</v>
      </c>
      <c r="C52" s="116" t="s">
        <v>55</v>
      </c>
    </row>
    <row r="53" spans="2:3">
      <c r="B53" s="104" t="s">
        <v>76</v>
      </c>
      <c r="C53" s="135">
        <v>1</v>
      </c>
    </row>
    <row r="54" spans="2:3">
      <c r="B54" s="104" t="s">
        <v>77</v>
      </c>
      <c r="C54" s="136" t="str">
        <f ca="1">C15</f>
        <v>obj_00982#0000</v>
      </c>
    </row>
    <row r="55" spans="2:3">
      <c r="B55" s="104" t="s">
        <v>46</v>
      </c>
      <c r="C55" s="137">
        <v>1</v>
      </c>
    </row>
    <row r="56" spans="2:3">
      <c r="B56" s="104" t="s">
        <v>78</v>
      </c>
      <c r="C56" s="116" t="s">
        <v>25</v>
      </c>
    </row>
    <row r="57" spans="2:3">
      <c r="B57" s="104" t="s">
        <v>79</v>
      </c>
      <c r="C57" s="136" t="str">
        <f ca="1">C31</f>
        <v>obj_00981#0000</v>
      </c>
    </row>
    <row r="58" spans="2:3">
      <c r="B58" s="104" t="s">
        <v>80</v>
      </c>
      <c r="C58" s="136" t="str">
        <f ca="1">Curve!$S$127</f>
        <v>6M-Euribor#0000</v>
      </c>
    </row>
    <row r="59" spans="2:3">
      <c r="B59" s="104" t="s">
        <v>81</v>
      </c>
      <c r="C59" s="137">
        <v>0</v>
      </c>
    </row>
    <row r="60" spans="2:3">
      <c r="B60" s="104" t="s">
        <v>82</v>
      </c>
      <c r="C60" s="116" t="s">
        <v>22</v>
      </c>
    </row>
    <row r="61" spans="2:3">
      <c r="B61" s="104" t="s">
        <v>30</v>
      </c>
      <c r="C61" s="123"/>
    </row>
    <row r="62" spans="2:3" ht="15.75" thickBot="1">
      <c r="B62" s="107" t="s">
        <v>32</v>
      </c>
      <c r="C62" s="127"/>
    </row>
    <row r="64" spans="2:3">
      <c r="B64" s="48" t="s">
        <v>95</v>
      </c>
    </row>
    <row r="65" spans="2:3" ht="15.75" thickBot="1"/>
    <row r="66" spans="2:3">
      <c r="B66" s="102" t="s">
        <v>83</v>
      </c>
      <c r="C66" s="134" t="str">
        <f ca="1">_xll.qlEuropeanExercise(,C11)</f>
        <v>obj_00872#0000</v>
      </c>
    </row>
    <row r="67" spans="2:3" ht="15.75" thickBot="1">
      <c r="B67" s="107" t="s">
        <v>5</v>
      </c>
      <c r="C67" s="114" t="str">
        <f ca="1">_xll.ohRangeRetrieveError(C66)</f>
        <v/>
      </c>
    </row>
    <row r="68" spans="2:3">
      <c r="B68" s="102" t="s">
        <v>2</v>
      </c>
      <c r="C68" s="115"/>
    </row>
    <row r="69" spans="2:3">
      <c r="B69" s="104" t="s">
        <v>84</v>
      </c>
      <c r="C69" s="139"/>
    </row>
    <row r="70" spans="2:3">
      <c r="B70" s="104" t="s">
        <v>30</v>
      </c>
      <c r="C70" s="123"/>
    </row>
    <row r="71" spans="2:3" ht="15.75" thickBot="1">
      <c r="B71" s="107" t="s">
        <v>32</v>
      </c>
      <c r="C71" s="127"/>
    </row>
    <row r="73" spans="2:3">
      <c r="B73" s="48" t="s">
        <v>85</v>
      </c>
    </row>
    <row r="74" spans="2:3" ht="15.75" thickBot="1"/>
    <row r="75" spans="2:3">
      <c r="B75" s="102" t="s">
        <v>85</v>
      </c>
      <c r="C75" s="134" t="str">
        <f ca="1">_xll.qlSwaption(C77,C78,C79,C80,C81,C82)</f>
        <v>obj_00ab1#0000</v>
      </c>
    </row>
    <row r="76" spans="2:3" ht="15.75" thickBot="1">
      <c r="B76" s="107" t="s">
        <v>5</v>
      </c>
      <c r="C76" s="114" t="str">
        <f ca="1">_xll.ohRangeRetrieveError(C75)</f>
        <v/>
      </c>
    </row>
    <row r="77" spans="2:3">
      <c r="B77" s="102" t="s">
        <v>2</v>
      </c>
      <c r="C77" s="115"/>
    </row>
    <row r="78" spans="2:3">
      <c r="B78" s="104" t="s">
        <v>40</v>
      </c>
      <c r="C78" s="136" t="str">
        <f ca="1">C49</f>
        <v>obj_00a4c#0000</v>
      </c>
    </row>
    <row r="79" spans="2:3">
      <c r="B79" s="104" t="s">
        <v>65</v>
      </c>
      <c r="C79" s="136" t="str">
        <f ca="1">C66</f>
        <v>obj_00872#0000</v>
      </c>
    </row>
    <row r="80" spans="2:3">
      <c r="B80" s="104" t="s">
        <v>86</v>
      </c>
      <c r="C80" s="116" t="s">
        <v>44</v>
      </c>
    </row>
    <row r="81" spans="2:3">
      <c r="B81" s="104" t="s">
        <v>30</v>
      </c>
      <c r="C81" s="123"/>
    </row>
    <row r="82" spans="2:3" ht="15.75" thickBot="1">
      <c r="B82" s="107" t="s">
        <v>32</v>
      </c>
      <c r="C82" s="127"/>
    </row>
    <row r="84" spans="2:3">
      <c r="B84" s="48" t="s">
        <v>87</v>
      </c>
    </row>
    <row r="85" spans="2:3" ht="15.75" thickBot="1"/>
    <row r="86" spans="2:3">
      <c r="B86" s="102" t="s">
        <v>252</v>
      </c>
      <c r="C86" s="134" t="str">
        <f ca="1">_xll.qlBachelierBlackSwaptionEngine(C88,C89,C90,C91,C92)</f>
        <v>obj_00873#0000</v>
      </c>
    </row>
    <row r="87" spans="2:3" ht="15.75" thickBot="1">
      <c r="B87" s="107" t="s">
        <v>5</v>
      </c>
      <c r="C87" s="114" t="str">
        <f ca="1">_xll.ohRangeRetrieveError(C86)</f>
        <v/>
      </c>
    </row>
    <row r="88" spans="2:3">
      <c r="B88" s="102" t="s">
        <v>2</v>
      </c>
      <c r="C88" s="115"/>
    </row>
    <row r="89" spans="2:3">
      <c r="B89" s="104" t="s">
        <v>88</v>
      </c>
      <c r="C89" s="136" t="str">
        <f ca="1">Curve!$S$16</f>
        <v>EONIA-Curve#0000</v>
      </c>
    </row>
    <row r="90" spans="2:3">
      <c r="B90" s="104" t="s">
        <v>89</v>
      </c>
      <c r="C90" s="136" t="str">
        <f ca="1">SwaptionVols!$F$4</f>
        <v>EUR-ATM-Swaption-Surface-NVol#0001</v>
      </c>
    </row>
    <row r="91" spans="2:3">
      <c r="B91" s="104" t="s">
        <v>30</v>
      </c>
      <c r="C91" s="123"/>
    </row>
    <row r="92" spans="2:3" ht="15.75" thickBot="1">
      <c r="B92" s="107" t="s">
        <v>32</v>
      </c>
      <c r="C92" s="127"/>
    </row>
    <row r="94" spans="2:3">
      <c r="B94" s="48" t="s">
        <v>90</v>
      </c>
    </row>
    <row r="95" spans="2:3" ht="15.75" thickBot="1"/>
    <row r="96" spans="2:3">
      <c r="B96" s="102" t="s">
        <v>64</v>
      </c>
      <c r="C96" s="140" t="b">
        <f ca="1">_xll.qlInstrumentSetPricingEngine(C75,C86,C89:C90)</f>
        <v>1</v>
      </c>
    </row>
    <row r="97" spans="2:3">
      <c r="B97" s="104" t="s">
        <v>91</v>
      </c>
      <c r="C97" s="141">
        <f ca="1">_xll.qlInstrumentNPV(C75,C96)</f>
        <v>8.1498638640779291</v>
      </c>
    </row>
    <row r="98" spans="2:3" ht="15.75" thickBot="1">
      <c r="B98" s="107" t="s">
        <v>92</v>
      </c>
      <c r="C98" s="255">
        <f ca="1">_xll.qlSwaptionImpliedVolatility(C75,C97,C89,,,,,,,C96)</f>
        <v>9.9999999999999995E-8</v>
      </c>
    </row>
    <row r="99" spans="2:3" ht="15.75" thickBot="1">
      <c r="B99" s="107" t="s">
        <v>315</v>
      </c>
      <c r="C99" s="191">
        <f ca="1">_xll.qlInstrumentResults(C75,"atmForward")</f>
        <v>2.0909463271748696E-2</v>
      </c>
    </row>
    <row r="100" spans="2:3" ht="15.75" thickBot="1">
      <c r="B100" s="107" t="s">
        <v>49</v>
      </c>
      <c r="C100" s="256">
        <f ca="1">_xll.qlInstrumentResults(C75,"annuity")</f>
        <v>8.3239124047829929</v>
      </c>
    </row>
  </sheetData>
  <dataValidations disablePrompts="1" count="5">
    <dataValidation type="list" allowBlank="1" showInputMessage="1" showErrorMessage="1" sqref="C60 C56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C52">
      <formula1>"Payer,Receiver"</formula1>
    </dataValidation>
    <dataValidation type="list" allowBlank="1" showInputMessage="1" showErrorMessage="1" sqref="C80">
      <formula1>"Physical,Cash"</formula1>
    </dataValidation>
    <dataValidation type="list" allowBlank="1" showInputMessage="1" showErrorMessage="1" sqref="C38:C39 C22:C23">
      <formula1>"Following,Modified Following,Preceding,Modified Preceding,Unadjusted"</formula1>
    </dataValidation>
    <dataValidation type="list" allowBlank="1" showInputMessage="1" showErrorMessage="1" sqref="C37 C21 C10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2:AF63"/>
  <sheetViews>
    <sheetView showGridLines="0" topLeftCell="A29" zoomScale="85" zoomScaleNormal="85" workbookViewId="0">
      <selection activeCell="R56" sqref="R56"/>
    </sheetView>
  </sheetViews>
  <sheetFormatPr defaultRowHeight="15"/>
  <cols>
    <col min="2" max="2" width="12.7109375" customWidth="1"/>
    <col min="3" max="3" width="15.140625" bestFit="1" customWidth="1"/>
    <col min="4" max="4" width="15.140625" customWidth="1"/>
    <col min="5" max="5" width="16.7109375" customWidth="1"/>
    <col min="6" max="6" width="12" bestFit="1" customWidth="1"/>
    <col min="7" max="7" width="17" customWidth="1"/>
    <col min="11" max="11" width="13.140625" bestFit="1" customWidth="1"/>
    <col min="12" max="12" width="16" bestFit="1" customWidth="1"/>
    <col min="13" max="13" width="14" bestFit="1" customWidth="1"/>
    <col min="14" max="14" width="14.85546875" bestFit="1" customWidth="1"/>
    <col min="15" max="15" width="14" bestFit="1" customWidth="1"/>
    <col min="16" max="16" width="14.85546875" bestFit="1" customWidth="1"/>
    <col min="17" max="17" width="14" bestFit="1" customWidth="1"/>
    <col min="18" max="18" width="14.85546875" bestFit="1" customWidth="1"/>
    <col min="19" max="19" width="14" bestFit="1" customWidth="1"/>
    <col min="20" max="20" width="14.85546875" bestFit="1" customWidth="1"/>
    <col min="21" max="21" width="14" bestFit="1" customWidth="1"/>
    <col min="22" max="22" width="14.85546875" bestFit="1" customWidth="1"/>
    <col min="23" max="23" width="14" bestFit="1" customWidth="1"/>
    <col min="24" max="24" width="14.42578125" bestFit="1" customWidth="1"/>
    <col min="25" max="25" width="13.5703125" bestFit="1" customWidth="1"/>
    <col min="26" max="26" width="14.85546875" bestFit="1" customWidth="1"/>
    <col min="27" max="27" width="14" bestFit="1" customWidth="1"/>
    <col min="28" max="28" width="14.85546875" bestFit="1" customWidth="1"/>
    <col min="29" max="29" width="14" bestFit="1" customWidth="1"/>
    <col min="30" max="30" width="14.85546875" bestFit="1" customWidth="1"/>
    <col min="31" max="31" width="14" bestFit="1" customWidth="1"/>
    <col min="32" max="32" width="14.85546875" bestFit="1" customWidth="1"/>
    <col min="254" max="254" width="12.7109375" customWidth="1"/>
    <col min="255" max="255" width="15.140625" bestFit="1" customWidth="1"/>
    <col min="256" max="256" width="15.140625" customWidth="1"/>
    <col min="257" max="257" width="16.7109375" customWidth="1"/>
    <col min="258" max="258" width="12" bestFit="1" customWidth="1"/>
    <col min="259" max="259" width="17" customWidth="1"/>
    <col min="263" max="263" width="16" bestFit="1" customWidth="1"/>
    <col min="264" max="264" width="19.5703125" bestFit="1" customWidth="1"/>
    <col min="510" max="510" width="12.7109375" customWidth="1"/>
    <col min="511" max="511" width="15.140625" bestFit="1" customWidth="1"/>
    <col min="512" max="512" width="15.140625" customWidth="1"/>
    <col min="513" max="513" width="16.7109375" customWidth="1"/>
    <col min="514" max="514" width="12" bestFit="1" customWidth="1"/>
    <col min="515" max="515" width="17" customWidth="1"/>
    <col min="519" max="519" width="16" bestFit="1" customWidth="1"/>
    <col min="520" max="520" width="19.5703125" bestFit="1" customWidth="1"/>
    <col min="766" max="766" width="12.7109375" customWidth="1"/>
    <col min="767" max="767" width="15.140625" bestFit="1" customWidth="1"/>
    <col min="768" max="768" width="15.140625" customWidth="1"/>
    <col min="769" max="769" width="16.7109375" customWidth="1"/>
    <col min="770" max="770" width="12" bestFit="1" customWidth="1"/>
    <col min="771" max="771" width="17" customWidth="1"/>
    <col min="775" max="775" width="16" bestFit="1" customWidth="1"/>
    <col min="776" max="776" width="19.5703125" bestFit="1" customWidth="1"/>
    <col min="1022" max="1022" width="12.7109375" customWidth="1"/>
    <col min="1023" max="1023" width="15.140625" bestFit="1" customWidth="1"/>
    <col min="1024" max="1024" width="15.140625" customWidth="1"/>
    <col min="1025" max="1025" width="16.7109375" customWidth="1"/>
    <col min="1026" max="1026" width="12" bestFit="1" customWidth="1"/>
    <col min="1027" max="1027" width="17" customWidth="1"/>
    <col min="1031" max="1031" width="16" bestFit="1" customWidth="1"/>
    <col min="1032" max="1032" width="19.5703125" bestFit="1" customWidth="1"/>
    <col min="1278" max="1278" width="12.7109375" customWidth="1"/>
    <col min="1279" max="1279" width="15.140625" bestFit="1" customWidth="1"/>
    <col min="1280" max="1280" width="15.140625" customWidth="1"/>
    <col min="1281" max="1281" width="16.7109375" customWidth="1"/>
    <col min="1282" max="1282" width="12" bestFit="1" customWidth="1"/>
    <col min="1283" max="1283" width="17" customWidth="1"/>
    <col min="1287" max="1287" width="16" bestFit="1" customWidth="1"/>
    <col min="1288" max="1288" width="19.5703125" bestFit="1" customWidth="1"/>
    <col min="1534" max="1534" width="12.7109375" customWidth="1"/>
    <col min="1535" max="1535" width="15.140625" bestFit="1" customWidth="1"/>
    <col min="1536" max="1536" width="15.140625" customWidth="1"/>
    <col min="1537" max="1537" width="16.7109375" customWidth="1"/>
    <col min="1538" max="1538" width="12" bestFit="1" customWidth="1"/>
    <col min="1539" max="1539" width="17" customWidth="1"/>
    <col min="1543" max="1543" width="16" bestFit="1" customWidth="1"/>
    <col min="1544" max="1544" width="19.5703125" bestFit="1" customWidth="1"/>
    <col min="1790" max="1790" width="12.7109375" customWidth="1"/>
    <col min="1791" max="1791" width="15.140625" bestFit="1" customWidth="1"/>
    <col min="1792" max="1792" width="15.140625" customWidth="1"/>
    <col min="1793" max="1793" width="16.7109375" customWidth="1"/>
    <col min="1794" max="1794" width="12" bestFit="1" customWidth="1"/>
    <col min="1795" max="1795" width="17" customWidth="1"/>
    <col min="1799" max="1799" width="16" bestFit="1" customWidth="1"/>
    <col min="1800" max="1800" width="19.5703125" bestFit="1" customWidth="1"/>
    <col min="2046" max="2046" width="12.7109375" customWidth="1"/>
    <col min="2047" max="2047" width="15.140625" bestFit="1" customWidth="1"/>
    <col min="2048" max="2048" width="15.140625" customWidth="1"/>
    <col min="2049" max="2049" width="16.7109375" customWidth="1"/>
    <col min="2050" max="2050" width="12" bestFit="1" customWidth="1"/>
    <col min="2051" max="2051" width="17" customWidth="1"/>
    <col min="2055" max="2055" width="16" bestFit="1" customWidth="1"/>
    <col min="2056" max="2056" width="19.5703125" bestFit="1" customWidth="1"/>
    <col min="2302" max="2302" width="12.7109375" customWidth="1"/>
    <col min="2303" max="2303" width="15.140625" bestFit="1" customWidth="1"/>
    <col min="2304" max="2304" width="15.140625" customWidth="1"/>
    <col min="2305" max="2305" width="16.7109375" customWidth="1"/>
    <col min="2306" max="2306" width="12" bestFit="1" customWidth="1"/>
    <col min="2307" max="2307" width="17" customWidth="1"/>
    <col min="2311" max="2311" width="16" bestFit="1" customWidth="1"/>
    <col min="2312" max="2312" width="19.5703125" bestFit="1" customWidth="1"/>
    <col min="2558" max="2558" width="12.7109375" customWidth="1"/>
    <col min="2559" max="2559" width="15.140625" bestFit="1" customWidth="1"/>
    <col min="2560" max="2560" width="15.140625" customWidth="1"/>
    <col min="2561" max="2561" width="16.7109375" customWidth="1"/>
    <col min="2562" max="2562" width="12" bestFit="1" customWidth="1"/>
    <col min="2563" max="2563" width="17" customWidth="1"/>
    <col min="2567" max="2567" width="16" bestFit="1" customWidth="1"/>
    <col min="2568" max="2568" width="19.5703125" bestFit="1" customWidth="1"/>
    <col min="2814" max="2814" width="12.7109375" customWidth="1"/>
    <col min="2815" max="2815" width="15.140625" bestFit="1" customWidth="1"/>
    <col min="2816" max="2816" width="15.140625" customWidth="1"/>
    <col min="2817" max="2817" width="16.7109375" customWidth="1"/>
    <col min="2818" max="2818" width="12" bestFit="1" customWidth="1"/>
    <col min="2819" max="2819" width="17" customWidth="1"/>
    <col min="2823" max="2823" width="16" bestFit="1" customWidth="1"/>
    <col min="2824" max="2824" width="19.5703125" bestFit="1" customWidth="1"/>
    <col min="3070" max="3070" width="12.7109375" customWidth="1"/>
    <col min="3071" max="3071" width="15.140625" bestFit="1" customWidth="1"/>
    <col min="3072" max="3072" width="15.140625" customWidth="1"/>
    <col min="3073" max="3073" width="16.7109375" customWidth="1"/>
    <col min="3074" max="3074" width="12" bestFit="1" customWidth="1"/>
    <col min="3075" max="3075" width="17" customWidth="1"/>
    <col min="3079" max="3079" width="16" bestFit="1" customWidth="1"/>
    <col min="3080" max="3080" width="19.5703125" bestFit="1" customWidth="1"/>
    <col min="3326" max="3326" width="12.7109375" customWidth="1"/>
    <col min="3327" max="3327" width="15.140625" bestFit="1" customWidth="1"/>
    <col min="3328" max="3328" width="15.140625" customWidth="1"/>
    <col min="3329" max="3329" width="16.7109375" customWidth="1"/>
    <col min="3330" max="3330" width="12" bestFit="1" customWidth="1"/>
    <col min="3331" max="3331" width="17" customWidth="1"/>
    <col min="3335" max="3335" width="16" bestFit="1" customWidth="1"/>
    <col min="3336" max="3336" width="19.5703125" bestFit="1" customWidth="1"/>
    <col min="3582" max="3582" width="12.7109375" customWidth="1"/>
    <col min="3583" max="3583" width="15.140625" bestFit="1" customWidth="1"/>
    <col min="3584" max="3584" width="15.140625" customWidth="1"/>
    <col min="3585" max="3585" width="16.7109375" customWidth="1"/>
    <col min="3586" max="3586" width="12" bestFit="1" customWidth="1"/>
    <col min="3587" max="3587" width="17" customWidth="1"/>
    <col min="3591" max="3591" width="16" bestFit="1" customWidth="1"/>
    <col min="3592" max="3592" width="19.5703125" bestFit="1" customWidth="1"/>
    <col min="3838" max="3838" width="12.7109375" customWidth="1"/>
    <col min="3839" max="3839" width="15.140625" bestFit="1" customWidth="1"/>
    <col min="3840" max="3840" width="15.140625" customWidth="1"/>
    <col min="3841" max="3841" width="16.7109375" customWidth="1"/>
    <col min="3842" max="3842" width="12" bestFit="1" customWidth="1"/>
    <col min="3843" max="3843" width="17" customWidth="1"/>
    <col min="3847" max="3847" width="16" bestFit="1" customWidth="1"/>
    <col min="3848" max="3848" width="19.5703125" bestFit="1" customWidth="1"/>
    <col min="4094" max="4094" width="12.7109375" customWidth="1"/>
    <col min="4095" max="4095" width="15.140625" bestFit="1" customWidth="1"/>
    <col min="4096" max="4096" width="15.140625" customWidth="1"/>
    <col min="4097" max="4097" width="16.7109375" customWidth="1"/>
    <col min="4098" max="4098" width="12" bestFit="1" customWidth="1"/>
    <col min="4099" max="4099" width="17" customWidth="1"/>
    <col min="4103" max="4103" width="16" bestFit="1" customWidth="1"/>
    <col min="4104" max="4104" width="19.5703125" bestFit="1" customWidth="1"/>
    <col min="4350" max="4350" width="12.7109375" customWidth="1"/>
    <col min="4351" max="4351" width="15.140625" bestFit="1" customWidth="1"/>
    <col min="4352" max="4352" width="15.140625" customWidth="1"/>
    <col min="4353" max="4353" width="16.7109375" customWidth="1"/>
    <col min="4354" max="4354" width="12" bestFit="1" customWidth="1"/>
    <col min="4355" max="4355" width="17" customWidth="1"/>
    <col min="4359" max="4359" width="16" bestFit="1" customWidth="1"/>
    <col min="4360" max="4360" width="19.5703125" bestFit="1" customWidth="1"/>
    <col min="4606" max="4606" width="12.7109375" customWidth="1"/>
    <col min="4607" max="4607" width="15.140625" bestFit="1" customWidth="1"/>
    <col min="4608" max="4608" width="15.140625" customWidth="1"/>
    <col min="4609" max="4609" width="16.7109375" customWidth="1"/>
    <col min="4610" max="4610" width="12" bestFit="1" customWidth="1"/>
    <col min="4611" max="4611" width="17" customWidth="1"/>
    <col min="4615" max="4615" width="16" bestFit="1" customWidth="1"/>
    <col min="4616" max="4616" width="19.5703125" bestFit="1" customWidth="1"/>
    <col min="4862" max="4862" width="12.7109375" customWidth="1"/>
    <col min="4863" max="4863" width="15.140625" bestFit="1" customWidth="1"/>
    <col min="4864" max="4864" width="15.140625" customWidth="1"/>
    <col min="4865" max="4865" width="16.7109375" customWidth="1"/>
    <col min="4866" max="4866" width="12" bestFit="1" customWidth="1"/>
    <col min="4867" max="4867" width="17" customWidth="1"/>
    <col min="4871" max="4871" width="16" bestFit="1" customWidth="1"/>
    <col min="4872" max="4872" width="19.5703125" bestFit="1" customWidth="1"/>
    <col min="5118" max="5118" width="12.7109375" customWidth="1"/>
    <col min="5119" max="5119" width="15.140625" bestFit="1" customWidth="1"/>
    <col min="5120" max="5120" width="15.140625" customWidth="1"/>
    <col min="5121" max="5121" width="16.7109375" customWidth="1"/>
    <col min="5122" max="5122" width="12" bestFit="1" customWidth="1"/>
    <col min="5123" max="5123" width="17" customWidth="1"/>
    <col min="5127" max="5127" width="16" bestFit="1" customWidth="1"/>
    <col min="5128" max="5128" width="19.5703125" bestFit="1" customWidth="1"/>
    <col min="5374" max="5374" width="12.7109375" customWidth="1"/>
    <col min="5375" max="5375" width="15.140625" bestFit="1" customWidth="1"/>
    <col min="5376" max="5376" width="15.140625" customWidth="1"/>
    <col min="5377" max="5377" width="16.7109375" customWidth="1"/>
    <col min="5378" max="5378" width="12" bestFit="1" customWidth="1"/>
    <col min="5379" max="5379" width="17" customWidth="1"/>
    <col min="5383" max="5383" width="16" bestFit="1" customWidth="1"/>
    <col min="5384" max="5384" width="19.5703125" bestFit="1" customWidth="1"/>
    <col min="5630" max="5630" width="12.7109375" customWidth="1"/>
    <col min="5631" max="5631" width="15.140625" bestFit="1" customWidth="1"/>
    <col min="5632" max="5632" width="15.140625" customWidth="1"/>
    <col min="5633" max="5633" width="16.7109375" customWidth="1"/>
    <col min="5634" max="5634" width="12" bestFit="1" customWidth="1"/>
    <col min="5635" max="5635" width="17" customWidth="1"/>
    <col min="5639" max="5639" width="16" bestFit="1" customWidth="1"/>
    <col min="5640" max="5640" width="19.5703125" bestFit="1" customWidth="1"/>
    <col min="5886" max="5886" width="12.7109375" customWidth="1"/>
    <col min="5887" max="5887" width="15.140625" bestFit="1" customWidth="1"/>
    <col min="5888" max="5888" width="15.140625" customWidth="1"/>
    <col min="5889" max="5889" width="16.7109375" customWidth="1"/>
    <col min="5890" max="5890" width="12" bestFit="1" customWidth="1"/>
    <col min="5891" max="5891" width="17" customWidth="1"/>
    <col min="5895" max="5895" width="16" bestFit="1" customWidth="1"/>
    <col min="5896" max="5896" width="19.5703125" bestFit="1" customWidth="1"/>
    <col min="6142" max="6142" width="12.7109375" customWidth="1"/>
    <col min="6143" max="6143" width="15.140625" bestFit="1" customWidth="1"/>
    <col min="6144" max="6144" width="15.140625" customWidth="1"/>
    <col min="6145" max="6145" width="16.7109375" customWidth="1"/>
    <col min="6146" max="6146" width="12" bestFit="1" customWidth="1"/>
    <col min="6147" max="6147" width="17" customWidth="1"/>
    <col min="6151" max="6151" width="16" bestFit="1" customWidth="1"/>
    <col min="6152" max="6152" width="19.5703125" bestFit="1" customWidth="1"/>
    <col min="6398" max="6398" width="12.7109375" customWidth="1"/>
    <col min="6399" max="6399" width="15.140625" bestFit="1" customWidth="1"/>
    <col min="6400" max="6400" width="15.140625" customWidth="1"/>
    <col min="6401" max="6401" width="16.7109375" customWidth="1"/>
    <col min="6402" max="6402" width="12" bestFit="1" customWidth="1"/>
    <col min="6403" max="6403" width="17" customWidth="1"/>
    <col min="6407" max="6407" width="16" bestFit="1" customWidth="1"/>
    <col min="6408" max="6408" width="19.5703125" bestFit="1" customWidth="1"/>
    <col min="6654" max="6654" width="12.7109375" customWidth="1"/>
    <col min="6655" max="6655" width="15.140625" bestFit="1" customWidth="1"/>
    <col min="6656" max="6656" width="15.140625" customWidth="1"/>
    <col min="6657" max="6657" width="16.7109375" customWidth="1"/>
    <col min="6658" max="6658" width="12" bestFit="1" customWidth="1"/>
    <col min="6659" max="6659" width="17" customWidth="1"/>
    <col min="6663" max="6663" width="16" bestFit="1" customWidth="1"/>
    <col min="6664" max="6664" width="19.5703125" bestFit="1" customWidth="1"/>
    <col min="6910" max="6910" width="12.7109375" customWidth="1"/>
    <col min="6911" max="6911" width="15.140625" bestFit="1" customWidth="1"/>
    <col min="6912" max="6912" width="15.140625" customWidth="1"/>
    <col min="6913" max="6913" width="16.7109375" customWidth="1"/>
    <col min="6914" max="6914" width="12" bestFit="1" customWidth="1"/>
    <col min="6915" max="6915" width="17" customWidth="1"/>
    <col min="6919" max="6919" width="16" bestFit="1" customWidth="1"/>
    <col min="6920" max="6920" width="19.5703125" bestFit="1" customWidth="1"/>
    <col min="7166" max="7166" width="12.7109375" customWidth="1"/>
    <col min="7167" max="7167" width="15.140625" bestFit="1" customWidth="1"/>
    <col min="7168" max="7168" width="15.140625" customWidth="1"/>
    <col min="7169" max="7169" width="16.7109375" customWidth="1"/>
    <col min="7170" max="7170" width="12" bestFit="1" customWidth="1"/>
    <col min="7171" max="7171" width="17" customWidth="1"/>
    <col min="7175" max="7175" width="16" bestFit="1" customWidth="1"/>
    <col min="7176" max="7176" width="19.5703125" bestFit="1" customWidth="1"/>
    <col min="7422" max="7422" width="12.7109375" customWidth="1"/>
    <col min="7423" max="7423" width="15.140625" bestFit="1" customWidth="1"/>
    <col min="7424" max="7424" width="15.140625" customWidth="1"/>
    <col min="7425" max="7425" width="16.7109375" customWidth="1"/>
    <col min="7426" max="7426" width="12" bestFit="1" customWidth="1"/>
    <col min="7427" max="7427" width="17" customWidth="1"/>
    <col min="7431" max="7431" width="16" bestFit="1" customWidth="1"/>
    <col min="7432" max="7432" width="19.5703125" bestFit="1" customWidth="1"/>
    <col min="7678" max="7678" width="12.7109375" customWidth="1"/>
    <col min="7679" max="7679" width="15.140625" bestFit="1" customWidth="1"/>
    <col min="7680" max="7680" width="15.140625" customWidth="1"/>
    <col min="7681" max="7681" width="16.7109375" customWidth="1"/>
    <col min="7682" max="7682" width="12" bestFit="1" customWidth="1"/>
    <col min="7683" max="7683" width="17" customWidth="1"/>
    <col min="7687" max="7687" width="16" bestFit="1" customWidth="1"/>
    <col min="7688" max="7688" width="19.5703125" bestFit="1" customWidth="1"/>
    <col min="7934" max="7934" width="12.7109375" customWidth="1"/>
    <col min="7935" max="7935" width="15.140625" bestFit="1" customWidth="1"/>
    <col min="7936" max="7936" width="15.140625" customWidth="1"/>
    <col min="7937" max="7937" width="16.7109375" customWidth="1"/>
    <col min="7938" max="7938" width="12" bestFit="1" customWidth="1"/>
    <col min="7939" max="7939" width="17" customWidth="1"/>
    <col min="7943" max="7943" width="16" bestFit="1" customWidth="1"/>
    <col min="7944" max="7944" width="19.5703125" bestFit="1" customWidth="1"/>
    <col min="8190" max="8190" width="12.7109375" customWidth="1"/>
    <col min="8191" max="8191" width="15.140625" bestFit="1" customWidth="1"/>
    <col min="8192" max="8192" width="15.140625" customWidth="1"/>
    <col min="8193" max="8193" width="16.7109375" customWidth="1"/>
    <col min="8194" max="8194" width="12" bestFit="1" customWidth="1"/>
    <col min="8195" max="8195" width="17" customWidth="1"/>
    <col min="8199" max="8199" width="16" bestFit="1" customWidth="1"/>
    <col min="8200" max="8200" width="19.5703125" bestFit="1" customWidth="1"/>
    <col min="8446" max="8446" width="12.7109375" customWidth="1"/>
    <col min="8447" max="8447" width="15.140625" bestFit="1" customWidth="1"/>
    <col min="8448" max="8448" width="15.140625" customWidth="1"/>
    <col min="8449" max="8449" width="16.7109375" customWidth="1"/>
    <col min="8450" max="8450" width="12" bestFit="1" customWidth="1"/>
    <col min="8451" max="8451" width="17" customWidth="1"/>
    <col min="8455" max="8455" width="16" bestFit="1" customWidth="1"/>
    <col min="8456" max="8456" width="19.5703125" bestFit="1" customWidth="1"/>
    <col min="8702" max="8702" width="12.7109375" customWidth="1"/>
    <col min="8703" max="8703" width="15.140625" bestFit="1" customWidth="1"/>
    <col min="8704" max="8704" width="15.140625" customWidth="1"/>
    <col min="8705" max="8705" width="16.7109375" customWidth="1"/>
    <col min="8706" max="8706" width="12" bestFit="1" customWidth="1"/>
    <col min="8707" max="8707" width="17" customWidth="1"/>
    <col min="8711" max="8711" width="16" bestFit="1" customWidth="1"/>
    <col min="8712" max="8712" width="19.5703125" bestFit="1" customWidth="1"/>
    <col min="8958" max="8958" width="12.7109375" customWidth="1"/>
    <col min="8959" max="8959" width="15.140625" bestFit="1" customWidth="1"/>
    <col min="8960" max="8960" width="15.140625" customWidth="1"/>
    <col min="8961" max="8961" width="16.7109375" customWidth="1"/>
    <col min="8962" max="8962" width="12" bestFit="1" customWidth="1"/>
    <col min="8963" max="8963" width="17" customWidth="1"/>
    <col min="8967" max="8967" width="16" bestFit="1" customWidth="1"/>
    <col min="8968" max="8968" width="19.5703125" bestFit="1" customWidth="1"/>
    <col min="9214" max="9214" width="12.7109375" customWidth="1"/>
    <col min="9215" max="9215" width="15.140625" bestFit="1" customWidth="1"/>
    <col min="9216" max="9216" width="15.140625" customWidth="1"/>
    <col min="9217" max="9217" width="16.7109375" customWidth="1"/>
    <col min="9218" max="9218" width="12" bestFit="1" customWidth="1"/>
    <col min="9219" max="9219" width="17" customWidth="1"/>
    <col min="9223" max="9223" width="16" bestFit="1" customWidth="1"/>
    <col min="9224" max="9224" width="19.5703125" bestFit="1" customWidth="1"/>
    <col min="9470" max="9470" width="12.7109375" customWidth="1"/>
    <col min="9471" max="9471" width="15.140625" bestFit="1" customWidth="1"/>
    <col min="9472" max="9472" width="15.140625" customWidth="1"/>
    <col min="9473" max="9473" width="16.7109375" customWidth="1"/>
    <col min="9474" max="9474" width="12" bestFit="1" customWidth="1"/>
    <col min="9475" max="9475" width="17" customWidth="1"/>
    <col min="9479" max="9479" width="16" bestFit="1" customWidth="1"/>
    <col min="9480" max="9480" width="19.5703125" bestFit="1" customWidth="1"/>
    <col min="9726" max="9726" width="12.7109375" customWidth="1"/>
    <col min="9727" max="9727" width="15.140625" bestFit="1" customWidth="1"/>
    <col min="9728" max="9728" width="15.140625" customWidth="1"/>
    <col min="9729" max="9729" width="16.7109375" customWidth="1"/>
    <col min="9730" max="9730" width="12" bestFit="1" customWidth="1"/>
    <col min="9731" max="9731" width="17" customWidth="1"/>
    <col min="9735" max="9735" width="16" bestFit="1" customWidth="1"/>
    <col min="9736" max="9736" width="19.5703125" bestFit="1" customWidth="1"/>
    <col min="9982" max="9982" width="12.7109375" customWidth="1"/>
    <col min="9983" max="9983" width="15.140625" bestFit="1" customWidth="1"/>
    <col min="9984" max="9984" width="15.140625" customWidth="1"/>
    <col min="9985" max="9985" width="16.7109375" customWidth="1"/>
    <col min="9986" max="9986" width="12" bestFit="1" customWidth="1"/>
    <col min="9987" max="9987" width="17" customWidth="1"/>
    <col min="9991" max="9991" width="16" bestFit="1" customWidth="1"/>
    <col min="9992" max="9992" width="19.5703125" bestFit="1" customWidth="1"/>
    <col min="10238" max="10238" width="12.7109375" customWidth="1"/>
    <col min="10239" max="10239" width="15.140625" bestFit="1" customWidth="1"/>
    <col min="10240" max="10240" width="15.140625" customWidth="1"/>
    <col min="10241" max="10241" width="16.7109375" customWidth="1"/>
    <col min="10242" max="10242" width="12" bestFit="1" customWidth="1"/>
    <col min="10243" max="10243" width="17" customWidth="1"/>
    <col min="10247" max="10247" width="16" bestFit="1" customWidth="1"/>
    <col min="10248" max="10248" width="19.5703125" bestFit="1" customWidth="1"/>
    <col min="10494" max="10494" width="12.7109375" customWidth="1"/>
    <col min="10495" max="10495" width="15.140625" bestFit="1" customWidth="1"/>
    <col min="10496" max="10496" width="15.140625" customWidth="1"/>
    <col min="10497" max="10497" width="16.7109375" customWidth="1"/>
    <col min="10498" max="10498" width="12" bestFit="1" customWidth="1"/>
    <col min="10499" max="10499" width="17" customWidth="1"/>
    <col min="10503" max="10503" width="16" bestFit="1" customWidth="1"/>
    <col min="10504" max="10504" width="19.5703125" bestFit="1" customWidth="1"/>
    <col min="10750" max="10750" width="12.7109375" customWidth="1"/>
    <col min="10751" max="10751" width="15.140625" bestFit="1" customWidth="1"/>
    <col min="10752" max="10752" width="15.140625" customWidth="1"/>
    <col min="10753" max="10753" width="16.7109375" customWidth="1"/>
    <col min="10754" max="10754" width="12" bestFit="1" customWidth="1"/>
    <col min="10755" max="10755" width="17" customWidth="1"/>
    <col min="10759" max="10759" width="16" bestFit="1" customWidth="1"/>
    <col min="10760" max="10760" width="19.5703125" bestFit="1" customWidth="1"/>
    <col min="11006" max="11006" width="12.7109375" customWidth="1"/>
    <col min="11007" max="11007" width="15.140625" bestFit="1" customWidth="1"/>
    <col min="11008" max="11008" width="15.140625" customWidth="1"/>
    <col min="11009" max="11009" width="16.7109375" customWidth="1"/>
    <col min="11010" max="11010" width="12" bestFit="1" customWidth="1"/>
    <col min="11011" max="11011" width="17" customWidth="1"/>
    <col min="11015" max="11015" width="16" bestFit="1" customWidth="1"/>
    <col min="11016" max="11016" width="19.5703125" bestFit="1" customWidth="1"/>
    <col min="11262" max="11262" width="12.7109375" customWidth="1"/>
    <col min="11263" max="11263" width="15.140625" bestFit="1" customWidth="1"/>
    <col min="11264" max="11264" width="15.140625" customWidth="1"/>
    <col min="11265" max="11265" width="16.7109375" customWidth="1"/>
    <col min="11266" max="11266" width="12" bestFit="1" customWidth="1"/>
    <col min="11267" max="11267" width="17" customWidth="1"/>
    <col min="11271" max="11271" width="16" bestFit="1" customWidth="1"/>
    <col min="11272" max="11272" width="19.5703125" bestFit="1" customWidth="1"/>
    <col min="11518" max="11518" width="12.7109375" customWidth="1"/>
    <col min="11519" max="11519" width="15.140625" bestFit="1" customWidth="1"/>
    <col min="11520" max="11520" width="15.140625" customWidth="1"/>
    <col min="11521" max="11521" width="16.7109375" customWidth="1"/>
    <col min="11522" max="11522" width="12" bestFit="1" customWidth="1"/>
    <col min="11523" max="11523" width="17" customWidth="1"/>
    <col min="11527" max="11527" width="16" bestFit="1" customWidth="1"/>
    <col min="11528" max="11528" width="19.5703125" bestFit="1" customWidth="1"/>
    <col min="11774" max="11774" width="12.7109375" customWidth="1"/>
    <col min="11775" max="11775" width="15.140625" bestFit="1" customWidth="1"/>
    <col min="11776" max="11776" width="15.140625" customWidth="1"/>
    <col min="11777" max="11777" width="16.7109375" customWidth="1"/>
    <col min="11778" max="11778" width="12" bestFit="1" customWidth="1"/>
    <col min="11779" max="11779" width="17" customWidth="1"/>
    <col min="11783" max="11783" width="16" bestFit="1" customWidth="1"/>
    <col min="11784" max="11784" width="19.5703125" bestFit="1" customWidth="1"/>
    <col min="12030" max="12030" width="12.7109375" customWidth="1"/>
    <col min="12031" max="12031" width="15.140625" bestFit="1" customWidth="1"/>
    <col min="12032" max="12032" width="15.140625" customWidth="1"/>
    <col min="12033" max="12033" width="16.7109375" customWidth="1"/>
    <col min="12034" max="12034" width="12" bestFit="1" customWidth="1"/>
    <col min="12035" max="12035" width="17" customWidth="1"/>
    <col min="12039" max="12039" width="16" bestFit="1" customWidth="1"/>
    <col min="12040" max="12040" width="19.5703125" bestFit="1" customWidth="1"/>
    <col min="12286" max="12286" width="12.7109375" customWidth="1"/>
    <col min="12287" max="12287" width="15.140625" bestFit="1" customWidth="1"/>
    <col min="12288" max="12288" width="15.140625" customWidth="1"/>
    <col min="12289" max="12289" width="16.7109375" customWidth="1"/>
    <col min="12290" max="12290" width="12" bestFit="1" customWidth="1"/>
    <col min="12291" max="12291" width="17" customWidth="1"/>
    <col min="12295" max="12295" width="16" bestFit="1" customWidth="1"/>
    <col min="12296" max="12296" width="19.5703125" bestFit="1" customWidth="1"/>
    <col min="12542" max="12542" width="12.7109375" customWidth="1"/>
    <col min="12543" max="12543" width="15.140625" bestFit="1" customWidth="1"/>
    <col min="12544" max="12544" width="15.140625" customWidth="1"/>
    <col min="12545" max="12545" width="16.7109375" customWidth="1"/>
    <col min="12546" max="12546" width="12" bestFit="1" customWidth="1"/>
    <col min="12547" max="12547" width="17" customWidth="1"/>
    <col min="12551" max="12551" width="16" bestFit="1" customWidth="1"/>
    <col min="12552" max="12552" width="19.5703125" bestFit="1" customWidth="1"/>
    <col min="12798" max="12798" width="12.7109375" customWidth="1"/>
    <col min="12799" max="12799" width="15.140625" bestFit="1" customWidth="1"/>
    <col min="12800" max="12800" width="15.140625" customWidth="1"/>
    <col min="12801" max="12801" width="16.7109375" customWidth="1"/>
    <col min="12802" max="12802" width="12" bestFit="1" customWidth="1"/>
    <col min="12803" max="12803" width="17" customWidth="1"/>
    <col min="12807" max="12807" width="16" bestFit="1" customWidth="1"/>
    <col min="12808" max="12808" width="19.5703125" bestFit="1" customWidth="1"/>
    <col min="13054" max="13054" width="12.7109375" customWidth="1"/>
    <col min="13055" max="13055" width="15.140625" bestFit="1" customWidth="1"/>
    <col min="13056" max="13056" width="15.140625" customWidth="1"/>
    <col min="13057" max="13057" width="16.7109375" customWidth="1"/>
    <col min="13058" max="13058" width="12" bestFit="1" customWidth="1"/>
    <col min="13059" max="13059" width="17" customWidth="1"/>
    <col min="13063" max="13063" width="16" bestFit="1" customWidth="1"/>
    <col min="13064" max="13064" width="19.5703125" bestFit="1" customWidth="1"/>
    <col min="13310" max="13310" width="12.7109375" customWidth="1"/>
    <col min="13311" max="13311" width="15.140625" bestFit="1" customWidth="1"/>
    <col min="13312" max="13312" width="15.140625" customWidth="1"/>
    <col min="13313" max="13313" width="16.7109375" customWidth="1"/>
    <col min="13314" max="13314" width="12" bestFit="1" customWidth="1"/>
    <col min="13315" max="13315" width="17" customWidth="1"/>
    <col min="13319" max="13319" width="16" bestFit="1" customWidth="1"/>
    <col min="13320" max="13320" width="19.5703125" bestFit="1" customWidth="1"/>
    <col min="13566" max="13566" width="12.7109375" customWidth="1"/>
    <col min="13567" max="13567" width="15.140625" bestFit="1" customWidth="1"/>
    <col min="13568" max="13568" width="15.140625" customWidth="1"/>
    <col min="13569" max="13569" width="16.7109375" customWidth="1"/>
    <col min="13570" max="13570" width="12" bestFit="1" customWidth="1"/>
    <col min="13571" max="13571" width="17" customWidth="1"/>
    <col min="13575" max="13575" width="16" bestFit="1" customWidth="1"/>
    <col min="13576" max="13576" width="19.5703125" bestFit="1" customWidth="1"/>
    <col min="13822" max="13822" width="12.7109375" customWidth="1"/>
    <col min="13823" max="13823" width="15.140625" bestFit="1" customWidth="1"/>
    <col min="13824" max="13824" width="15.140625" customWidth="1"/>
    <col min="13825" max="13825" width="16.7109375" customWidth="1"/>
    <col min="13826" max="13826" width="12" bestFit="1" customWidth="1"/>
    <col min="13827" max="13827" width="17" customWidth="1"/>
    <col min="13831" max="13831" width="16" bestFit="1" customWidth="1"/>
    <col min="13832" max="13832" width="19.5703125" bestFit="1" customWidth="1"/>
    <col min="14078" max="14078" width="12.7109375" customWidth="1"/>
    <col min="14079" max="14079" width="15.140625" bestFit="1" customWidth="1"/>
    <col min="14080" max="14080" width="15.140625" customWidth="1"/>
    <col min="14081" max="14081" width="16.7109375" customWidth="1"/>
    <col min="14082" max="14082" width="12" bestFit="1" customWidth="1"/>
    <col min="14083" max="14083" width="17" customWidth="1"/>
    <col min="14087" max="14087" width="16" bestFit="1" customWidth="1"/>
    <col min="14088" max="14088" width="19.5703125" bestFit="1" customWidth="1"/>
    <col min="14334" max="14334" width="12.7109375" customWidth="1"/>
    <col min="14335" max="14335" width="15.140625" bestFit="1" customWidth="1"/>
    <col min="14336" max="14336" width="15.140625" customWidth="1"/>
    <col min="14337" max="14337" width="16.7109375" customWidth="1"/>
    <col min="14338" max="14338" width="12" bestFit="1" customWidth="1"/>
    <col min="14339" max="14339" width="17" customWidth="1"/>
    <col min="14343" max="14343" width="16" bestFit="1" customWidth="1"/>
    <col min="14344" max="14344" width="19.5703125" bestFit="1" customWidth="1"/>
    <col min="14590" max="14590" width="12.7109375" customWidth="1"/>
    <col min="14591" max="14591" width="15.140625" bestFit="1" customWidth="1"/>
    <col min="14592" max="14592" width="15.140625" customWidth="1"/>
    <col min="14593" max="14593" width="16.7109375" customWidth="1"/>
    <col min="14594" max="14594" width="12" bestFit="1" customWidth="1"/>
    <col min="14595" max="14595" width="17" customWidth="1"/>
    <col min="14599" max="14599" width="16" bestFit="1" customWidth="1"/>
    <col min="14600" max="14600" width="19.5703125" bestFit="1" customWidth="1"/>
    <col min="14846" max="14846" width="12.7109375" customWidth="1"/>
    <col min="14847" max="14847" width="15.140625" bestFit="1" customWidth="1"/>
    <col min="14848" max="14848" width="15.140625" customWidth="1"/>
    <col min="14849" max="14849" width="16.7109375" customWidth="1"/>
    <col min="14850" max="14850" width="12" bestFit="1" customWidth="1"/>
    <col min="14851" max="14851" width="17" customWidth="1"/>
    <col min="14855" max="14855" width="16" bestFit="1" customWidth="1"/>
    <col min="14856" max="14856" width="19.5703125" bestFit="1" customWidth="1"/>
    <col min="15102" max="15102" width="12.7109375" customWidth="1"/>
    <col min="15103" max="15103" width="15.140625" bestFit="1" customWidth="1"/>
    <col min="15104" max="15104" width="15.140625" customWidth="1"/>
    <col min="15105" max="15105" width="16.7109375" customWidth="1"/>
    <col min="15106" max="15106" width="12" bestFit="1" customWidth="1"/>
    <col min="15107" max="15107" width="17" customWidth="1"/>
    <col min="15111" max="15111" width="16" bestFit="1" customWidth="1"/>
    <col min="15112" max="15112" width="19.5703125" bestFit="1" customWidth="1"/>
    <col min="15358" max="15358" width="12.7109375" customWidth="1"/>
    <col min="15359" max="15359" width="15.140625" bestFit="1" customWidth="1"/>
    <col min="15360" max="15360" width="15.140625" customWidth="1"/>
    <col min="15361" max="15361" width="16.7109375" customWidth="1"/>
    <col min="15362" max="15362" width="12" bestFit="1" customWidth="1"/>
    <col min="15363" max="15363" width="17" customWidth="1"/>
    <col min="15367" max="15367" width="16" bestFit="1" customWidth="1"/>
    <col min="15368" max="15368" width="19.5703125" bestFit="1" customWidth="1"/>
    <col min="15614" max="15614" width="12.7109375" customWidth="1"/>
    <col min="15615" max="15615" width="15.140625" bestFit="1" customWidth="1"/>
    <col min="15616" max="15616" width="15.140625" customWidth="1"/>
    <col min="15617" max="15617" width="16.7109375" customWidth="1"/>
    <col min="15618" max="15618" width="12" bestFit="1" customWidth="1"/>
    <col min="15619" max="15619" width="17" customWidth="1"/>
    <col min="15623" max="15623" width="16" bestFit="1" customWidth="1"/>
    <col min="15624" max="15624" width="19.5703125" bestFit="1" customWidth="1"/>
    <col min="15870" max="15870" width="12.7109375" customWidth="1"/>
    <col min="15871" max="15871" width="15.140625" bestFit="1" customWidth="1"/>
    <col min="15872" max="15872" width="15.140625" customWidth="1"/>
    <col min="15873" max="15873" width="16.7109375" customWidth="1"/>
    <col min="15874" max="15874" width="12" bestFit="1" customWidth="1"/>
    <col min="15875" max="15875" width="17" customWidth="1"/>
    <col min="15879" max="15879" width="16" bestFit="1" customWidth="1"/>
    <col min="15880" max="15880" width="19.5703125" bestFit="1" customWidth="1"/>
    <col min="16126" max="16126" width="12.7109375" customWidth="1"/>
    <col min="16127" max="16127" width="15.140625" bestFit="1" customWidth="1"/>
    <col min="16128" max="16128" width="15.140625" customWidth="1"/>
    <col min="16129" max="16129" width="16.7109375" customWidth="1"/>
    <col min="16130" max="16130" width="12" bestFit="1" customWidth="1"/>
    <col min="16131" max="16131" width="17" customWidth="1"/>
    <col min="16135" max="16135" width="16" bestFit="1" customWidth="1"/>
    <col min="16136" max="16136" width="19.5703125" bestFit="1" customWidth="1"/>
  </cols>
  <sheetData>
    <row r="2" spans="2:32">
      <c r="B2" s="228"/>
    </row>
    <row r="3" spans="2:32">
      <c r="B3" s="229" t="s">
        <v>338</v>
      </c>
      <c r="C3" s="230" t="str">
        <f ca="1">AnnuityMapping!F7</f>
        <v>obj_00afc#0000</v>
      </c>
      <c r="D3" s="231"/>
      <c r="E3" s="231"/>
    </row>
    <row r="5" spans="2:32">
      <c r="B5" s="181" t="s">
        <v>308</v>
      </c>
      <c r="C5" s="181" t="s">
        <v>310</v>
      </c>
      <c r="D5" s="181" t="s">
        <v>324</v>
      </c>
      <c r="E5" s="181" t="s">
        <v>325</v>
      </c>
      <c r="F5" s="181" t="s">
        <v>311</v>
      </c>
      <c r="G5" s="181" t="s">
        <v>326</v>
      </c>
      <c r="H5" s="181" t="s">
        <v>327</v>
      </c>
      <c r="I5" s="181" t="s">
        <v>328</v>
      </c>
      <c r="K5" s="430" t="s">
        <v>306</v>
      </c>
      <c r="L5" s="432">
        <f ca="1">AnnuityMapping!C99</f>
        <v>2.0909463271748696E-2</v>
      </c>
    </row>
    <row r="6" spans="2:32">
      <c r="B6" s="232" t="e">
        <f t="array" aca="1" ref="B6:B48" ca="1">_xll.qlSwaptionCashFlowsFloatTimes(C3)</f>
        <v>#NUM!</v>
      </c>
      <c r="C6" s="188" t="e">
        <f t="array" aca="1" ref="C6:C48" ca="1">_xll.qlSwaptionCashFlowsFloatWeights(C3)</f>
        <v>#NUM!</v>
      </c>
      <c r="D6" s="235" t="e">
        <f ca="1">$B$27-B6</f>
        <v>#NUM!</v>
      </c>
      <c r="E6" s="235" t="e">
        <f ca="1">$D$56*($B$27-B6)+$D$57</f>
        <v>#NUM!</v>
      </c>
      <c r="F6" s="182" t="e">
        <f t="array" aca="1" ref="F6:F16" ca="1">_xll.qlSwaptionCashFlowsFixedTimes(C3)</f>
        <v>#NUM!</v>
      </c>
      <c r="G6" s="188" t="e">
        <f t="array" aca="1" ref="G6:G16" ca="1">_xll.qlSwaptionCashFlowsAnnuityWeights(C3)</f>
        <v>#NUM!</v>
      </c>
      <c r="H6" s="236" t="e">
        <f ca="1">$F$15-F6</f>
        <v>#NUM!</v>
      </c>
      <c r="I6" s="235" t="e">
        <f t="shared" ref="I6:I15" ca="1" si="0">$D$56*($F$15-F6)+$D$57</f>
        <v>#NUM!</v>
      </c>
      <c r="K6" s="431" t="s">
        <v>49</v>
      </c>
      <c r="L6" s="433">
        <f ca="1">AnnuityMapping!C100</f>
        <v>8.3239124047829929</v>
      </c>
    </row>
    <row r="7" spans="2:32">
      <c r="B7" s="233" t="e">
        <f ca="1"/>
        <v>#NUM!</v>
      </c>
      <c r="C7" s="189" t="e">
        <f ca="1"/>
        <v>#NUM!</v>
      </c>
      <c r="D7" s="239" t="e">
        <f t="shared" ref="D7:D47" ca="1" si="1">$B$27-B7</f>
        <v>#NUM!</v>
      </c>
      <c r="E7" s="239" t="e">
        <f t="shared" ref="E7:E47" ca="1" si="2">$D$56*($B$27-B7)+$D$57</f>
        <v>#NUM!</v>
      </c>
      <c r="F7" s="183" t="e">
        <f ca="1"/>
        <v>#NUM!</v>
      </c>
      <c r="G7" s="189" t="e">
        <f ca="1"/>
        <v>#NUM!</v>
      </c>
      <c r="H7" s="240" t="e">
        <f t="shared" ref="H7:H15" ca="1" si="3">$F$15-F7</f>
        <v>#NUM!</v>
      </c>
      <c r="I7" s="239" t="e">
        <f t="shared" ca="1" si="0"/>
        <v>#NUM!</v>
      </c>
    </row>
    <row r="8" spans="2:32">
      <c r="B8" s="233" t="e">
        <f ca="1"/>
        <v>#NUM!</v>
      </c>
      <c r="C8" s="189" t="e">
        <f ca="1"/>
        <v>#NUM!</v>
      </c>
      <c r="D8" s="239" t="e">
        <f t="shared" ca="1" si="1"/>
        <v>#NUM!</v>
      </c>
      <c r="E8" s="239" t="e">
        <f t="shared" ca="1" si="2"/>
        <v>#NUM!</v>
      </c>
      <c r="F8" s="183" t="e">
        <f ca="1"/>
        <v>#NUM!</v>
      </c>
      <c r="G8" s="189" t="e">
        <f ca="1"/>
        <v>#NUM!</v>
      </c>
      <c r="H8" s="240" t="e">
        <f t="shared" ca="1" si="3"/>
        <v>#NUM!</v>
      </c>
      <c r="I8" s="239" t="e">
        <f t="shared" ca="1" si="0"/>
        <v>#NUM!</v>
      </c>
      <c r="K8" s="421" t="s">
        <v>339</v>
      </c>
      <c r="L8" s="260">
        <f t="array" ref="L8:AF9" ca="1">AnnuityMapping!N6:AH7</f>
        <v>45907</v>
      </c>
      <c r="M8" s="261">
        <f ca="1"/>
        <v>46088</v>
      </c>
      <c r="N8" s="261">
        <f ca="1"/>
        <v>46272</v>
      </c>
      <c r="O8" s="261">
        <f ca="1"/>
        <v>46453</v>
      </c>
      <c r="P8" s="261">
        <f ca="1"/>
        <v>46637</v>
      </c>
      <c r="Q8" s="261">
        <f ca="1"/>
        <v>46819</v>
      </c>
      <c r="R8" s="261">
        <f ca="1"/>
        <v>47003</v>
      </c>
      <c r="S8" s="261">
        <f ca="1"/>
        <v>47184</v>
      </c>
      <c r="T8" s="261">
        <f ca="1"/>
        <v>47368</v>
      </c>
      <c r="U8" s="261">
        <f ca="1"/>
        <v>47549</v>
      </c>
      <c r="V8" s="261">
        <f ca="1"/>
        <v>47733</v>
      </c>
      <c r="W8" s="261">
        <f ca="1"/>
        <v>47914</v>
      </c>
      <c r="X8" s="261">
        <f ca="1"/>
        <v>48098</v>
      </c>
      <c r="Y8" s="261">
        <f ca="1"/>
        <v>48280</v>
      </c>
      <c r="Z8" s="261">
        <f ca="1"/>
        <v>48464</v>
      </c>
      <c r="AA8" s="261">
        <f ca="1"/>
        <v>48645</v>
      </c>
      <c r="AB8" s="261">
        <f ca="1"/>
        <v>48829</v>
      </c>
      <c r="AC8" s="261">
        <f ca="1"/>
        <v>49010</v>
      </c>
      <c r="AD8" s="261">
        <f ca="1"/>
        <v>49194</v>
      </c>
      <c r="AE8" s="261">
        <f ca="1"/>
        <v>49375</v>
      </c>
      <c r="AF8" s="262">
        <f ca="1"/>
        <v>49559</v>
      </c>
    </row>
    <row r="9" spans="2:32">
      <c r="B9" s="233" t="e">
        <f ca="1"/>
        <v>#NUM!</v>
      </c>
      <c r="C9" s="189" t="e">
        <f ca="1"/>
        <v>#NUM!</v>
      </c>
      <c r="D9" s="239" t="e">
        <f t="shared" ca="1" si="1"/>
        <v>#NUM!</v>
      </c>
      <c r="E9" s="239" t="e">
        <f t="shared" ca="1" si="2"/>
        <v>#NUM!</v>
      </c>
      <c r="F9" s="183" t="e">
        <f ca="1"/>
        <v>#NUM!</v>
      </c>
      <c r="G9" s="189" t="e">
        <f ca="1"/>
        <v>#NUM!</v>
      </c>
      <c r="H9" s="240" t="e">
        <f t="shared" ca="1" si="3"/>
        <v>#NUM!</v>
      </c>
      <c r="I9" s="239" t="e">
        <f t="shared" ca="1" si="0"/>
        <v>#NUM!</v>
      </c>
      <c r="K9" s="422" t="s">
        <v>307</v>
      </c>
      <c r="L9" s="424">
        <f ca="1"/>
        <v>10.008219178082191</v>
      </c>
      <c r="M9" s="425">
        <f ca="1"/>
        <v>10.504109589041096</v>
      </c>
      <c r="N9" s="425">
        <f ca="1"/>
        <v>11.008219178082191</v>
      </c>
      <c r="O9" s="425">
        <f ca="1"/>
        <v>11.504109589041096</v>
      </c>
      <c r="P9" s="425">
        <f ca="1"/>
        <v>12.008219178082191</v>
      </c>
      <c r="Q9" s="425">
        <f ca="1"/>
        <v>12.506849315068493</v>
      </c>
      <c r="R9" s="425">
        <f ca="1"/>
        <v>13.010958904109589</v>
      </c>
      <c r="S9" s="425">
        <f ca="1"/>
        <v>13.506849315068493</v>
      </c>
      <c r="T9" s="425">
        <f ca="1"/>
        <v>14.010958904109589</v>
      </c>
      <c r="U9" s="425">
        <f ca="1"/>
        <v>14.506849315068493</v>
      </c>
      <c r="V9" s="425">
        <f ca="1"/>
        <v>15.010958904109589</v>
      </c>
      <c r="W9" s="425">
        <f ca="1"/>
        <v>15.506849315068493</v>
      </c>
      <c r="X9" s="425">
        <f ca="1"/>
        <v>16.010958904109589</v>
      </c>
      <c r="Y9" s="425">
        <f ca="1"/>
        <v>16.509589041095889</v>
      </c>
      <c r="Z9" s="425">
        <f ca="1"/>
        <v>17.013698630136986</v>
      </c>
      <c r="AA9" s="425">
        <f ca="1"/>
        <v>17.509589041095889</v>
      </c>
      <c r="AB9" s="425">
        <f ca="1"/>
        <v>18.013698630136986</v>
      </c>
      <c r="AC9" s="425">
        <f ca="1"/>
        <v>18.509589041095889</v>
      </c>
      <c r="AD9" s="425">
        <f ca="1"/>
        <v>19.013698630136986</v>
      </c>
      <c r="AE9" s="425">
        <f ca="1"/>
        <v>19.509589041095889</v>
      </c>
      <c r="AF9" s="426">
        <f ca="1"/>
        <v>20.013698630136986</v>
      </c>
    </row>
    <row r="10" spans="2:32">
      <c r="B10" s="233" t="e">
        <f ca="1"/>
        <v>#NUM!</v>
      </c>
      <c r="C10" s="189" t="e">
        <f ca="1"/>
        <v>#NUM!</v>
      </c>
      <c r="D10" s="239" t="e">
        <f t="shared" ca="1" si="1"/>
        <v>#NUM!</v>
      </c>
      <c r="E10" s="239" t="e">
        <f t="shared" ca="1" si="2"/>
        <v>#NUM!</v>
      </c>
      <c r="F10" s="183" t="e">
        <f ca="1"/>
        <v>#NUM!</v>
      </c>
      <c r="G10" s="189" t="e">
        <f ca="1"/>
        <v>#NUM!</v>
      </c>
      <c r="H10" s="240" t="e">
        <f t="shared" ca="1" si="3"/>
        <v>#NUM!</v>
      </c>
      <c r="I10" s="239" t="e">
        <f t="shared" ca="1" si="0"/>
        <v>#NUM!</v>
      </c>
      <c r="K10" s="422" t="s">
        <v>355</v>
      </c>
      <c r="L10" s="427" t="e">
        <f ca="1">$D$56*($B$27-L9)+$D$57</f>
        <v>#NUM!</v>
      </c>
      <c r="M10" s="428" t="e">
        <f t="shared" ref="M10:AF10" ca="1" si="4">$D$56*($B$27-M9)+$D$57</f>
        <v>#NUM!</v>
      </c>
      <c r="N10" s="428" t="e">
        <f t="shared" ca="1" si="4"/>
        <v>#NUM!</v>
      </c>
      <c r="O10" s="428" t="e">
        <f t="shared" ca="1" si="4"/>
        <v>#NUM!</v>
      </c>
      <c r="P10" s="428" t="e">
        <f t="shared" ca="1" si="4"/>
        <v>#NUM!</v>
      </c>
      <c r="Q10" s="428" t="e">
        <f t="shared" ca="1" si="4"/>
        <v>#NUM!</v>
      </c>
      <c r="R10" s="428" t="e">
        <f t="shared" ca="1" si="4"/>
        <v>#NUM!</v>
      </c>
      <c r="S10" s="428" t="e">
        <f t="shared" ca="1" si="4"/>
        <v>#NUM!</v>
      </c>
      <c r="T10" s="428" t="e">
        <f t="shared" ca="1" si="4"/>
        <v>#NUM!</v>
      </c>
      <c r="U10" s="428" t="e">
        <f t="shared" ca="1" si="4"/>
        <v>#NUM!</v>
      </c>
      <c r="V10" s="428" t="e">
        <f t="shared" ca="1" si="4"/>
        <v>#NUM!</v>
      </c>
      <c r="W10" s="428" t="e">
        <f t="shared" ca="1" si="4"/>
        <v>#NUM!</v>
      </c>
      <c r="X10" s="428" t="e">
        <f t="shared" ca="1" si="4"/>
        <v>#NUM!</v>
      </c>
      <c r="Y10" s="428" t="e">
        <f t="shared" ca="1" si="4"/>
        <v>#NUM!</v>
      </c>
      <c r="Z10" s="428" t="e">
        <f t="shared" ca="1" si="4"/>
        <v>#NUM!</v>
      </c>
      <c r="AA10" s="428" t="e">
        <f t="shared" ca="1" si="4"/>
        <v>#NUM!</v>
      </c>
      <c r="AB10" s="428" t="e">
        <f t="shared" ca="1" si="4"/>
        <v>#NUM!</v>
      </c>
      <c r="AC10" s="428" t="e">
        <f t="shared" ca="1" si="4"/>
        <v>#NUM!</v>
      </c>
      <c r="AD10" s="428" t="e">
        <f t="shared" ca="1" si="4"/>
        <v>#NUM!</v>
      </c>
      <c r="AE10" s="428" t="e">
        <f t="shared" ca="1" si="4"/>
        <v>#NUM!</v>
      </c>
      <c r="AF10" s="429" t="e">
        <f t="shared" ca="1" si="4"/>
        <v>#NUM!</v>
      </c>
    </row>
    <row r="11" spans="2:32">
      <c r="B11" s="233" t="e">
        <f ca="1"/>
        <v>#NUM!</v>
      </c>
      <c r="C11" s="189" t="e">
        <f ca="1"/>
        <v>#NUM!</v>
      </c>
      <c r="D11" s="239" t="e">
        <f t="shared" ca="1" si="1"/>
        <v>#NUM!</v>
      </c>
      <c r="E11" s="239" t="e">
        <f t="shared" ca="1" si="2"/>
        <v>#NUM!</v>
      </c>
      <c r="F11" s="183" t="e">
        <f ca="1"/>
        <v>#NUM!</v>
      </c>
      <c r="G11" s="189" t="e">
        <f ca="1"/>
        <v>#NUM!</v>
      </c>
      <c r="H11" s="240" t="e">
        <f t="shared" ca="1" si="3"/>
        <v>#NUM!</v>
      </c>
      <c r="I11" s="239" t="e">
        <f t="shared" ca="1" si="0"/>
        <v>#NUM!</v>
      </c>
      <c r="K11" s="423" t="s">
        <v>356</v>
      </c>
      <c r="L11" s="269">
        <f ca="1">_xll.qlYieldTSDiscount(AnnuityMapping!$C$89,L8)</f>
        <v>0.92668956355797394</v>
      </c>
      <c r="M11" s="270">
        <f ca="1">_xll.qlYieldTSDiscount(AnnuityMapping!$C$89,M8)</f>
        <v>0.91805397886662532</v>
      </c>
      <c r="N11" s="270">
        <f ca="1">_xll.qlYieldTSDiscount(AnnuityMapping!$C$89,N8)</f>
        <v>0.90912602947902021</v>
      </c>
      <c r="O11" s="270">
        <f ca="1">_xll.qlYieldTSDiscount(AnnuityMapping!$C$89,O8)</f>
        <v>0.90025793430978984</v>
      </c>
      <c r="P11" s="270">
        <f ca="1">_xll.qlYieldTSDiscount(AnnuityMapping!$C$89,P8)</f>
        <v>0.89121594549843386</v>
      </c>
      <c r="Q11" s="270">
        <f ca="1">_xll.qlYieldTSDiscount(AnnuityMapping!$C$89,Q8)</f>
        <v>0.88229710558468533</v>
      </c>
      <c r="R11" s="270">
        <f ca="1">_xll.qlYieldTSDiscount(AnnuityMapping!$C$89,R8)</f>
        <v>0.8733318021856139</v>
      </c>
      <c r="S11" s="270">
        <f ca="1">_xll.qlYieldTSDiscount(AnnuityMapping!$C$89,S8)</f>
        <v>0.86458194658235077</v>
      </c>
      <c r="T11" s="270">
        <f ca="1">_xll.qlYieldTSDiscount(AnnuityMapping!$C$89,T8)</f>
        <v>0.85577580217736182</v>
      </c>
      <c r="U11" s="270">
        <f ca="1">_xll.qlYieldTSDiscount(AnnuityMapping!$C$89,U8)</f>
        <v>0.8472177039230302</v>
      </c>
      <c r="V11" s="270">
        <f ca="1">_xll.qlYieldTSDiscount(AnnuityMapping!$C$89,V8)</f>
        <v>0.83864078242111173</v>
      </c>
      <c r="W11" s="270">
        <f ca="1">_xll.qlYieldTSDiscount(AnnuityMapping!$C$89,W8)</f>
        <v>0.83033927004343011</v>
      </c>
      <c r="X11" s="270">
        <f ca="1">_xll.qlYieldTSDiscount(AnnuityMapping!$C$89,X8)</f>
        <v>0.82204706433659158</v>
      </c>
      <c r="Y11" s="270">
        <f ca="1">_xll.qlYieldTSDiscount(AnnuityMapping!$C$89,Y8)</f>
        <v>0.81399795238784212</v>
      </c>
      <c r="Z11" s="270">
        <f ca="1">_xll.qlYieldTSDiscount(AnnuityMapping!$C$89,Z8)</f>
        <v>0.80602207536364556</v>
      </c>
      <c r="AA11" s="270">
        <f ca="1">_xll.qlYieldTSDiscount(AnnuityMapping!$C$89,AA8)</f>
        <v>0.7983414199822485</v>
      </c>
      <c r="AB11" s="270">
        <f ca="1">_xll.qlYieldTSDiscount(AnnuityMapping!$C$89,AB8)</f>
        <v>0.79070777902680567</v>
      </c>
      <c r="AC11" s="270">
        <f ca="1">_xll.qlYieldTSDiscount(AnnuityMapping!$C$89,AC8)</f>
        <v>0.78337606450187391</v>
      </c>
      <c r="AD11" s="270">
        <f ca="1">_xll.qlYieldTSDiscount(AnnuityMapping!$C$89,AD8)</f>
        <v>0.77610909812447537</v>
      </c>
      <c r="AE11" s="270">
        <f ca="1">_xll.qlYieldTSDiscount(AnnuityMapping!$C$89,AE8)</f>
        <v>0.76914934577079319</v>
      </c>
      <c r="AF11" s="271">
        <f ca="1">_xll.qlYieldTSDiscount(AnnuityMapping!$C$89,AF8)</f>
        <v>0.76227149789607618</v>
      </c>
    </row>
    <row r="12" spans="2:32">
      <c r="B12" s="233" t="e">
        <f ca="1"/>
        <v>#NUM!</v>
      </c>
      <c r="C12" s="189" t="e">
        <f ca="1"/>
        <v>#NUM!</v>
      </c>
      <c r="D12" s="239" t="e">
        <f t="shared" ca="1" si="1"/>
        <v>#NUM!</v>
      </c>
      <c r="E12" s="239" t="e">
        <f t="shared" ca="1" si="2"/>
        <v>#NUM!</v>
      </c>
      <c r="F12" s="183" t="e">
        <f ca="1"/>
        <v>#NUM!</v>
      </c>
      <c r="G12" s="189" t="e">
        <f ca="1"/>
        <v>#NUM!</v>
      </c>
      <c r="H12" s="240" t="e">
        <f t="shared" ca="1" si="3"/>
        <v>#NUM!</v>
      </c>
      <c r="I12" s="239" t="e">
        <f t="shared" ca="1" si="0"/>
        <v>#NUM!</v>
      </c>
      <c r="K12" s="181" t="s">
        <v>306</v>
      </c>
    </row>
    <row r="13" spans="2:32">
      <c r="B13" s="233" t="e">
        <f ca="1"/>
        <v>#NUM!</v>
      </c>
      <c r="C13" s="189" t="e">
        <f ca="1"/>
        <v>#NUM!</v>
      </c>
      <c r="D13" s="239" t="e">
        <f t="shared" ca="1" si="1"/>
        <v>#NUM!</v>
      </c>
      <c r="E13" s="239" t="e">
        <f t="shared" ca="1" si="2"/>
        <v>#NUM!</v>
      </c>
      <c r="F13" s="183" t="e">
        <f ca="1"/>
        <v>#NUM!</v>
      </c>
      <c r="G13" s="189" t="e">
        <f ca="1"/>
        <v>#NUM!</v>
      </c>
      <c r="H13" s="240" t="e">
        <f t="shared" ca="1" si="3"/>
        <v>#NUM!</v>
      </c>
      <c r="I13" s="239" t="e">
        <f t="shared" ca="1" si="0"/>
        <v>#NUM!</v>
      </c>
      <c r="K13" s="211">
        <f t="array" ref="K13:K36" ca="1">AnnuityMapping!M8:M31</f>
        <v>-0.50040211498615206</v>
      </c>
      <c r="L13" s="272" t="e">
        <f t="shared" ref="L13:L29" ca="1" si="5">L$10*($K13-$L$5)+L$11/$L$6</f>
        <v>#NUM!</v>
      </c>
      <c r="M13" s="273" t="e">
        <f t="shared" ref="M13:AB28" ca="1" si="6">M$10*($K13-$L$5)+M$11/$L$6</f>
        <v>#NUM!</v>
      </c>
      <c r="N13" s="273" t="e">
        <f t="shared" ca="1" si="6"/>
        <v>#NUM!</v>
      </c>
      <c r="O13" s="273" t="e">
        <f t="shared" ca="1" si="6"/>
        <v>#NUM!</v>
      </c>
      <c r="P13" s="273" t="e">
        <f t="shared" ca="1" si="6"/>
        <v>#NUM!</v>
      </c>
      <c r="Q13" s="273" t="e">
        <f t="shared" ca="1" si="6"/>
        <v>#NUM!</v>
      </c>
      <c r="R13" s="273" t="e">
        <f t="shared" ca="1" si="6"/>
        <v>#NUM!</v>
      </c>
      <c r="S13" s="273" t="e">
        <f t="shared" ca="1" si="6"/>
        <v>#NUM!</v>
      </c>
      <c r="T13" s="273" t="e">
        <f t="shared" ca="1" si="6"/>
        <v>#NUM!</v>
      </c>
      <c r="U13" s="273" t="e">
        <f t="shared" ca="1" si="6"/>
        <v>#NUM!</v>
      </c>
      <c r="V13" s="273" t="e">
        <f t="shared" ca="1" si="6"/>
        <v>#NUM!</v>
      </c>
      <c r="W13" s="273" t="e">
        <f t="shared" ca="1" si="6"/>
        <v>#NUM!</v>
      </c>
      <c r="X13" s="273" t="e">
        <f t="shared" ca="1" si="6"/>
        <v>#NUM!</v>
      </c>
      <c r="Y13" s="273" t="e">
        <f t="shared" ca="1" si="6"/>
        <v>#NUM!</v>
      </c>
      <c r="Z13" s="273" t="e">
        <f t="shared" ca="1" si="6"/>
        <v>#NUM!</v>
      </c>
      <c r="AA13" s="273" t="e">
        <f t="shared" ca="1" si="6"/>
        <v>#NUM!</v>
      </c>
      <c r="AB13" s="273" t="e">
        <f t="shared" ca="1" si="6"/>
        <v>#NUM!</v>
      </c>
      <c r="AC13" s="273" t="e">
        <f t="shared" ref="AC13:AF36" ca="1" si="7">AC$10*($K13-$L$5)+AC$11/$L$6</f>
        <v>#NUM!</v>
      </c>
      <c r="AD13" s="273" t="e">
        <f t="shared" ca="1" si="7"/>
        <v>#NUM!</v>
      </c>
      <c r="AE13" s="273" t="e">
        <f t="shared" ca="1" si="7"/>
        <v>#NUM!</v>
      </c>
      <c r="AF13" s="274" t="e">
        <f t="shared" ca="1" si="7"/>
        <v>#NUM!</v>
      </c>
    </row>
    <row r="14" spans="2:32">
      <c r="B14" s="233" t="e">
        <f ca="1"/>
        <v>#NUM!</v>
      </c>
      <c r="C14" s="189" t="e">
        <f ca="1"/>
        <v>#NUM!</v>
      </c>
      <c r="D14" s="239" t="e">
        <f t="shared" ca="1" si="1"/>
        <v>#NUM!</v>
      </c>
      <c r="E14" s="239" t="e">
        <f t="shared" ca="1" si="2"/>
        <v>#NUM!</v>
      </c>
      <c r="F14" s="183" t="e">
        <f ca="1"/>
        <v>#NUM!</v>
      </c>
      <c r="G14" s="189" t="e">
        <f ca="1"/>
        <v>#NUM!</v>
      </c>
      <c r="H14" s="240" t="e">
        <f t="shared" ca="1" si="3"/>
        <v>#NUM!</v>
      </c>
      <c r="I14" s="239" t="e">
        <f t="shared" ca="1" si="0"/>
        <v>#NUM!</v>
      </c>
      <c r="K14" s="212">
        <f ca="1"/>
        <v>-0.42042978412285875</v>
      </c>
      <c r="L14" s="275" t="e">
        <f t="shared" ca="1" si="5"/>
        <v>#NUM!</v>
      </c>
      <c r="M14" s="276" t="e">
        <f t="shared" ca="1" si="6"/>
        <v>#NUM!</v>
      </c>
      <c r="N14" s="276" t="e">
        <f t="shared" ca="1" si="6"/>
        <v>#NUM!</v>
      </c>
      <c r="O14" s="276" t="e">
        <f t="shared" ca="1" si="6"/>
        <v>#NUM!</v>
      </c>
      <c r="P14" s="276" t="e">
        <f t="shared" ca="1" si="6"/>
        <v>#NUM!</v>
      </c>
      <c r="Q14" s="276" t="e">
        <f t="shared" ca="1" si="6"/>
        <v>#NUM!</v>
      </c>
      <c r="R14" s="276" t="e">
        <f t="shared" ca="1" si="6"/>
        <v>#NUM!</v>
      </c>
      <c r="S14" s="276" t="e">
        <f t="shared" ca="1" si="6"/>
        <v>#NUM!</v>
      </c>
      <c r="T14" s="276" t="e">
        <f t="shared" ca="1" si="6"/>
        <v>#NUM!</v>
      </c>
      <c r="U14" s="276" t="e">
        <f t="shared" ca="1" si="6"/>
        <v>#NUM!</v>
      </c>
      <c r="V14" s="276" t="e">
        <f t="shared" ca="1" si="6"/>
        <v>#NUM!</v>
      </c>
      <c r="W14" s="276" t="e">
        <f t="shared" ca="1" si="6"/>
        <v>#NUM!</v>
      </c>
      <c r="X14" s="276" t="e">
        <f t="shared" ca="1" si="6"/>
        <v>#NUM!</v>
      </c>
      <c r="Y14" s="276" t="e">
        <f t="shared" ca="1" si="6"/>
        <v>#NUM!</v>
      </c>
      <c r="Z14" s="276" t="e">
        <f t="shared" ca="1" si="6"/>
        <v>#NUM!</v>
      </c>
      <c r="AA14" s="276" t="e">
        <f t="shared" ca="1" si="6"/>
        <v>#NUM!</v>
      </c>
      <c r="AB14" s="276" t="e">
        <f t="shared" ca="1" si="6"/>
        <v>#NUM!</v>
      </c>
      <c r="AC14" s="276" t="e">
        <f t="shared" ca="1" si="7"/>
        <v>#NUM!</v>
      </c>
      <c r="AD14" s="276" t="e">
        <f t="shared" ca="1" si="7"/>
        <v>#NUM!</v>
      </c>
      <c r="AE14" s="276" t="e">
        <f t="shared" ca="1" si="7"/>
        <v>#NUM!</v>
      </c>
      <c r="AF14" s="277" t="e">
        <f t="shared" ca="1" si="7"/>
        <v>#NUM!</v>
      </c>
    </row>
    <row r="15" spans="2:32">
      <c r="B15" s="233" t="e">
        <f ca="1"/>
        <v>#NUM!</v>
      </c>
      <c r="C15" s="189" t="e">
        <f ca="1"/>
        <v>#NUM!</v>
      </c>
      <c r="D15" s="239" t="e">
        <f t="shared" ca="1" si="1"/>
        <v>#NUM!</v>
      </c>
      <c r="E15" s="239" t="e">
        <f t="shared" ca="1" si="2"/>
        <v>#NUM!</v>
      </c>
      <c r="F15" s="183" t="e">
        <f ca="1"/>
        <v>#NUM!</v>
      </c>
      <c r="G15" s="189" t="e">
        <f ca="1"/>
        <v>#NUM!</v>
      </c>
      <c r="H15" s="240" t="e">
        <f t="shared" ca="1" si="3"/>
        <v>#NUM!</v>
      </c>
      <c r="I15" s="239" t="e">
        <f t="shared" ca="1" si="0"/>
        <v>#NUM!</v>
      </c>
      <c r="K15" s="212">
        <f ca="1"/>
        <v>-0.42042978412285875</v>
      </c>
      <c r="L15" s="275" t="e">
        <f t="shared" ca="1" si="5"/>
        <v>#NUM!</v>
      </c>
      <c r="M15" s="276" t="e">
        <f t="shared" ca="1" si="6"/>
        <v>#NUM!</v>
      </c>
      <c r="N15" s="276" t="e">
        <f t="shared" ca="1" si="6"/>
        <v>#NUM!</v>
      </c>
      <c r="O15" s="276" t="e">
        <f t="shared" ca="1" si="6"/>
        <v>#NUM!</v>
      </c>
      <c r="P15" s="276" t="e">
        <f t="shared" ca="1" si="6"/>
        <v>#NUM!</v>
      </c>
      <c r="Q15" s="276" t="e">
        <f t="shared" ca="1" si="6"/>
        <v>#NUM!</v>
      </c>
      <c r="R15" s="276" t="e">
        <f t="shared" ca="1" si="6"/>
        <v>#NUM!</v>
      </c>
      <c r="S15" s="276" t="e">
        <f t="shared" ca="1" si="6"/>
        <v>#NUM!</v>
      </c>
      <c r="T15" s="276" t="e">
        <f t="shared" ca="1" si="6"/>
        <v>#NUM!</v>
      </c>
      <c r="U15" s="276" t="e">
        <f t="shared" ca="1" si="6"/>
        <v>#NUM!</v>
      </c>
      <c r="V15" s="276" t="e">
        <f t="shared" ca="1" si="6"/>
        <v>#NUM!</v>
      </c>
      <c r="W15" s="276" t="e">
        <f t="shared" ca="1" si="6"/>
        <v>#NUM!</v>
      </c>
      <c r="X15" s="276" t="e">
        <f t="shared" ca="1" si="6"/>
        <v>#NUM!</v>
      </c>
      <c r="Y15" s="276" t="e">
        <f t="shared" ca="1" si="6"/>
        <v>#NUM!</v>
      </c>
      <c r="Z15" s="276" t="e">
        <f t="shared" ca="1" si="6"/>
        <v>#NUM!</v>
      </c>
      <c r="AA15" s="276" t="e">
        <f t="shared" ca="1" si="6"/>
        <v>#NUM!</v>
      </c>
      <c r="AB15" s="276" t="e">
        <f t="shared" ca="1" si="6"/>
        <v>#NUM!</v>
      </c>
      <c r="AC15" s="276" t="e">
        <f t="shared" ca="1" si="7"/>
        <v>#NUM!</v>
      </c>
      <c r="AD15" s="276" t="e">
        <f t="shared" ca="1" si="7"/>
        <v>#NUM!</v>
      </c>
      <c r="AE15" s="276" t="e">
        <f t="shared" ca="1" si="7"/>
        <v>#NUM!</v>
      </c>
      <c r="AF15" s="277" t="e">
        <f t="shared" ca="1" si="7"/>
        <v>#NUM!</v>
      </c>
    </row>
    <row r="16" spans="2:32">
      <c r="B16" s="233" t="e">
        <f ca="1"/>
        <v>#NUM!</v>
      </c>
      <c r="C16" s="189" t="e">
        <f ca="1"/>
        <v>#NUM!</v>
      </c>
      <c r="D16" s="239" t="e">
        <f t="shared" ca="1" si="1"/>
        <v>#NUM!</v>
      </c>
      <c r="E16" s="239" t="e">
        <f t="shared" ca="1" si="2"/>
        <v>#NUM!</v>
      </c>
      <c r="F16" s="183" t="e">
        <f ca="1"/>
        <v>#NUM!</v>
      </c>
      <c r="G16" s="189" t="e">
        <f ca="1"/>
        <v>#NUM!</v>
      </c>
      <c r="H16" s="184"/>
      <c r="I16" s="184"/>
      <c r="K16" s="212">
        <f ca="1"/>
        <v>-0.30497105396608759</v>
      </c>
      <c r="L16" s="275" t="e">
        <f t="shared" ca="1" si="5"/>
        <v>#NUM!</v>
      </c>
      <c r="M16" s="276" t="e">
        <f t="shared" ca="1" si="6"/>
        <v>#NUM!</v>
      </c>
      <c r="N16" s="276" t="e">
        <f t="shared" ca="1" si="6"/>
        <v>#NUM!</v>
      </c>
      <c r="O16" s="276" t="e">
        <f t="shared" ca="1" si="6"/>
        <v>#NUM!</v>
      </c>
      <c r="P16" s="276" t="e">
        <f t="shared" ca="1" si="6"/>
        <v>#NUM!</v>
      </c>
      <c r="Q16" s="276" t="e">
        <f t="shared" ca="1" si="6"/>
        <v>#NUM!</v>
      </c>
      <c r="R16" s="276" t="e">
        <f t="shared" ca="1" si="6"/>
        <v>#NUM!</v>
      </c>
      <c r="S16" s="276" t="e">
        <f t="shared" ca="1" si="6"/>
        <v>#NUM!</v>
      </c>
      <c r="T16" s="276" t="e">
        <f t="shared" ca="1" si="6"/>
        <v>#NUM!</v>
      </c>
      <c r="U16" s="276" t="e">
        <f t="shared" ca="1" si="6"/>
        <v>#NUM!</v>
      </c>
      <c r="V16" s="276" t="e">
        <f t="shared" ca="1" si="6"/>
        <v>#NUM!</v>
      </c>
      <c r="W16" s="276" t="e">
        <f t="shared" ca="1" si="6"/>
        <v>#NUM!</v>
      </c>
      <c r="X16" s="276" t="e">
        <f t="shared" ca="1" si="6"/>
        <v>#NUM!</v>
      </c>
      <c r="Y16" s="276" t="e">
        <f t="shared" ca="1" si="6"/>
        <v>#NUM!</v>
      </c>
      <c r="Z16" s="276" t="e">
        <f t="shared" ca="1" si="6"/>
        <v>#NUM!</v>
      </c>
      <c r="AA16" s="276" t="e">
        <f t="shared" ca="1" si="6"/>
        <v>#NUM!</v>
      </c>
      <c r="AB16" s="276" t="e">
        <f t="shared" ca="1" si="6"/>
        <v>#NUM!</v>
      </c>
      <c r="AC16" s="276" t="e">
        <f t="shared" ca="1" si="7"/>
        <v>#NUM!</v>
      </c>
      <c r="AD16" s="276" t="e">
        <f t="shared" ca="1" si="7"/>
        <v>#NUM!</v>
      </c>
      <c r="AE16" s="276" t="e">
        <f t="shared" ca="1" si="7"/>
        <v>#NUM!</v>
      </c>
      <c r="AF16" s="277" t="e">
        <f t="shared" ca="1" si="7"/>
        <v>#NUM!</v>
      </c>
    </row>
    <row r="17" spans="2:32">
      <c r="B17" s="233" t="e">
        <f ca="1"/>
        <v>#NUM!</v>
      </c>
      <c r="C17" s="189" t="e">
        <f ca="1"/>
        <v>#NUM!</v>
      </c>
      <c r="D17" s="239" t="e">
        <f t="shared" ca="1" si="1"/>
        <v>#NUM!</v>
      </c>
      <c r="E17" s="239" t="e">
        <f t="shared" ca="1" si="2"/>
        <v>#NUM!</v>
      </c>
      <c r="F17" s="237"/>
      <c r="G17" s="237"/>
      <c r="H17" s="184"/>
      <c r="I17" s="184"/>
      <c r="K17" s="212">
        <f ca="1"/>
        <v>-0.23857335359706625</v>
      </c>
      <c r="L17" s="275" t="e">
        <f t="shared" ca="1" si="5"/>
        <v>#NUM!</v>
      </c>
      <c r="M17" s="276" t="e">
        <f t="shared" ca="1" si="6"/>
        <v>#NUM!</v>
      </c>
      <c r="N17" s="276" t="e">
        <f t="shared" ca="1" si="6"/>
        <v>#NUM!</v>
      </c>
      <c r="O17" s="276" t="e">
        <f t="shared" ca="1" si="6"/>
        <v>#NUM!</v>
      </c>
      <c r="P17" s="276" t="e">
        <f t="shared" ca="1" si="6"/>
        <v>#NUM!</v>
      </c>
      <c r="Q17" s="276" t="e">
        <f t="shared" ca="1" si="6"/>
        <v>#NUM!</v>
      </c>
      <c r="R17" s="276" t="e">
        <f t="shared" ca="1" si="6"/>
        <v>#NUM!</v>
      </c>
      <c r="S17" s="276" t="e">
        <f t="shared" ca="1" si="6"/>
        <v>#NUM!</v>
      </c>
      <c r="T17" s="276" t="e">
        <f t="shared" ca="1" si="6"/>
        <v>#NUM!</v>
      </c>
      <c r="U17" s="276" t="e">
        <f t="shared" ca="1" si="6"/>
        <v>#NUM!</v>
      </c>
      <c r="V17" s="276" t="e">
        <f t="shared" ca="1" si="6"/>
        <v>#NUM!</v>
      </c>
      <c r="W17" s="276" t="e">
        <f t="shared" ca="1" si="6"/>
        <v>#NUM!</v>
      </c>
      <c r="X17" s="276" t="e">
        <f t="shared" ca="1" si="6"/>
        <v>#NUM!</v>
      </c>
      <c r="Y17" s="276" t="e">
        <f t="shared" ca="1" si="6"/>
        <v>#NUM!</v>
      </c>
      <c r="Z17" s="276" t="e">
        <f t="shared" ca="1" si="6"/>
        <v>#NUM!</v>
      </c>
      <c r="AA17" s="276" t="e">
        <f t="shared" ca="1" si="6"/>
        <v>#NUM!</v>
      </c>
      <c r="AB17" s="276" t="e">
        <f t="shared" ca="1" si="6"/>
        <v>#NUM!</v>
      </c>
      <c r="AC17" s="276" t="e">
        <f t="shared" ca="1" si="7"/>
        <v>#NUM!</v>
      </c>
      <c r="AD17" s="276" t="e">
        <f t="shared" ca="1" si="7"/>
        <v>#NUM!</v>
      </c>
      <c r="AE17" s="276" t="e">
        <f t="shared" ca="1" si="7"/>
        <v>#NUM!</v>
      </c>
      <c r="AF17" s="277" t="e">
        <f t="shared" ca="1" si="7"/>
        <v>#NUM!</v>
      </c>
    </row>
    <row r="18" spans="2:32">
      <c r="B18" s="233" t="e">
        <f ca="1"/>
        <v>#NUM!</v>
      </c>
      <c r="C18" s="189" t="e">
        <f ca="1"/>
        <v>#NUM!</v>
      </c>
      <c r="D18" s="239" t="e">
        <f t="shared" ca="1" si="1"/>
        <v>#NUM!</v>
      </c>
      <c r="E18" s="239" t="e">
        <f t="shared" ca="1" si="2"/>
        <v>#NUM!</v>
      </c>
      <c r="F18" s="237"/>
      <c r="G18" s="237"/>
      <c r="H18" s="184"/>
      <c r="I18" s="184"/>
      <c r="K18" s="212">
        <f ca="1"/>
        <v>-0.2028663657348998</v>
      </c>
      <c r="L18" s="275" t="e">
        <f t="shared" ca="1" si="5"/>
        <v>#NUM!</v>
      </c>
      <c r="M18" s="276" t="e">
        <f t="shared" ca="1" si="6"/>
        <v>#NUM!</v>
      </c>
      <c r="N18" s="276" t="e">
        <f t="shared" ca="1" si="6"/>
        <v>#NUM!</v>
      </c>
      <c r="O18" s="276" t="e">
        <f t="shared" ca="1" si="6"/>
        <v>#NUM!</v>
      </c>
      <c r="P18" s="276" t="e">
        <f t="shared" ca="1" si="6"/>
        <v>#NUM!</v>
      </c>
      <c r="Q18" s="276" t="e">
        <f t="shared" ca="1" si="6"/>
        <v>#NUM!</v>
      </c>
      <c r="R18" s="276" t="e">
        <f t="shared" ca="1" si="6"/>
        <v>#NUM!</v>
      </c>
      <c r="S18" s="276" t="e">
        <f t="shared" ca="1" si="6"/>
        <v>#NUM!</v>
      </c>
      <c r="T18" s="276" t="e">
        <f t="shared" ca="1" si="6"/>
        <v>#NUM!</v>
      </c>
      <c r="U18" s="276" t="e">
        <f t="shared" ca="1" si="6"/>
        <v>#NUM!</v>
      </c>
      <c r="V18" s="276" t="e">
        <f t="shared" ca="1" si="6"/>
        <v>#NUM!</v>
      </c>
      <c r="W18" s="276" t="e">
        <f t="shared" ca="1" si="6"/>
        <v>#NUM!</v>
      </c>
      <c r="X18" s="276" t="e">
        <f t="shared" ca="1" si="6"/>
        <v>#NUM!</v>
      </c>
      <c r="Y18" s="276" t="e">
        <f t="shared" ca="1" si="6"/>
        <v>#NUM!</v>
      </c>
      <c r="Z18" s="276" t="e">
        <f t="shared" ca="1" si="6"/>
        <v>#NUM!</v>
      </c>
      <c r="AA18" s="276" t="e">
        <f t="shared" ca="1" si="6"/>
        <v>#NUM!</v>
      </c>
      <c r="AB18" s="276" t="e">
        <f t="shared" ca="1" si="6"/>
        <v>#NUM!</v>
      </c>
      <c r="AC18" s="276" t="e">
        <f t="shared" ca="1" si="7"/>
        <v>#NUM!</v>
      </c>
      <c r="AD18" s="276" t="e">
        <f t="shared" ca="1" si="7"/>
        <v>#NUM!</v>
      </c>
      <c r="AE18" s="276" t="e">
        <f t="shared" ca="1" si="7"/>
        <v>#NUM!</v>
      </c>
      <c r="AF18" s="277" t="e">
        <f t="shared" ca="1" si="7"/>
        <v>#NUM!</v>
      </c>
    </row>
    <row r="19" spans="2:32">
      <c r="B19" s="233" t="e">
        <f ca="1"/>
        <v>#NUM!</v>
      </c>
      <c r="C19" s="189" t="e">
        <f ca="1"/>
        <v>#NUM!</v>
      </c>
      <c r="D19" s="239" t="e">
        <f t="shared" ca="1" si="1"/>
        <v>#NUM!</v>
      </c>
      <c r="E19" s="239" t="e">
        <f t="shared" ca="1" si="2"/>
        <v>#NUM!</v>
      </c>
      <c r="F19" s="237"/>
      <c r="G19" s="237"/>
      <c r="H19" s="184"/>
      <c r="I19" s="184"/>
      <c r="K19" s="212">
        <f ca="1"/>
        <v>-0.16532266128187514</v>
      </c>
      <c r="L19" s="275" t="e">
        <f t="shared" ca="1" si="5"/>
        <v>#NUM!</v>
      </c>
      <c r="M19" s="276" t="e">
        <f t="shared" ca="1" si="6"/>
        <v>#NUM!</v>
      </c>
      <c r="N19" s="276" t="e">
        <f t="shared" ca="1" si="6"/>
        <v>#NUM!</v>
      </c>
      <c r="O19" s="276" t="e">
        <f t="shared" ca="1" si="6"/>
        <v>#NUM!</v>
      </c>
      <c r="P19" s="276" t="e">
        <f t="shared" ca="1" si="6"/>
        <v>#NUM!</v>
      </c>
      <c r="Q19" s="276" t="e">
        <f t="shared" ca="1" si="6"/>
        <v>#NUM!</v>
      </c>
      <c r="R19" s="276" t="e">
        <f t="shared" ca="1" si="6"/>
        <v>#NUM!</v>
      </c>
      <c r="S19" s="276" t="e">
        <f t="shared" ca="1" si="6"/>
        <v>#NUM!</v>
      </c>
      <c r="T19" s="276" t="e">
        <f t="shared" ca="1" si="6"/>
        <v>#NUM!</v>
      </c>
      <c r="U19" s="276" t="e">
        <f t="shared" ca="1" si="6"/>
        <v>#NUM!</v>
      </c>
      <c r="V19" s="276" t="e">
        <f t="shared" ca="1" si="6"/>
        <v>#NUM!</v>
      </c>
      <c r="W19" s="276" t="e">
        <f t="shared" ca="1" si="6"/>
        <v>#NUM!</v>
      </c>
      <c r="X19" s="276" t="e">
        <f t="shared" ca="1" si="6"/>
        <v>#NUM!</v>
      </c>
      <c r="Y19" s="276" t="e">
        <f t="shared" ca="1" si="6"/>
        <v>#NUM!</v>
      </c>
      <c r="Z19" s="276" t="e">
        <f t="shared" ca="1" si="6"/>
        <v>#NUM!</v>
      </c>
      <c r="AA19" s="276" t="e">
        <f t="shared" ca="1" si="6"/>
        <v>#NUM!</v>
      </c>
      <c r="AB19" s="276" t="e">
        <f t="shared" ca="1" si="6"/>
        <v>#NUM!</v>
      </c>
      <c r="AC19" s="276" t="e">
        <f t="shared" ca="1" si="7"/>
        <v>#NUM!</v>
      </c>
      <c r="AD19" s="276" t="e">
        <f t="shared" ca="1" si="7"/>
        <v>#NUM!</v>
      </c>
      <c r="AE19" s="276" t="e">
        <f t="shared" ca="1" si="7"/>
        <v>#NUM!</v>
      </c>
      <c r="AF19" s="277" t="e">
        <f t="shared" ca="1" si="7"/>
        <v>#NUM!</v>
      </c>
    </row>
    <row r="20" spans="2:32">
      <c r="B20" s="233" t="e">
        <f ca="1"/>
        <v>#NUM!</v>
      </c>
      <c r="C20" s="189" t="e">
        <f ca="1"/>
        <v>#NUM!</v>
      </c>
      <c r="D20" s="239" t="e">
        <f t="shared" ca="1" si="1"/>
        <v>#NUM!</v>
      </c>
      <c r="E20" s="239" t="e">
        <f t="shared" ca="1" si="2"/>
        <v>#NUM!</v>
      </c>
      <c r="F20" s="237"/>
      <c r="G20" s="237"/>
      <c r="H20" s="184"/>
      <c r="I20" s="184"/>
      <c r="K20" s="212">
        <f ca="1"/>
        <v>-0.12580113940161433</v>
      </c>
      <c r="L20" s="275" t="e">
        <f t="shared" ca="1" si="5"/>
        <v>#NUM!</v>
      </c>
      <c r="M20" s="276" t="e">
        <f t="shared" ca="1" si="6"/>
        <v>#NUM!</v>
      </c>
      <c r="N20" s="276" t="e">
        <f t="shared" ca="1" si="6"/>
        <v>#NUM!</v>
      </c>
      <c r="O20" s="276" t="e">
        <f t="shared" ca="1" si="6"/>
        <v>#NUM!</v>
      </c>
      <c r="P20" s="276" t="e">
        <f t="shared" ca="1" si="6"/>
        <v>#NUM!</v>
      </c>
      <c r="Q20" s="276" t="e">
        <f t="shared" ca="1" si="6"/>
        <v>#NUM!</v>
      </c>
      <c r="R20" s="276" t="e">
        <f t="shared" ca="1" si="6"/>
        <v>#NUM!</v>
      </c>
      <c r="S20" s="276" t="e">
        <f t="shared" ca="1" si="6"/>
        <v>#NUM!</v>
      </c>
      <c r="T20" s="276" t="e">
        <f t="shared" ca="1" si="6"/>
        <v>#NUM!</v>
      </c>
      <c r="U20" s="276" t="e">
        <f t="shared" ca="1" si="6"/>
        <v>#NUM!</v>
      </c>
      <c r="V20" s="276" t="e">
        <f t="shared" ca="1" si="6"/>
        <v>#NUM!</v>
      </c>
      <c r="W20" s="276" t="e">
        <f t="shared" ca="1" si="6"/>
        <v>#NUM!</v>
      </c>
      <c r="X20" s="276" t="e">
        <f t="shared" ca="1" si="6"/>
        <v>#NUM!</v>
      </c>
      <c r="Y20" s="276" t="e">
        <f t="shared" ca="1" si="6"/>
        <v>#NUM!</v>
      </c>
      <c r="Z20" s="276" t="e">
        <f t="shared" ca="1" si="6"/>
        <v>#NUM!</v>
      </c>
      <c r="AA20" s="276" t="e">
        <f t="shared" ca="1" si="6"/>
        <v>#NUM!</v>
      </c>
      <c r="AB20" s="276" t="e">
        <f t="shared" ca="1" si="6"/>
        <v>#NUM!</v>
      </c>
      <c r="AC20" s="276" t="e">
        <f t="shared" ca="1" si="7"/>
        <v>#NUM!</v>
      </c>
      <c r="AD20" s="276" t="e">
        <f t="shared" ca="1" si="7"/>
        <v>#NUM!</v>
      </c>
      <c r="AE20" s="276" t="e">
        <f t="shared" ca="1" si="7"/>
        <v>#NUM!</v>
      </c>
      <c r="AF20" s="277" t="e">
        <f t="shared" ca="1" si="7"/>
        <v>#NUM!</v>
      </c>
    </row>
    <row r="21" spans="2:32">
      <c r="B21" s="233" t="e">
        <f ca="1"/>
        <v>#NUM!</v>
      </c>
      <c r="C21" s="189" t="e">
        <f ca="1"/>
        <v>#NUM!</v>
      </c>
      <c r="D21" s="239" t="e">
        <f t="shared" ca="1" si="1"/>
        <v>#NUM!</v>
      </c>
      <c r="E21" s="239" t="e">
        <f t="shared" ca="1" si="2"/>
        <v>#NUM!</v>
      </c>
      <c r="F21" s="237"/>
      <c r="G21" s="237"/>
      <c r="H21" s="184"/>
      <c r="I21" s="184"/>
      <c r="K21" s="212">
        <f ca="1"/>
        <v>-8.4148318688819543E-2</v>
      </c>
      <c r="L21" s="275" t="e">
        <f t="shared" ca="1" si="5"/>
        <v>#NUM!</v>
      </c>
      <c r="M21" s="276" t="e">
        <f t="shared" ca="1" si="6"/>
        <v>#NUM!</v>
      </c>
      <c r="N21" s="276" t="e">
        <f t="shared" ca="1" si="6"/>
        <v>#NUM!</v>
      </c>
      <c r="O21" s="276" t="e">
        <f t="shared" ca="1" si="6"/>
        <v>#NUM!</v>
      </c>
      <c r="P21" s="276" t="e">
        <f t="shared" ca="1" si="6"/>
        <v>#NUM!</v>
      </c>
      <c r="Q21" s="276" t="e">
        <f t="shared" ca="1" si="6"/>
        <v>#NUM!</v>
      </c>
      <c r="R21" s="276" t="e">
        <f t="shared" ca="1" si="6"/>
        <v>#NUM!</v>
      </c>
      <c r="S21" s="276" t="e">
        <f t="shared" ca="1" si="6"/>
        <v>#NUM!</v>
      </c>
      <c r="T21" s="276" t="e">
        <f t="shared" ca="1" si="6"/>
        <v>#NUM!</v>
      </c>
      <c r="U21" s="276" t="e">
        <f t="shared" ca="1" si="6"/>
        <v>#NUM!</v>
      </c>
      <c r="V21" s="276" t="e">
        <f t="shared" ca="1" si="6"/>
        <v>#NUM!</v>
      </c>
      <c r="W21" s="276" t="e">
        <f t="shared" ca="1" si="6"/>
        <v>#NUM!</v>
      </c>
      <c r="X21" s="276" t="e">
        <f t="shared" ca="1" si="6"/>
        <v>#NUM!</v>
      </c>
      <c r="Y21" s="276" t="e">
        <f t="shared" ca="1" si="6"/>
        <v>#NUM!</v>
      </c>
      <c r="Z21" s="276" t="e">
        <f t="shared" ca="1" si="6"/>
        <v>#NUM!</v>
      </c>
      <c r="AA21" s="276" t="e">
        <f t="shared" ca="1" si="6"/>
        <v>#NUM!</v>
      </c>
      <c r="AB21" s="276" t="e">
        <f t="shared" ca="1" si="6"/>
        <v>#NUM!</v>
      </c>
      <c r="AC21" s="276" t="e">
        <f t="shared" ca="1" si="7"/>
        <v>#NUM!</v>
      </c>
      <c r="AD21" s="276" t="e">
        <f t="shared" ca="1" si="7"/>
        <v>#NUM!</v>
      </c>
      <c r="AE21" s="276" t="e">
        <f t="shared" ca="1" si="7"/>
        <v>#NUM!</v>
      </c>
      <c r="AF21" s="277" t="e">
        <f t="shared" ca="1" si="7"/>
        <v>#NUM!</v>
      </c>
    </row>
    <row r="22" spans="2:32">
      <c r="B22" s="233" t="e">
        <f ca="1"/>
        <v>#NUM!</v>
      </c>
      <c r="C22" s="189" t="e">
        <f ca="1"/>
        <v>#NUM!</v>
      </c>
      <c r="D22" s="239" t="e">
        <f t="shared" ca="1" si="1"/>
        <v>#NUM!</v>
      </c>
      <c r="E22" s="239" t="e">
        <f t="shared" ca="1" si="2"/>
        <v>#NUM!</v>
      </c>
      <c r="F22" s="237"/>
      <c r="G22" s="237"/>
      <c r="H22" s="184"/>
      <c r="I22" s="184"/>
      <c r="K22" s="212">
        <f ca="1"/>
        <v>-4.0201673366673768E-2</v>
      </c>
      <c r="L22" s="275" t="e">
        <f t="shared" ca="1" si="5"/>
        <v>#NUM!</v>
      </c>
      <c r="M22" s="276" t="e">
        <f t="shared" ca="1" si="6"/>
        <v>#NUM!</v>
      </c>
      <c r="N22" s="276" t="e">
        <f t="shared" ca="1" si="6"/>
        <v>#NUM!</v>
      </c>
      <c r="O22" s="276" t="e">
        <f t="shared" ca="1" si="6"/>
        <v>#NUM!</v>
      </c>
      <c r="P22" s="276" t="e">
        <f t="shared" ca="1" si="6"/>
        <v>#NUM!</v>
      </c>
      <c r="Q22" s="276" t="e">
        <f t="shared" ca="1" si="6"/>
        <v>#NUM!</v>
      </c>
      <c r="R22" s="276" t="e">
        <f t="shared" ca="1" si="6"/>
        <v>#NUM!</v>
      </c>
      <c r="S22" s="276" t="e">
        <f t="shared" ca="1" si="6"/>
        <v>#NUM!</v>
      </c>
      <c r="T22" s="276" t="e">
        <f t="shared" ca="1" si="6"/>
        <v>#NUM!</v>
      </c>
      <c r="U22" s="276" t="e">
        <f t="shared" ca="1" si="6"/>
        <v>#NUM!</v>
      </c>
      <c r="V22" s="276" t="e">
        <f t="shared" ca="1" si="6"/>
        <v>#NUM!</v>
      </c>
      <c r="W22" s="276" t="e">
        <f t="shared" ca="1" si="6"/>
        <v>#NUM!</v>
      </c>
      <c r="X22" s="276" t="e">
        <f t="shared" ca="1" si="6"/>
        <v>#NUM!</v>
      </c>
      <c r="Y22" s="276" t="e">
        <f t="shared" ca="1" si="6"/>
        <v>#NUM!</v>
      </c>
      <c r="Z22" s="276" t="e">
        <f t="shared" ca="1" si="6"/>
        <v>#NUM!</v>
      </c>
      <c r="AA22" s="276" t="e">
        <f t="shared" ca="1" si="6"/>
        <v>#NUM!</v>
      </c>
      <c r="AB22" s="276" t="e">
        <f t="shared" ca="1" si="6"/>
        <v>#NUM!</v>
      </c>
      <c r="AC22" s="276" t="e">
        <f t="shared" ca="1" si="7"/>
        <v>#NUM!</v>
      </c>
      <c r="AD22" s="276" t="e">
        <f t="shared" ca="1" si="7"/>
        <v>#NUM!</v>
      </c>
      <c r="AE22" s="276" t="e">
        <f t="shared" ca="1" si="7"/>
        <v>#NUM!</v>
      </c>
      <c r="AF22" s="277" t="e">
        <f t="shared" ca="1" si="7"/>
        <v>#NUM!</v>
      </c>
    </row>
    <row r="23" spans="2:32">
      <c r="B23" s="233" t="e">
        <f ca="1"/>
        <v>#NUM!</v>
      </c>
      <c r="C23" s="189" t="e">
        <f ca="1"/>
        <v>#NUM!</v>
      </c>
      <c r="D23" s="239" t="e">
        <f t="shared" ca="1" si="1"/>
        <v>#NUM!</v>
      </c>
      <c r="E23" s="239" t="e">
        <f t="shared" ca="1" si="2"/>
        <v>#NUM!</v>
      </c>
      <c r="F23" s="237"/>
      <c r="G23" s="237"/>
      <c r="H23" s="184"/>
      <c r="I23" s="184"/>
      <c r="K23" s="212">
        <f ca="1"/>
        <v>6.2057473039722269E-3</v>
      </c>
      <c r="L23" s="275" t="e">
        <f t="shared" ca="1" si="5"/>
        <v>#NUM!</v>
      </c>
      <c r="M23" s="276" t="e">
        <f t="shared" ca="1" si="6"/>
        <v>#NUM!</v>
      </c>
      <c r="N23" s="276" t="e">
        <f t="shared" ca="1" si="6"/>
        <v>#NUM!</v>
      </c>
      <c r="O23" s="276" t="e">
        <f t="shared" ca="1" si="6"/>
        <v>#NUM!</v>
      </c>
      <c r="P23" s="276" t="e">
        <f t="shared" ca="1" si="6"/>
        <v>#NUM!</v>
      </c>
      <c r="Q23" s="276" t="e">
        <f t="shared" ca="1" si="6"/>
        <v>#NUM!</v>
      </c>
      <c r="R23" s="276" t="e">
        <f t="shared" ca="1" si="6"/>
        <v>#NUM!</v>
      </c>
      <c r="S23" s="276" t="e">
        <f t="shared" ca="1" si="6"/>
        <v>#NUM!</v>
      </c>
      <c r="T23" s="276" t="e">
        <f t="shared" ca="1" si="6"/>
        <v>#NUM!</v>
      </c>
      <c r="U23" s="276" t="e">
        <f t="shared" ca="1" si="6"/>
        <v>#NUM!</v>
      </c>
      <c r="V23" s="276" t="e">
        <f t="shared" ca="1" si="6"/>
        <v>#NUM!</v>
      </c>
      <c r="W23" s="276" t="e">
        <f t="shared" ca="1" si="6"/>
        <v>#NUM!</v>
      </c>
      <c r="X23" s="276" t="e">
        <f t="shared" ca="1" si="6"/>
        <v>#NUM!</v>
      </c>
      <c r="Y23" s="276" t="e">
        <f t="shared" ca="1" si="6"/>
        <v>#NUM!</v>
      </c>
      <c r="Z23" s="276" t="e">
        <f t="shared" ca="1" si="6"/>
        <v>#NUM!</v>
      </c>
      <c r="AA23" s="276" t="e">
        <f t="shared" ca="1" si="6"/>
        <v>#NUM!</v>
      </c>
      <c r="AB23" s="276" t="e">
        <f t="shared" ca="1" si="6"/>
        <v>#NUM!</v>
      </c>
      <c r="AC23" s="276" t="e">
        <f t="shared" ca="1" si="7"/>
        <v>#NUM!</v>
      </c>
      <c r="AD23" s="276" t="e">
        <f t="shared" ca="1" si="7"/>
        <v>#NUM!</v>
      </c>
      <c r="AE23" s="276" t="e">
        <f t="shared" ca="1" si="7"/>
        <v>#NUM!</v>
      </c>
      <c r="AF23" s="277" t="e">
        <f t="shared" ca="1" si="7"/>
        <v>#NUM!</v>
      </c>
    </row>
    <row r="24" spans="2:32">
      <c r="B24" s="233" t="e">
        <f ca="1"/>
        <v>#NUM!</v>
      </c>
      <c r="C24" s="189" t="e">
        <f ca="1"/>
        <v>#NUM!</v>
      </c>
      <c r="D24" s="239" t="e">
        <f t="shared" ca="1" si="1"/>
        <v>#NUM!</v>
      </c>
      <c r="E24" s="239" t="e">
        <f t="shared" ca="1" si="2"/>
        <v>#NUM!</v>
      </c>
      <c r="F24" s="237"/>
      <c r="G24" s="237"/>
      <c r="H24" s="184"/>
      <c r="I24" s="184"/>
      <c r="K24" s="212">
        <f ca="1"/>
        <v>2.5495119918498618E-2</v>
      </c>
      <c r="L24" s="275" t="e">
        <f t="shared" ca="1" si="5"/>
        <v>#NUM!</v>
      </c>
      <c r="M24" s="276" t="e">
        <f t="shared" ca="1" si="6"/>
        <v>#NUM!</v>
      </c>
      <c r="N24" s="276" t="e">
        <f t="shared" ca="1" si="6"/>
        <v>#NUM!</v>
      </c>
      <c r="O24" s="276" t="e">
        <f t="shared" ca="1" si="6"/>
        <v>#NUM!</v>
      </c>
      <c r="P24" s="276" t="e">
        <f t="shared" ca="1" si="6"/>
        <v>#NUM!</v>
      </c>
      <c r="Q24" s="276" t="e">
        <f t="shared" ca="1" si="6"/>
        <v>#NUM!</v>
      </c>
      <c r="R24" s="276" t="e">
        <f t="shared" ca="1" si="6"/>
        <v>#NUM!</v>
      </c>
      <c r="S24" s="276" t="e">
        <f t="shared" ca="1" si="6"/>
        <v>#NUM!</v>
      </c>
      <c r="T24" s="276" t="e">
        <f t="shared" ca="1" si="6"/>
        <v>#NUM!</v>
      </c>
      <c r="U24" s="276" t="e">
        <f t="shared" ca="1" si="6"/>
        <v>#NUM!</v>
      </c>
      <c r="V24" s="276" t="e">
        <f t="shared" ca="1" si="6"/>
        <v>#NUM!</v>
      </c>
      <c r="W24" s="276" t="e">
        <f t="shared" ca="1" si="6"/>
        <v>#NUM!</v>
      </c>
      <c r="X24" s="276" t="e">
        <f t="shared" ca="1" si="6"/>
        <v>#NUM!</v>
      </c>
      <c r="Y24" s="276" t="e">
        <f t="shared" ca="1" si="6"/>
        <v>#NUM!</v>
      </c>
      <c r="Z24" s="276" t="e">
        <f t="shared" ca="1" si="6"/>
        <v>#NUM!</v>
      </c>
      <c r="AA24" s="276" t="e">
        <f t="shared" ca="1" si="6"/>
        <v>#NUM!</v>
      </c>
      <c r="AB24" s="276" t="e">
        <f t="shared" ca="1" si="6"/>
        <v>#NUM!</v>
      </c>
      <c r="AC24" s="276" t="e">
        <f t="shared" ca="1" si="7"/>
        <v>#NUM!</v>
      </c>
      <c r="AD24" s="276" t="e">
        <f t="shared" ca="1" si="7"/>
        <v>#NUM!</v>
      </c>
      <c r="AE24" s="276" t="e">
        <f t="shared" ca="1" si="7"/>
        <v>#NUM!</v>
      </c>
      <c r="AF24" s="277" t="e">
        <f t="shared" ca="1" si="7"/>
        <v>#NUM!</v>
      </c>
    </row>
    <row r="25" spans="2:32">
      <c r="B25" s="233" t="e">
        <f ca="1"/>
        <v>#NUM!</v>
      </c>
      <c r="C25" s="189" t="e">
        <f ca="1"/>
        <v>#NUM!</v>
      </c>
      <c r="D25" s="239" t="e">
        <f t="shared" ca="1" si="1"/>
        <v>#NUM!</v>
      </c>
      <c r="E25" s="239" t="e">
        <f t="shared" ca="1" si="2"/>
        <v>#NUM!</v>
      </c>
      <c r="F25" s="237"/>
      <c r="G25" s="237"/>
      <c r="H25" s="184"/>
      <c r="I25" s="184"/>
      <c r="K25" s="212">
        <f ca="1"/>
        <v>5.5240279291594363E-2</v>
      </c>
      <c r="L25" s="275" t="e">
        <f t="shared" ca="1" si="5"/>
        <v>#NUM!</v>
      </c>
      <c r="M25" s="276" t="e">
        <f t="shared" ca="1" si="6"/>
        <v>#NUM!</v>
      </c>
      <c r="N25" s="276" t="e">
        <f t="shared" ca="1" si="6"/>
        <v>#NUM!</v>
      </c>
      <c r="O25" s="276" t="e">
        <f t="shared" ca="1" si="6"/>
        <v>#NUM!</v>
      </c>
      <c r="P25" s="276" t="e">
        <f t="shared" ca="1" si="6"/>
        <v>#NUM!</v>
      </c>
      <c r="Q25" s="276" t="e">
        <f t="shared" ca="1" si="6"/>
        <v>#NUM!</v>
      </c>
      <c r="R25" s="276" t="e">
        <f t="shared" ca="1" si="6"/>
        <v>#NUM!</v>
      </c>
      <c r="S25" s="276" t="e">
        <f t="shared" ca="1" si="6"/>
        <v>#NUM!</v>
      </c>
      <c r="T25" s="276" t="e">
        <f t="shared" ca="1" si="6"/>
        <v>#NUM!</v>
      </c>
      <c r="U25" s="276" t="e">
        <f t="shared" ca="1" si="6"/>
        <v>#NUM!</v>
      </c>
      <c r="V25" s="276" t="e">
        <f t="shared" ca="1" si="6"/>
        <v>#NUM!</v>
      </c>
      <c r="W25" s="276" t="e">
        <f t="shared" ca="1" si="6"/>
        <v>#NUM!</v>
      </c>
      <c r="X25" s="276" t="e">
        <f t="shared" ca="1" si="6"/>
        <v>#NUM!</v>
      </c>
      <c r="Y25" s="276" t="e">
        <f t="shared" ca="1" si="6"/>
        <v>#NUM!</v>
      </c>
      <c r="Z25" s="276" t="e">
        <f t="shared" ca="1" si="6"/>
        <v>#NUM!</v>
      </c>
      <c r="AA25" s="276" t="e">
        <f t="shared" ca="1" si="6"/>
        <v>#NUM!</v>
      </c>
      <c r="AB25" s="276" t="e">
        <f t="shared" ca="1" si="6"/>
        <v>#NUM!</v>
      </c>
      <c r="AC25" s="276" t="e">
        <f t="shared" ca="1" si="7"/>
        <v>#NUM!</v>
      </c>
      <c r="AD25" s="276" t="e">
        <f t="shared" ca="1" si="7"/>
        <v>#NUM!</v>
      </c>
      <c r="AE25" s="276" t="e">
        <f t="shared" ca="1" si="7"/>
        <v>#NUM!</v>
      </c>
      <c r="AF25" s="277" t="e">
        <f t="shared" ca="1" si="7"/>
        <v>#NUM!</v>
      </c>
    </row>
    <row r="26" spans="2:32">
      <c r="B26" s="233" t="e">
        <f ca="1"/>
        <v>#NUM!</v>
      </c>
      <c r="C26" s="189" t="e">
        <f ca="1"/>
        <v>#NUM!</v>
      </c>
      <c r="D26" s="239" t="e">
        <f t="shared" ca="1" si="1"/>
        <v>#NUM!</v>
      </c>
      <c r="E26" s="239" t="e">
        <f t="shared" ca="1" si="2"/>
        <v>#NUM!</v>
      </c>
      <c r="F26" s="237"/>
      <c r="G26" s="237"/>
      <c r="H26" s="184"/>
      <c r="I26" s="184"/>
      <c r="K26" s="212">
        <f ca="1"/>
        <v>0.10706333677515142</v>
      </c>
      <c r="L26" s="275" t="e">
        <f t="shared" ca="1" si="5"/>
        <v>#NUM!</v>
      </c>
      <c r="M26" s="276" t="e">
        <f t="shared" ca="1" si="6"/>
        <v>#NUM!</v>
      </c>
      <c r="N26" s="276" t="e">
        <f t="shared" ca="1" si="6"/>
        <v>#NUM!</v>
      </c>
      <c r="O26" s="276" t="e">
        <f t="shared" ca="1" si="6"/>
        <v>#NUM!</v>
      </c>
      <c r="P26" s="276" t="e">
        <f t="shared" ca="1" si="6"/>
        <v>#NUM!</v>
      </c>
      <c r="Q26" s="276" t="e">
        <f t="shared" ca="1" si="6"/>
        <v>#NUM!</v>
      </c>
      <c r="R26" s="276" t="e">
        <f t="shared" ca="1" si="6"/>
        <v>#NUM!</v>
      </c>
      <c r="S26" s="276" t="e">
        <f t="shared" ca="1" si="6"/>
        <v>#NUM!</v>
      </c>
      <c r="T26" s="276" t="e">
        <f t="shared" ca="1" si="6"/>
        <v>#NUM!</v>
      </c>
      <c r="U26" s="276" t="e">
        <f t="shared" ca="1" si="6"/>
        <v>#NUM!</v>
      </c>
      <c r="V26" s="276" t="e">
        <f t="shared" ca="1" si="6"/>
        <v>#NUM!</v>
      </c>
      <c r="W26" s="276" t="e">
        <f t="shared" ca="1" si="6"/>
        <v>#NUM!</v>
      </c>
      <c r="X26" s="276" t="e">
        <f t="shared" ca="1" si="6"/>
        <v>#NUM!</v>
      </c>
      <c r="Y26" s="276" t="e">
        <f t="shared" ca="1" si="6"/>
        <v>#NUM!</v>
      </c>
      <c r="Z26" s="276" t="e">
        <f t="shared" ca="1" si="6"/>
        <v>#NUM!</v>
      </c>
      <c r="AA26" s="276" t="e">
        <f t="shared" ca="1" si="6"/>
        <v>#NUM!</v>
      </c>
      <c r="AB26" s="276" t="e">
        <f t="shared" ca="1" si="6"/>
        <v>#NUM!</v>
      </c>
      <c r="AC26" s="276" t="e">
        <f t="shared" ca="1" si="7"/>
        <v>#NUM!</v>
      </c>
      <c r="AD26" s="276" t="e">
        <f t="shared" ca="1" si="7"/>
        <v>#NUM!</v>
      </c>
      <c r="AE26" s="276" t="e">
        <f t="shared" ca="1" si="7"/>
        <v>#NUM!</v>
      </c>
      <c r="AF26" s="277" t="e">
        <f t="shared" ca="1" si="7"/>
        <v>#NUM!</v>
      </c>
    </row>
    <row r="27" spans="2:32">
      <c r="B27" s="233" t="e">
        <f ca="1"/>
        <v>#NUM!</v>
      </c>
      <c r="C27" s="189" t="e">
        <f ca="1"/>
        <v>#NUM!</v>
      </c>
      <c r="D27" s="239" t="e">
        <f t="shared" ca="1" si="1"/>
        <v>#NUM!</v>
      </c>
      <c r="E27" s="239" t="e">
        <f t="shared" ca="1" si="2"/>
        <v>#NUM!</v>
      </c>
      <c r="F27" s="237"/>
      <c r="G27" s="237"/>
      <c r="H27" s="184"/>
      <c r="I27" s="184"/>
      <c r="K27" s="212">
        <f ca="1"/>
        <v>0.16182888011972479</v>
      </c>
      <c r="L27" s="275" t="e">
        <f t="shared" ca="1" si="5"/>
        <v>#NUM!</v>
      </c>
      <c r="M27" s="276" t="e">
        <f t="shared" ca="1" si="6"/>
        <v>#NUM!</v>
      </c>
      <c r="N27" s="276" t="e">
        <f t="shared" ca="1" si="6"/>
        <v>#NUM!</v>
      </c>
      <c r="O27" s="276" t="e">
        <f t="shared" ca="1" si="6"/>
        <v>#NUM!</v>
      </c>
      <c r="P27" s="276" t="e">
        <f t="shared" ca="1" si="6"/>
        <v>#NUM!</v>
      </c>
      <c r="Q27" s="276" t="e">
        <f t="shared" ca="1" si="6"/>
        <v>#NUM!</v>
      </c>
      <c r="R27" s="276" t="e">
        <f t="shared" ca="1" si="6"/>
        <v>#NUM!</v>
      </c>
      <c r="S27" s="276" t="e">
        <f t="shared" ca="1" si="6"/>
        <v>#NUM!</v>
      </c>
      <c r="T27" s="276" t="e">
        <f t="shared" ca="1" si="6"/>
        <v>#NUM!</v>
      </c>
      <c r="U27" s="276" t="e">
        <f t="shared" ca="1" si="6"/>
        <v>#NUM!</v>
      </c>
      <c r="V27" s="276" t="e">
        <f t="shared" ca="1" si="6"/>
        <v>#NUM!</v>
      </c>
      <c r="W27" s="276" t="e">
        <f t="shared" ca="1" si="6"/>
        <v>#NUM!</v>
      </c>
      <c r="X27" s="276" t="e">
        <f t="shared" ca="1" si="6"/>
        <v>#NUM!</v>
      </c>
      <c r="Y27" s="276" t="e">
        <f t="shared" ca="1" si="6"/>
        <v>#NUM!</v>
      </c>
      <c r="Z27" s="276" t="e">
        <f t="shared" ca="1" si="6"/>
        <v>#NUM!</v>
      </c>
      <c r="AA27" s="276" t="e">
        <f t="shared" ca="1" si="6"/>
        <v>#NUM!</v>
      </c>
      <c r="AB27" s="276" t="e">
        <f t="shared" ca="1" si="6"/>
        <v>#NUM!</v>
      </c>
      <c r="AC27" s="276" t="e">
        <f t="shared" ca="1" si="7"/>
        <v>#NUM!</v>
      </c>
      <c r="AD27" s="276" t="e">
        <f t="shared" ca="1" si="7"/>
        <v>#NUM!</v>
      </c>
      <c r="AE27" s="276" t="e">
        <f t="shared" ca="1" si="7"/>
        <v>#NUM!</v>
      </c>
      <c r="AF27" s="277" t="e">
        <f t="shared" ca="1" si="7"/>
        <v>#NUM!</v>
      </c>
    </row>
    <row r="28" spans="2:32">
      <c r="B28" s="233" t="e">
        <f ca="1"/>
        <v>#NUM!</v>
      </c>
      <c r="C28" s="189" t="e">
        <f ca="1"/>
        <v>#NUM!</v>
      </c>
      <c r="D28" s="239" t="e">
        <f t="shared" ca="1" si="1"/>
        <v>#NUM!</v>
      </c>
      <c r="E28" s="239" t="e">
        <f t="shared" ca="1" si="2"/>
        <v>#NUM!</v>
      </c>
      <c r="F28" s="237"/>
      <c r="G28" s="237"/>
      <c r="H28" s="184"/>
      <c r="I28" s="184"/>
      <c r="K28" s="212">
        <f ca="1"/>
        <v>0.21968319630069671</v>
      </c>
      <c r="L28" s="275" t="e">
        <f t="shared" ca="1" si="5"/>
        <v>#NUM!</v>
      </c>
      <c r="M28" s="276" t="e">
        <f t="shared" ca="1" si="6"/>
        <v>#NUM!</v>
      </c>
      <c r="N28" s="276" t="e">
        <f t="shared" ca="1" si="6"/>
        <v>#NUM!</v>
      </c>
      <c r="O28" s="276" t="e">
        <f t="shared" ca="1" si="6"/>
        <v>#NUM!</v>
      </c>
      <c r="P28" s="276" t="e">
        <f t="shared" ca="1" si="6"/>
        <v>#NUM!</v>
      </c>
      <c r="Q28" s="276" t="e">
        <f t="shared" ca="1" si="6"/>
        <v>#NUM!</v>
      </c>
      <c r="R28" s="276" t="e">
        <f t="shared" ca="1" si="6"/>
        <v>#NUM!</v>
      </c>
      <c r="S28" s="276" t="e">
        <f t="shared" ca="1" si="6"/>
        <v>#NUM!</v>
      </c>
      <c r="T28" s="276" t="e">
        <f t="shared" ca="1" si="6"/>
        <v>#NUM!</v>
      </c>
      <c r="U28" s="276" t="e">
        <f t="shared" ca="1" si="6"/>
        <v>#NUM!</v>
      </c>
      <c r="V28" s="276" t="e">
        <f t="shared" ca="1" si="6"/>
        <v>#NUM!</v>
      </c>
      <c r="W28" s="276" t="e">
        <f t="shared" ca="1" si="6"/>
        <v>#NUM!</v>
      </c>
      <c r="X28" s="276" t="e">
        <f t="shared" ca="1" si="6"/>
        <v>#NUM!</v>
      </c>
      <c r="Y28" s="276" t="e">
        <f t="shared" ca="1" si="6"/>
        <v>#NUM!</v>
      </c>
      <c r="Z28" s="276" t="e">
        <f t="shared" ca="1" si="6"/>
        <v>#NUM!</v>
      </c>
      <c r="AA28" s="276" t="e">
        <f t="shared" ca="1" si="6"/>
        <v>#NUM!</v>
      </c>
      <c r="AB28" s="276" t="e">
        <f t="shared" ref="AB28:AB36" ca="1" si="8">AB$10*($K28-$L$5)+AB$11/$L$6</f>
        <v>#NUM!</v>
      </c>
      <c r="AC28" s="276" t="e">
        <f t="shared" ca="1" si="7"/>
        <v>#NUM!</v>
      </c>
      <c r="AD28" s="276" t="e">
        <f t="shared" ca="1" si="7"/>
        <v>#NUM!</v>
      </c>
      <c r="AE28" s="276" t="e">
        <f t="shared" ca="1" si="7"/>
        <v>#NUM!</v>
      </c>
      <c r="AF28" s="277" t="e">
        <f t="shared" ca="1" si="7"/>
        <v>#NUM!</v>
      </c>
    </row>
    <row r="29" spans="2:32">
      <c r="B29" s="233" t="e">
        <f ca="1"/>
        <v>#NUM!</v>
      </c>
      <c r="C29" s="189" t="e">
        <f ca="1"/>
        <v>#NUM!</v>
      </c>
      <c r="D29" s="239" t="e">
        <f t="shared" ca="1" si="1"/>
        <v>#NUM!</v>
      </c>
      <c r="E29" s="239" t="e">
        <f t="shared" ca="1" si="2"/>
        <v>#NUM!</v>
      </c>
      <c r="F29" s="237"/>
      <c r="G29" s="237"/>
      <c r="H29" s="184"/>
      <c r="I29" s="184"/>
      <c r="K29" s="212">
        <f ca="1"/>
        <v>0.2807668533753056</v>
      </c>
      <c r="L29" s="275" t="e">
        <f t="shared" ca="1" si="5"/>
        <v>#NUM!</v>
      </c>
      <c r="M29" s="276" t="e">
        <f t="shared" ref="M29:AA29" ca="1" si="9">M$10*($K29-$L$5)+M$11/$L$6</f>
        <v>#NUM!</v>
      </c>
      <c r="N29" s="276" t="e">
        <f t="shared" ca="1" si="9"/>
        <v>#NUM!</v>
      </c>
      <c r="O29" s="276" t="e">
        <f t="shared" ca="1" si="9"/>
        <v>#NUM!</v>
      </c>
      <c r="P29" s="276" t="e">
        <f t="shared" ca="1" si="9"/>
        <v>#NUM!</v>
      </c>
      <c r="Q29" s="276" t="e">
        <f t="shared" ca="1" si="9"/>
        <v>#NUM!</v>
      </c>
      <c r="R29" s="276" t="e">
        <f t="shared" ca="1" si="9"/>
        <v>#NUM!</v>
      </c>
      <c r="S29" s="276" t="e">
        <f t="shared" ca="1" si="9"/>
        <v>#NUM!</v>
      </c>
      <c r="T29" s="276" t="e">
        <f t="shared" ca="1" si="9"/>
        <v>#NUM!</v>
      </c>
      <c r="U29" s="276" t="e">
        <f t="shared" ca="1" si="9"/>
        <v>#NUM!</v>
      </c>
      <c r="V29" s="276" t="e">
        <f t="shared" ca="1" si="9"/>
        <v>#NUM!</v>
      </c>
      <c r="W29" s="276" t="e">
        <f t="shared" ca="1" si="9"/>
        <v>#NUM!</v>
      </c>
      <c r="X29" s="276" t="e">
        <f t="shared" ca="1" si="9"/>
        <v>#NUM!</v>
      </c>
      <c r="Y29" s="276" t="e">
        <f t="shared" ca="1" si="9"/>
        <v>#NUM!</v>
      </c>
      <c r="Z29" s="276" t="e">
        <f t="shared" ca="1" si="9"/>
        <v>#NUM!</v>
      </c>
      <c r="AA29" s="276" t="e">
        <f t="shared" ca="1" si="9"/>
        <v>#NUM!</v>
      </c>
      <c r="AB29" s="276" t="e">
        <f t="shared" ca="1" si="8"/>
        <v>#NUM!</v>
      </c>
      <c r="AC29" s="276" t="e">
        <f t="shared" ca="1" si="7"/>
        <v>#NUM!</v>
      </c>
      <c r="AD29" s="276" t="e">
        <f t="shared" ca="1" si="7"/>
        <v>#NUM!</v>
      </c>
      <c r="AE29" s="276" t="e">
        <f t="shared" ca="1" si="7"/>
        <v>#NUM!</v>
      </c>
      <c r="AF29" s="277" t="e">
        <f t="shared" ca="1" si="7"/>
        <v>#NUM!</v>
      </c>
    </row>
    <row r="30" spans="2:32">
      <c r="B30" s="233" t="e">
        <f ca="1"/>
        <v>#NUM!</v>
      </c>
      <c r="C30" s="189" t="e">
        <f ca="1"/>
        <v>#NUM!</v>
      </c>
      <c r="D30" s="239" t="e">
        <f t="shared" ca="1" si="1"/>
        <v>#NUM!</v>
      </c>
      <c r="E30" s="239" t="e">
        <f t="shared" ca="1" si="2"/>
        <v>#NUM!</v>
      </c>
      <c r="F30" s="237"/>
      <c r="G30" s="237"/>
      <c r="H30" s="184"/>
      <c r="I30" s="184"/>
      <c r="K30" s="212">
        <f ca="1"/>
        <v>0.3452181457600097</v>
      </c>
      <c r="L30" s="275" t="e">
        <f t="shared" ref="L30:AA36" ca="1" si="10">L$10*($K30-$L$5)+L$11/$L$6</f>
        <v>#NUM!</v>
      </c>
      <c r="M30" s="276" t="e">
        <f t="shared" ca="1" si="10"/>
        <v>#NUM!</v>
      </c>
      <c r="N30" s="276" t="e">
        <f t="shared" ca="1" si="10"/>
        <v>#NUM!</v>
      </c>
      <c r="O30" s="276" t="e">
        <f t="shared" ca="1" si="10"/>
        <v>#NUM!</v>
      </c>
      <c r="P30" s="276" t="e">
        <f t="shared" ca="1" si="10"/>
        <v>#NUM!</v>
      </c>
      <c r="Q30" s="276" t="e">
        <f t="shared" ca="1" si="10"/>
        <v>#NUM!</v>
      </c>
      <c r="R30" s="276" t="e">
        <f t="shared" ca="1" si="10"/>
        <v>#NUM!</v>
      </c>
      <c r="S30" s="276" t="e">
        <f t="shared" ca="1" si="10"/>
        <v>#NUM!</v>
      </c>
      <c r="T30" s="276" t="e">
        <f t="shared" ca="1" si="10"/>
        <v>#NUM!</v>
      </c>
      <c r="U30" s="276" t="e">
        <f t="shared" ca="1" si="10"/>
        <v>#NUM!</v>
      </c>
      <c r="V30" s="276" t="e">
        <f t="shared" ca="1" si="10"/>
        <v>#NUM!</v>
      </c>
      <c r="W30" s="276" t="e">
        <f t="shared" ca="1" si="10"/>
        <v>#NUM!</v>
      </c>
      <c r="X30" s="276" t="e">
        <f t="shared" ca="1" si="10"/>
        <v>#NUM!</v>
      </c>
      <c r="Y30" s="276" t="e">
        <f t="shared" ca="1" si="10"/>
        <v>#NUM!</v>
      </c>
      <c r="Z30" s="276" t="e">
        <f t="shared" ca="1" si="10"/>
        <v>#NUM!</v>
      </c>
      <c r="AA30" s="276" t="e">
        <f t="shared" ca="1" si="10"/>
        <v>#NUM!</v>
      </c>
      <c r="AB30" s="276" t="e">
        <f t="shared" ca="1" si="8"/>
        <v>#NUM!</v>
      </c>
      <c r="AC30" s="276" t="e">
        <f t="shared" ca="1" si="7"/>
        <v>#NUM!</v>
      </c>
      <c r="AD30" s="276" t="e">
        <f t="shared" ca="1" si="7"/>
        <v>#NUM!</v>
      </c>
      <c r="AE30" s="276" t="e">
        <f t="shared" ca="1" si="7"/>
        <v>#NUM!</v>
      </c>
      <c r="AF30" s="277" t="e">
        <f t="shared" ca="1" si="7"/>
        <v>#NUM!</v>
      </c>
    </row>
    <row r="31" spans="2:32">
      <c r="B31" s="233" t="e">
        <f ca="1"/>
        <v>#NUM!</v>
      </c>
      <c r="C31" s="189" t="e">
        <f ca="1"/>
        <v>#NUM!</v>
      </c>
      <c r="D31" s="239" t="e">
        <f t="shared" ca="1" si="1"/>
        <v>#NUM!</v>
      </c>
      <c r="E31" s="239" t="e">
        <f t="shared" ca="1" si="2"/>
        <v>#NUM!</v>
      </c>
      <c r="F31" s="237"/>
      <c r="G31" s="237"/>
      <c r="H31" s="184"/>
      <c r="I31" s="184"/>
      <c r="K31" s="212">
        <f ca="1"/>
        <v>0.41317712879134511</v>
      </c>
      <c r="L31" s="275" t="e">
        <f t="shared" ca="1" si="10"/>
        <v>#NUM!</v>
      </c>
      <c r="M31" s="276" t="e">
        <f t="shared" ca="1" si="10"/>
        <v>#NUM!</v>
      </c>
      <c r="N31" s="276" t="e">
        <f t="shared" ca="1" si="10"/>
        <v>#NUM!</v>
      </c>
      <c r="O31" s="276" t="e">
        <f t="shared" ca="1" si="10"/>
        <v>#NUM!</v>
      </c>
      <c r="P31" s="276" t="e">
        <f t="shared" ca="1" si="10"/>
        <v>#NUM!</v>
      </c>
      <c r="Q31" s="276" t="e">
        <f t="shared" ca="1" si="10"/>
        <v>#NUM!</v>
      </c>
      <c r="R31" s="276" t="e">
        <f t="shared" ca="1" si="10"/>
        <v>#NUM!</v>
      </c>
      <c r="S31" s="276" t="e">
        <f t="shared" ca="1" si="10"/>
        <v>#NUM!</v>
      </c>
      <c r="T31" s="276" t="e">
        <f t="shared" ca="1" si="10"/>
        <v>#NUM!</v>
      </c>
      <c r="U31" s="276" t="e">
        <f t="shared" ca="1" si="10"/>
        <v>#NUM!</v>
      </c>
      <c r="V31" s="276" t="e">
        <f t="shared" ca="1" si="10"/>
        <v>#NUM!</v>
      </c>
      <c r="W31" s="276" t="e">
        <f t="shared" ca="1" si="10"/>
        <v>#NUM!</v>
      </c>
      <c r="X31" s="276" t="e">
        <f t="shared" ca="1" si="10"/>
        <v>#NUM!</v>
      </c>
      <c r="Y31" s="276" t="e">
        <f t="shared" ca="1" si="10"/>
        <v>#NUM!</v>
      </c>
      <c r="Z31" s="276" t="e">
        <f t="shared" ca="1" si="10"/>
        <v>#NUM!</v>
      </c>
      <c r="AA31" s="276" t="e">
        <f t="shared" ca="1" si="10"/>
        <v>#NUM!</v>
      </c>
      <c r="AB31" s="276" t="e">
        <f t="shared" ca="1" si="8"/>
        <v>#NUM!</v>
      </c>
      <c r="AC31" s="276" t="e">
        <f t="shared" ca="1" si="7"/>
        <v>#NUM!</v>
      </c>
      <c r="AD31" s="276" t="e">
        <f t="shared" ca="1" si="7"/>
        <v>#NUM!</v>
      </c>
      <c r="AE31" s="276" t="e">
        <f t="shared" ca="1" si="7"/>
        <v>#NUM!</v>
      </c>
      <c r="AF31" s="277" t="e">
        <f t="shared" ca="1" si="7"/>
        <v>#NUM!</v>
      </c>
    </row>
    <row r="32" spans="2:32">
      <c r="B32" s="233" t="e">
        <f ca="1"/>
        <v>#NUM!</v>
      </c>
      <c r="C32" s="189" t="e">
        <f ca="1"/>
        <v>#NUM!</v>
      </c>
      <c r="D32" s="239" t="e">
        <f t="shared" ca="1" si="1"/>
        <v>#NUM!</v>
      </c>
      <c r="E32" s="239" t="e">
        <f t="shared" ca="1" si="2"/>
        <v>#NUM!</v>
      </c>
      <c r="F32" s="237"/>
      <c r="G32" s="237"/>
      <c r="H32" s="184"/>
      <c r="I32" s="184"/>
      <c r="K32" s="212">
        <f ca="1"/>
        <v>0.48478945099450538</v>
      </c>
      <c r="L32" s="275" t="e">
        <f t="shared" ca="1" si="10"/>
        <v>#NUM!</v>
      </c>
      <c r="M32" s="276" t="e">
        <f t="shared" ca="1" si="10"/>
        <v>#NUM!</v>
      </c>
      <c r="N32" s="276" t="e">
        <f t="shared" ca="1" si="10"/>
        <v>#NUM!</v>
      </c>
      <c r="O32" s="276" t="e">
        <f t="shared" ca="1" si="10"/>
        <v>#NUM!</v>
      </c>
      <c r="P32" s="276" t="e">
        <f t="shared" ca="1" si="10"/>
        <v>#NUM!</v>
      </c>
      <c r="Q32" s="276" t="e">
        <f t="shared" ca="1" si="10"/>
        <v>#NUM!</v>
      </c>
      <c r="R32" s="276" t="e">
        <f t="shared" ca="1" si="10"/>
        <v>#NUM!</v>
      </c>
      <c r="S32" s="276" t="e">
        <f t="shared" ca="1" si="10"/>
        <v>#NUM!</v>
      </c>
      <c r="T32" s="276" t="e">
        <f t="shared" ca="1" si="10"/>
        <v>#NUM!</v>
      </c>
      <c r="U32" s="276" t="e">
        <f t="shared" ca="1" si="10"/>
        <v>#NUM!</v>
      </c>
      <c r="V32" s="276" t="e">
        <f t="shared" ca="1" si="10"/>
        <v>#NUM!</v>
      </c>
      <c r="W32" s="276" t="e">
        <f t="shared" ca="1" si="10"/>
        <v>#NUM!</v>
      </c>
      <c r="X32" s="276" t="e">
        <f t="shared" ca="1" si="10"/>
        <v>#NUM!</v>
      </c>
      <c r="Y32" s="276" t="e">
        <f t="shared" ca="1" si="10"/>
        <v>#NUM!</v>
      </c>
      <c r="Z32" s="276" t="e">
        <f t="shared" ca="1" si="10"/>
        <v>#NUM!</v>
      </c>
      <c r="AA32" s="276" t="e">
        <f t="shared" ca="1" si="10"/>
        <v>#NUM!</v>
      </c>
      <c r="AB32" s="276" t="e">
        <f t="shared" ca="1" si="8"/>
        <v>#NUM!</v>
      </c>
      <c r="AC32" s="276" t="e">
        <f t="shared" ca="1" si="7"/>
        <v>#NUM!</v>
      </c>
      <c r="AD32" s="276" t="e">
        <f t="shared" ca="1" si="7"/>
        <v>#NUM!</v>
      </c>
      <c r="AE32" s="276" t="e">
        <f t="shared" ca="1" si="7"/>
        <v>#NUM!</v>
      </c>
      <c r="AF32" s="277" t="e">
        <f t="shared" ca="1" si="7"/>
        <v>#NUM!</v>
      </c>
    </row>
    <row r="33" spans="2:32">
      <c r="B33" s="233" t="e">
        <f ca="1"/>
        <v>#NUM!</v>
      </c>
      <c r="C33" s="189" t="e">
        <f ca="1"/>
        <v>#NUM!</v>
      </c>
      <c r="D33" s="239" t="e">
        <f t="shared" ca="1" si="1"/>
        <v>#NUM!</v>
      </c>
      <c r="E33" s="239" t="e">
        <f t="shared" ca="1" si="2"/>
        <v>#NUM!</v>
      </c>
      <c r="F33" s="237"/>
      <c r="G33" s="237"/>
      <c r="H33" s="184"/>
      <c r="I33" s="184"/>
      <c r="K33" s="213">
        <f ca="1"/>
        <v>0.5015806018338631</v>
      </c>
      <c r="L33" s="278" t="e">
        <f t="shared" ca="1" si="10"/>
        <v>#NUM!</v>
      </c>
      <c r="M33" s="279" t="e">
        <f t="shared" ca="1" si="10"/>
        <v>#NUM!</v>
      </c>
      <c r="N33" s="279" t="e">
        <f t="shared" ca="1" si="10"/>
        <v>#NUM!</v>
      </c>
      <c r="O33" s="279" t="e">
        <f t="shared" ca="1" si="10"/>
        <v>#NUM!</v>
      </c>
      <c r="P33" s="279" t="e">
        <f t="shared" ca="1" si="10"/>
        <v>#NUM!</v>
      </c>
      <c r="Q33" s="279" t="e">
        <f t="shared" ca="1" si="10"/>
        <v>#NUM!</v>
      </c>
      <c r="R33" s="279" t="e">
        <f t="shared" ca="1" si="10"/>
        <v>#NUM!</v>
      </c>
      <c r="S33" s="279" t="e">
        <f t="shared" ca="1" si="10"/>
        <v>#NUM!</v>
      </c>
      <c r="T33" s="279" t="e">
        <f t="shared" ca="1" si="10"/>
        <v>#NUM!</v>
      </c>
      <c r="U33" s="279" t="e">
        <f t="shared" ca="1" si="10"/>
        <v>#NUM!</v>
      </c>
      <c r="V33" s="279" t="e">
        <f t="shared" ca="1" si="10"/>
        <v>#NUM!</v>
      </c>
      <c r="W33" s="279" t="e">
        <f t="shared" ca="1" si="10"/>
        <v>#NUM!</v>
      </c>
      <c r="X33" s="279" t="e">
        <f t="shared" ca="1" si="10"/>
        <v>#NUM!</v>
      </c>
      <c r="Y33" s="279" t="e">
        <f t="shared" ca="1" si="10"/>
        <v>#NUM!</v>
      </c>
      <c r="Z33" s="279" t="e">
        <f t="shared" ca="1" si="10"/>
        <v>#NUM!</v>
      </c>
      <c r="AA33" s="279" t="e">
        <f t="shared" ca="1" si="10"/>
        <v>#NUM!</v>
      </c>
      <c r="AB33" s="279" t="e">
        <f t="shared" ca="1" si="8"/>
        <v>#NUM!</v>
      </c>
      <c r="AC33" s="279" t="e">
        <f t="shared" ca="1" si="7"/>
        <v>#NUM!</v>
      </c>
      <c r="AD33" s="279" t="e">
        <f t="shared" ca="1" si="7"/>
        <v>#NUM!</v>
      </c>
      <c r="AE33" s="279" t="e">
        <f t="shared" ca="1" si="7"/>
        <v>#NUM!</v>
      </c>
      <c r="AF33" s="280" t="e">
        <f t="shared" ca="1" si="7"/>
        <v>#NUM!</v>
      </c>
    </row>
    <row r="34" spans="2:32">
      <c r="B34" s="233" t="e">
        <f ca="1"/>
        <v>#NUM!</v>
      </c>
      <c r="C34" s="189" t="e">
        <f ca="1"/>
        <v>#NUM!</v>
      </c>
      <c r="D34" s="239" t="e">
        <f t="shared" ca="1" si="1"/>
        <v>#NUM!</v>
      </c>
      <c r="E34" s="239" t="e">
        <f t="shared" ca="1" si="2"/>
        <v>#NUM!</v>
      </c>
      <c r="F34" s="237"/>
      <c r="G34" s="237"/>
      <c r="H34" s="184"/>
      <c r="I34" s="184"/>
      <c r="K34" s="218">
        <f ca="1"/>
        <v>-9.8795850186769063E-2</v>
      </c>
      <c r="L34" s="281" t="e">
        <f t="shared" ca="1" si="10"/>
        <v>#NUM!</v>
      </c>
      <c r="M34" s="282" t="e">
        <f t="shared" ca="1" si="10"/>
        <v>#NUM!</v>
      </c>
      <c r="N34" s="282" t="e">
        <f t="shared" ca="1" si="10"/>
        <v>#NUM!</v>
      </c>
      <c r="O34" s="282" t="e">
        <f t="shared" ca="1" si="10"/>
        <v>#NUM!</v>
      </c>
      <c r="P34" s="282" t="e">
        <f t="shared" ca="1" si="10"/>
        <v>#NUM!</v>
      </c>
      <c r="Q34" s="282" t="e">
        <f t="shared" ca="1" si="10"/>
        <v>#NUM!</v>
      </c>
      <c r="R34" s="282" t="e">
        <f t="shared" ca="1" si="10"/>
        <v>#NUM!</v>
      </c>
      <c r="S34" s="282" t="e">
        <f t="shared" ca="1" si="10"/>
        <v>#NUM!</v>
      </c>
      <c r="T34" s="282" t="e">
        <f t="shared" ca="1" si="10"/>
        <v>#NUM!</v>
      </c>
      <c r="U34" s="282" t="e">
        <f t="shared" ca="1" si="10"/>
        <v>#NUM!</v>
      </c>
      <c r="V34" s="282" t="e">
        <f t="shared" ca="1" si="10"/>
        <v>#NUM!</v>
      </c>
      <c r="W34" s="282" t="e">
        <f t="shared" ca="1" si="10"/>
        <v>#NUM!</v>
      </c>
      <c r="X34" s="282" t="e">
        <f t="shared" ca="1" si="10"/>
        <v>#NUM!</v>
      </c>
      <c r="Y34" s="282" t="e">
        <f t="shared" ca="1" si="10"/>
        <v>#NUM!</v>
      </c>
      <c r="Z34" s="282" t="e">
        <f t="shared" ca="1" si="10"/>
        <v>#NUM!</v>
      </c>
      <c r="AA34" s="282" t="e">
        <f t="shared" ca="1" si="10"/>
        <v>#NUM!</v>
      </c>
      <c r="AB34" s="282" t="e">
        <f t="shared" ca="1" si="8"/>
        <v>#NUM!</v>
      </c>
      <c r="AC34" s="282" t="e">
        <f t="shared" ca="1" si="7"/>
        <v>#NUM!</v>
      </c>
      <c r="AD34" s="282" t="e">
        <f t="shared" ca="1" si="7"/>
        <v>#NUM!</v>
      </c>
      <c r="AE34" s="282" t="e">
        <f t="shared" ca="1" si="7"/>
        <v>#NUM!</v>
      </c>
      <c r="AF34" s="283" t="e">
        <f t="shared" ca="1" si="7"/>
        <v>#NUM!</v>
      </c>
    </row>
    <row r="35" spans="2:32">
      <c r="B35" s="233" t="e">
        <f ca="1"/>
        <v>#NUM!</v>
      </c>
      <c r="C35" s="189" t="e">
        <f ca="1"/>
        <v>#NUM!</v>
      </c>
      <c r="D35" s="239" t="e">
        <f t="shared" ca="1" si="1"/>
        <v>#NUM!</v>
      </c>
      <c r="E35" s="239" t="e">
        <f t="shared" ca="1" si="2"/>
        <v>#NUM!</v>
      </c>
      <c r="F35" s="237"/>
      <c r="G35" s="237"/>
      <c r="H35" s="184"/>
      <c r="I35" s="184"/>
      <c r="K35" s="214">
        <f ca="1"/>
        <v>1.7664439197916923E-2</v>
      </c>
      <c r="L35" s="284" t="e">
        <f t="shared" ca="1" si="10"/>
        <v>#NUM!</v>
      </c>
      <c r="M35" s="285" t="e">
        <f t="shared" ca="1" si="10"/>
        <v>#NUM!</v>
      </c>
      <c r="N35" s="285" t="e">
        <f t="shared" ca="1" si="10"/>
        <v>#NUM!</v>
      </c>
      <c r="O35" s="285" t="e">
        <f t="shared" ca="1" si="10"/>
        <v>#NUM!</v>
      </c>
      <c r="P35" s="285" t="e">
        <f t="shared" ca="1" si="10"/>
        <v>#NUM!</v>
      </c>
      <c r="Q35" s="285" t="e">
        <f t="shared" ca="1" si="10"/>
        <v>#NUM!</v>
      </c>
      <c r="R35" s="285" t="e">
        <f t="shared" ca="1" si="10"/>
        <v>#NUM!</v>
      </c>
      <c r="S35" s="285" t="e">
        <f t="shared" ca="1" si="10"/>
        <v>#NUM!</v>
      </c>
      <c r="T35" s="285" t="e">
        <f t="shared" ca="1" si="10"/>
        <v>#NUM!</v>
      </c>
      <c r="U35" s="285" t="e">
        <f t="shared" ca="1" si="10"/>
        <v>#NUM!</v>
      </c>
      <c r="V35" s="285" t="e">
        <f t="shared" ca="1" si="10"/>
        <v>#NUM!</v>
      </c>
      <c r="W35" s="285" t="e">
        <f t="shared" ca="1" si="10"/>
        <v>#NUM!</v>
      </c>
      <c r="X35" s="285" t="e">
        <f t="shared" ca="1" si="10"/>
        <v>#NUM!</v>
      </c>
      <c r="Y35" s="285" t="e">
        <f t="shared" ca="1" si="10"/>
        <v>#NUM!</v>
      </c>
      <c r="Z35" s="285" t="e">
        <f t="shared" ca="1" si="10"/>
        <v>#NUM!</v>
      </c>
      <c r="AA35" s="285" t="e">
        <f t="shared" ca="1" si="10"/>
        <v>#NUM!</v>
      </c>
      <c r="AB35" s="285" t="e">
        <f t="shared" ca="1" si="8"/>
        <v>#NUM!</v>
      </c>
      <c r="AC35" s="285" t="e">
        <f t="shared" ca="1" si="7"/>
        <v>#NUM!</v>
      </c>
      <c r="AD35" s="285" t="e">
        <f t="shared" ca="1" si="7"/>
        <v>#NUM!</v>
      </c>
      <c r="AE35" s="285" t="e">
        <f t="shared" ca="1" si="7"/>
        <v>#NUM!</v>
      </c>
      <c r="AF35" s="286" t="e">
        <f t="shared" ca="1" si="7"/>
        <v>#NUM!</v>
      </c>
    </row>
    <row r="36" spans="2:32">
      <c r="B36" s="233" t="e">
        <f ca="1"/>
        <v>#NUM!</v>
      </c>
      <c r="C36" s="189" t="e">
        <f ca="1"/>
        <v>#NUM!</v>
      </c>
      <c r="D36" s="239" t="e">
        <f t="shared" ca="1" si="1"/>
        <v>#NUM!</v>
      </c>
      <c r="E36" s="239" t="e">
        <f t="shared" ca="1" si="2"/>
        <v>#NUM!</v>
      </c>
      <c r="F36" s="237"/>
      <c r="G36" s="237"/>
      <c r="H36" s="184"/>
      <c r="I36" s="184"/>
      <c r="K36" s="224">
        <f ca="1"/>
        <v>0.10146196041530475</v>
      </c>
      <c r="L36" s="287" t="e">
        <f t="shared" ca="1" si="10"/>
        <v>#NUM!</v>
      </c>
      <c r="M36" s="288" t="e">
        <f t="shared" ca="1" si="10"/>
        <v>#NUM!</v>
      </c>
      <c r="N36" s="288" t="e">
        <f t="shared" ca="1" si="10"/>
        <v>#NUM!</v>
      </c>
      <c r="O36" s="288" t="e">
        <f t="shared" ca="1" si="10"/>
        <v>#NUM!</v>
      </c>
      <c r="P36" s="288" t="e">
        <f t="shared" ca="1" si="10"/>
        <v>#NUM!</v>
      </c>
      <c r="Q36" s="288" t="e">
        <f t="shared" ca="1" si="10"/>
        <v>#NUM!</v>
      </c>
      <c r="R36" s="288" t="e">
        <f t="shared" ca="1" si="10"/>
        <v>#NUM!</v>
      </c>
      <c r="S36" s="288" t="e">
        <f t="shared" ca="1" si="10"/>
        <v>#NUM!</v>
      </c>
      <c r="T36" s="288" t="e">
        <f t="shared" ca="1" si="10"/>
        <v>#NUM!</v>
      </c>
      <c r="U36" s="288" t="e">
        <f t="shared" ca="1" si="10"/>
        <v>#NUM!</v>
      </c>
      <c r="V36" s="288" t="e">
        <f t="shared" ca="1" si="10"/>
        <v>#NUM!</v>
      </c>
      <c r="W36" s="288" t="e">
        <f t="shared" ca="1" si="10"/>
        <v>#NUM!</v>
      </c>
      <c r="X36" s="288" t="e">
        <f t="shared" ca="1" si="10"/>
        <v>#NUM!</v>
      </c>
      <c r="Y36" s="288" t="e">
        <f t="shared" ca="1" si="10"/>
        <v>#NUM!</v>
      </c>
      <c r="Z36" s="288" t="e">
        <f t="shared" ca="1" si="10"/>
        <v>#NUM!</v>
      </c>
      <c r="AA36" s="288" t="e">
        <f t="shared" ca="1" si="10"/>
        <v>#NUM!</v>
      </c>
      <c r="AB36" s="288" t="e">
        <f t="shared" ca="1" si="8"/>
        <v>#NUM!</v>
      </c>
      <c r="AC36" s="288" t="e">
        <f t="shared" ca="1" si="7"/>
        <v>#NUM!</v>
      </c>
      <c r="AD36" s="288" t="e">
        <f t="shared" ca="1" si="7"/>
        <v>#NUM!</v>
      </c>
      <c r="AE36" s="288" t="e">
        <f t="shared" ca="1" si="7"/>
        <v>#NUM!</v>
      </c>
      <c r="AF36" s="289" t="e">
        <f t="shared" ca="1" si="7"/>
        <v>#NUM!</v>
      </c>
    </row>
    <row r="37" spans="2:32">
      <c r="B37" s="233" t="e">
        <f ca="1"/>
        <v>#NUM!</v>
      </c>
      <c r="C37" s="189" t="e">
        <f ca="1"/>
        <v>#NUM!</v>
      </c>
      <c r="D37" s="239" t="e">
        <f t="shared" ca="1" si="1"/>
        <v>#NUM!</v>
      </c>
      <c r="E37" s="239" t="e">
        <f t="shared" ca="1" si="2"/>
        <v>#NUM!</v>
      </c>
      <c r="F37" s="237"/>
      <c r="G37" s="237"/>
      <c r="H37" s="184"/>
      <c r="I37" s="184"/>
    </row>
    <row r="38" spans="2:32">
      <c r="B38" s="233" t="e">
        <f ca="1"/>
        <v>#NUM!</v>
      </c>
      <c r="C38" s="189" t="e">
        <f ca="1"/>
        <v>#NUM!</v>
      </c>
      <c r="D38" s="239" t="e">
        <f t="shared" ca="1" si="1"/>
        <v>#NUM!</v>
      </c>
      <c r="E38" s="239" t="e">
        <f t="shared" ca="1" si="2"/>
        <v>#NUM!</v>
      </c>
      <c r="F38" s="237"/>
      <c r="G38" s="237"/>
      <c r="H38" s="184"/>
      <c r="I38" s="184"/>
    </row>
    <row r="39" spans="2:32">
      <c r="B39" s="233" t="e">
        <f ca="1"/>
        <v>#NUM!</v>
      </c>
      <c r="C39" s="189" t="e">
        <f ca="1"/>
        <v>#NUM!</v>
      </c>
      <c r="D39" s="239" t="e">
        <f t="shared" ca="1" si="1"/>
        <v>#NUM!</v>
      </c>
      <c r="E39" s="239" t="e">
        <f t="shared" ca="1" si="2"/>
        <v>#NUM!</v>
      </c>
      <c r="F39" s="237"/>
      <c r="G39" s="237"/>
      <c r="H39" s="184"/>
      <c r="I39" s="184"/>
    </row>
    <row r="40" spans="2:32">
      <c r="B40" s="233" t="e">
        <f ca="1"/>
        <v>#NUM!</v>
      </c>
      <c r="C40" s="189" t="e">
        <f ca="1"/>
        <v>#NUM!</v>
      </c>
      <c r="D40" s="239" t="e">
        <f t="shared" ca="1" si="1"/>
        <v>#NUM!</v>
      </c>
      <c r="E40" s="239" t="e">
        <f t="shared" ca="1" si="2"/>
        <v>#NUM!</v>
      </c>
      <c r="F40" s="237"/>
      <c r="G40" s="237"/>
      <c r="H40" s="184"/>
      <c r="I40" s="184"/>
    </row>
    <row r="41" spans="2:32">
      <c r="B41" s="233" t="e">
        <f ca="1"/>
        <v>#NUM!</v>
      </c>
      <c r="C41" s="189" t="e">
        <f ca="1"/>
        <v>#NUM!</v>
      </c>
      <c r="D41" s="239" t="e">
        <f t="shared" ca="1" si="1"/>
        <v>#NUM!</v>
      </c>
      <c r="E41" s="239" t="e">
        <f t="shared" ca="1" si="2"/>
        <v>#NUM!</v>
      </c>
      <c r="F41" s="237"/>
      <c r="G41" s="237"/>
      <c r="H41" s="184"/>
      <c r="I41" s="184"/>
    </row>
    <row r="42" spans="2:32">
      <c r="B42" s="233" t="e">
        <f ca="1"/>
        <v>#NUM!</v>
      </c>
      <c r="C42" s="189" t="e">
        <f ca="1"/>
        <v>#NUM!</v>
      </c>
      <c r="D42" s="239" t="e">
        <f t="shared" ca="1" si="1"/>
        <v>#NUM!</v>
      </c>
      <c r="E42" s="239" t="e">
        <f t="shared" ca="1" si="2"/>
        <v>#NUM!</v>
      </c>
      <c r="F42" s="237"/>
      <c r="G42" s="237"/>
      <c r="H42" s="184"/>
      <c r="I42" s="184"/>
    </row>
    <row r="43" spans="2:32">
      <c r="B43" s="233" t="e">
        <f ca="1"/>
        <v>#NUM!</v>
      </c>
      <c r="C43" s="189" t="e">
        <f ca="1"/>
        <v>#NUM!</v>
      </c>
      <c r="D43" s="239" t="e">
        <f t="shared" ca="1" si="1"/>
        <v>#NUM!</v>
      </c>
      <c r="E43" s="239" t="e">
        <f t="shared" ca="1" si="2"/>
        <v>#NUM!</v>
      </c>
      <c r="F43" s="237"/>
      <c r="G43" s="237"/>
      <c r="H43" s="184"/>
      <c r="I43" s="184"/>
    </row>
    <row r="44" spans="2:32">
      <c r="B44" s="233" t="e">
        <f ca="1"/>
        <v>#NUM!</v>
      </c>
      <c r="C44" s="189" t="e">
        <f ca="1"/>
        <v>#NUM!</v>
      </c>
      <c r="D44" s="239" t="e">
        <f t="shared" ca="1" si="1"/>
        <v>#NUM!</v>
      </c>
      <c r="E44" s="239" t="e">
        <f t="shared" ca="1" si="2"/>
        <v>#NUM!</v>
      </c>
      <c r="F44" s="237"/>
      <c r="G44" s="237"/>
      <c r="H44" s="184"/>
      <c r="I44" s="184"/>
    </row>
    <row r="45" spans="2:32">
      <c r="B45" s="233" t="e">
        <f ca="1"/>
        <v>#NUM!</v>
      </c>
      <c r="C45" s="189" t="e">
        <f ca="1"/>
        <v>#NUM!</v>
      </c>
      <c r="D45" s="239" t="e">
        <f t="shared" ca="1" si="1"/>
        <v>#NUM!</v>
      </c>
      <c r="E45" s="239" t="e">
        <f t="shared" ca="1" si="2"/>
        <v>#NUM!</v>
      </c>
      <c r="F45" s="237"/>
      <c r="G45" s="237"/>
      <c r="H45" s="184"/>
      <c r="I45" s="184"/>
    </row>
    <row r="46" spans="2:32">
      <c r="B46" s="233" t="e">
        <f ca="1"/>
        <v>#NUM!</v>
      </c>
      <c r="C46" s="189" t="e">
        <f ca="1"/>
        <v>#NUM!</v>
      </c>
      <c r="D46" s="239" t="e">
        <f t="shared" ca="1" si="1"/>
        <v>#NUM!</v>
      </c>
      <c r="E46" s="239" t="e">
        <f t="shared" ca="1" si="2"/>
        <v>#NUM!</v>
      </c>
      <c r="F46" s="237"/>
      <c r="G46" s="237"/>
      <c r="H46" s="184"/>
      <c r="I46" s="184"/>
    </row>
    <row r="47" spans="2:32">
      <c r="B47" s="233" t="e">
        <f ca="1"/>
        <v>#NUM!</v>
      </c>
      <c r="C47" s="189" t="e">
        <f ca="1"/>
        <v>#NUM!</v>
      </c>
      <c r="D47" s="239" t="e">
        <f t="shared" ca="1" si="1"/>
        <v>#NUM!</v>
      </c>
      <c r="E47" s="239" t="e">
        <f t="shared" ca="1" si="2"/>
        <v>#NUM!</v>
      </c>
      <c r="F47" s="237"/>
      <c r="G47" s="237"/>
      <c r="H47" s="184"/>
      <c r="I47" s="184"/>
    </row>
    <row r="48" spans="2:32">
      <c r="B48" s="234" t="e">
        <f ca="1"/>
        <v>#NUM!</v>
      </c>
      <c r="C48" s="190" t="e">
        <f ca="1"/>
        <v>#NUM!</v>
      </c>
      <c r="D48" s="190"/>
      <c r="E48" s="190"/>
      <c r="F48" s="238"/>
      <c r="G48" s="238"/>
      <c r="H48" s="186"/>
      <c r="I48" s="186"/>
    </row>
    <row r="49" spans="2:7">
      <c r="B49" s="241"/>
      <c r="C49" s="242"/>
      <c r="D49" s="242"/>
      <c r="E49" s="242"/>
      <c r="F49" s="243"/>
      <c r="G49" s="243"/>
    </row>
    <row r="51" spans="2:7">
      <c r="B51" s="244" t="s">
        <v>329</v>
      </c>
      <c r="C51" s="245"/>
      <c r="D51" s="236" t="e">
        <f ca="1">SUM(G6:G15)</f>
        <v>#NUM!</v>
      </c>
    </row>
    <row r="52" spans="2:7">
      <c r="B52" s="246" t="s">
        <v>330</v>
      </c>
      <c r="C52" s="247"/>
      <c r="D52" s="240" t="e">
        <f ca="1">SUMPRODUCT(G6:G15,H6:H15)</f>
        <v>#NUM!</v>
      </c>
    </row>
    <row r="53" spans="2:7">
      <c r="B53" s="246" t="s">
        <v>331</v>
      </c>
      <c r="C53" s="247"/>
      <c r="D53" s="248" t="e">
        <f ca="1">SUM(C6:C27)</f>
        <v>#NUM!</v>
      </c>
    </row>
    <row r="54" spans="2:7">
      <c r="B54" s="246" t="s">
        <v>332</v>
      </c>
      <c r="C54" s="247"/>
      <c r="D54" s="240" t="e">
        <f ca="1">SUMPRODUCT(C6:C27,D6:D27)</f>
        <v>#NUM!</v>
      </c>
    </row>
    <row r="55" spans="2:7">
      <c r="B55" s="246" t="s">
        <v>333</v>
      </c>
      <c r="C55" s="247"/>
      <c r="D55" s="240">
        <f ca="1">D52*D53-D54*D51</f>
        <v>-100.2188192232172</v>
      </c>
    </row>
    <row r="56" spans="2:7">
      <c r="B56" s="246" t="s">
        <v>334</v>
      </c>
      <c r="C56" s="247"/>
      <c r="D56" s="240" t="e">
        <f ca="1">-D51/D55</f>
        <v>#NUM!</v>
      </c>
    </row>
    <row r="57" spans="2:7">
      <c r="B57" s="249" t="s">
        <v>335</v>
      </c>
      <c r="C57" s="250"/>
      <c r="D57" s="251">
        <f ca="1">D52/D55</f>
        <v>-0.44923737799726909</v>
      </c>
    </row>
    <row r="59" spans="2:7">
      <c r="B59" s="244" t="s">
        <v>336</v>
      </c>
      <c r="C59" s="245"/>
      <c r="D59" s="252" t="e">
        <f ca="1">SUMPRODUCT(C6:C27,E6:E27)</f>
        <v>#NUM!</v>
      </c>
    </row>
    <row r="60" spans="2:7">
      <c r="B60" s="249" t="s">
        <v>337</v>
      </c>
      <c r="C60" s="250"/>
      <c r="D60" s="253" t="e">
        <f ca="1">SUM(I6:I15)</f>
        <v>#NUM!</v>
      </c>
    </row>
    <row r="63" spans="2:7">
      <c r="B63" s="254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B2:AZ30"/>
  <sheetViews>
    <sheetView showGridLines="0" tabSelected="1" zoomScale="70" zoomScaleNormal="70" workbookViewId="0"/>
  </sheetViews>
  <sheetFormatPr defaultRowHeight="12.75" outlineLevelCol="1"/>
  <cols>
    <col min="1" max="1" width="9.140625" style="47"/>
    <col min="2" max="2" width="14.28515625" style="47" bestFit="1" customWidth="1"/>
    <col min="3" max="3" width="12.85546875" style="47" bestFit="1" customWidth="1"/>
    <col min="4" max="4" width="10.28515625" style="47" bestFit="1" customWidth="1"/>
    <col min="5" max="6" width="9.140625" style="47"/>
    <col min="7" max="7" width="15.42578125" style="47" hidden="1" customWidth="1" outlineLevel="1"/>
    <col min="8" max="8" width="15.85546875" style="47" hidden="1" customWidth="1" outlineLevel="1"/>
    <col min="9" max="10" width="16.140625" style="47" hidden="1" customWidth="1" outlineLevel="1"/>
    <col min="11" max="11" width="14.42578125" style="47" hidden="1" customWidth="1" outlineLevel="1"/>
    <col min="12" max="12" width="9.140625" style="47" hidden="1" customWidth="1" outlineLevel="1"/>
    <col min="13" max="13" width="15" style="47" customWidth="1" collapsed="1"/>
    <col min="14" max="14" width="14.5703125" style="47" hidden="1" customWidth="1" outlineLevel="1"/>
    <col min="15" max="15" width="22.5703125" style="47" hidden="1" customWidth="1" outlineLevel="1"/>
    <col min="16" max="16" width="21" style="47" hidden="1" customWidth="1" outlineLevel="1"/>
    <col min="17" max="17" width="13.7109375" style="47" hidden="1" customWidth="1" outlineLevel="1"/>
    <col min="18" max="18" width="15.7109375" style="47" hidden="1" customWidth="1" outlineLevel="1"/>
    <col min="19" max="19" width="16.42578125" style="47" hidden="1" customWidth="1" outlineLevel="1"/>
    <col min="20" max="20" width="0" style="47" hidden="1" customWidth="1" outlineLevel="1"/>
    <col min="21" max="21" width="13.140625" style="47" customWidth="1" collapsed="1"/>
    <col min="22" max="22" width="14.5703125" style="47" hidden="1" customWidth="1" outlineLevel="1"/>
    <col min="23" max="23" width="22.5703125" style="47" hidden="1" customWidth="1" outlineLevel="1"/>
    <col min="24" max="24" width="21" style="47" hidden="1" customWidth="1" outlineLevel="1"/>
    <col min="25" max="25" width="13.7109375" style="47" hidden="1" customWidth="1" outlineLevel="1"/>
    <col min="26" max="26" width="15.7109375" style="47" hidden="1" customWidth="1" outlineLevel="1"/>
    <col min="27" max="27" width="16.42578125" style="47" hidden="1" customWidth="1" outlineLevel="1"/>
    <col min="28" max="28" width="0" style="47" hidden="1" customWidth="1" outlineLevel="1"/>
    <col min="29" max="29" width="13.140625" style="47" customWidth="1" collapsed="1"/>
    <col min="30" max="30" width="14.5703125" style="47" hidden="1" customWidth="1" outlineLevel="1"/>
    <col min="31" max="31" width="22.5703125" style="47" hidden="1" customWidth="1" outlineLevel="1"/>
    <col min="32" max="32" width="21" style="47" hidden="1" customWidth="1" outlineLevel="1"/>
    <col min="33" max="33" width="13.7109375" style="47" hidden="1" customWidth="1" outlineLevel="1"/>
    <col min="34" max="34" width="15.7109375" style="47" hidden="1" customWidth="1" outlineLevel="1"/>
    <col min="35" max="35" width="16.42578125" style="47" hidden="1" customWidth="1" outlineLevel="1"/>
    <col min="36" max="36" width="0" style="47" hidden="1" customWidth="1" outlineLevel="1"/>
    <col min="37" max="37" width="13.140625" style="47" customWidth="1" collapsed="1"/>
    <col min="38" max="38" width="14.5703125" style="47" hidden="1" customWidth="1" outlineLevel="1"/>
    <col min="39" max="39" width="22.5703125" style="47" hidden="1" customWidth="1" outlineLevel="1"/>
    <col min="40" max="40" width="21" style="47" hidden="1" customWidth="1" outlineLevel="1"/>
    <col min="41" max="41" width="13.7109375" style="47" hidden="1" customWidth="1" outlineLevel="1"/>
    <col min="42" max="42" width="15.7109375" style="47" hidden="1" customWidth="1" outlineLevel="1"/>
    <col min="43" max="43" width="16.42578125" style="47" hidden="1" customWidth="1" outlineLevel="1"/>
    <col min="44" max="44" width="0" style="47" hidden="1" customWidth="1" outlineLevel="1"/>
    <col min="45" max="45" width="13.140625" style="47" customWidth="1" collapsed="1"/>
    <col min="46" max="46" width="16.42578125" style="47" customWidth="1"/>
    <col min="47" max="16384" width="9.140625" style="47"/>
  </cols>
  <sheetData>
    <row r="2" spans="2:52">
      <c r="N2" s="435"/>
      <c r="O2" s="403" t="s">
        <v>1767</v>
      </c>
      <c r="P2" s="403" t="s">
        <v>1768</v>
      </c>
      <c r="Q2" s="403" t="s">
        <v>1775</v>
      </c>
      <c r="R2" s="403" t="s">
        <v>1774</v>
      </c>
      <c r="S2" s="436"/>
      <c r="T2" s="436"/>
      <c r="U2" s="440" t="str">
        <f ca="1">O3</f>
        <v>ConundrumByBlack</v>
      </c>
      <c r="V2" s="435"/>
      <c r="W2" s="403" t="s">
        <v>1767</v>
      </c>
      <c r="X2" s="403" t="s">
        <v>1768</v>
      </c>
      <c r="Y2" s="403" t="s">
        <v>1775</v>
      </c>
      <c r="Z2" s="403" t="s">
        <v>1774</v>
      </c>
      <c r="AA2" s="436"/>
      <c r="AB2" s="436"/>
      <c r="AC2" s="440" t="str">
        <f ca="1">W3</f>
        <v>ConundrumByBachelier</v>
      </c>
      <c r="AD2" s="435"/>
      <c r="AE2" s="403" t="s">
        <v>1767</v>
      </c>
      <c r="AF2" s="403" t="s">
        <v>1768</v>
      </c>
      <c r="AG2" s="403" t="s">
        <v>1775</v>
      </c>
      <c r="AH2" s="403" t="s">
        <v>1774</v>
      </c>
      <c r="AI2" s="436"/>
      <c r="AJ2" s="436"/>
      <c r="AK2" s="440" t="str">
        <f ca="1">AE3</f>
        <v>ConundrumByBachelier</v>
      </c>
      <c r="AL2" s="435"/>
      <c r="AM2" s="403" t="s">
        <v>1767</v>
      </c>
      <c r="AN2" s="403" t="s">
        <v>1768</v>
      </c>
      <c r="AO2" s="403" t="s">
        <v>1775</v>
      </c>
      <c r="AP2" s="403" t="s">
        <v>1774</v>
      </c>
      <c r="AQ2" s="436"/>
      <c r="AR2" s="436"/>
      <c r="AS2" s="440" t="str">
        <f ca="1">AM3</f>
        <v>ConundrumByBachelier</v>
      </c>
    </row>
    <row r="3" spans="2:52" ht="15">
      <c r="N3" s="437"/>
      <c r="O3" s="413" t="s">
        <v>1784</v>
      </c>
      <c r="P3" s="413" t="s">
        <v>1785</v>
      </c>
      <c r="Q3" s="414">
        <v>0</v>
      </c>
      <c r="R3" s="438" t="str">
        <f ca="1">IF(O3="ConundrumByBachelier",SwaptionVols!$F$4,SwaptionVols!$F$38)</f>
        <v>EUR-ATM-Swaption-Surface-LVol#0001</v>
      </c>
      <c r="S3" s="439"/>
      <c r="T3" s="439"/>
      <c r="U3" s="441" t="str">
        <f ca="1">P3</f>
        <v>Standard</v>
      </c>
      <c r="V3" s="437"/>
      <c r="W3" s="413" t="s">
        <v>1776</v>
      </c>
      <c r="X3" s="413" t="s">
        <v>1785</v>
      </c>
      <c r="Y3" s="414">
        <v>0</v>
      </c>
      <c r="Z3" s="438" t="str">
        <f ca="1">IF(W3="ConundrumByBachelier",SwaptionVols!$F$4,SwaptionVols!$F$38)</f>
        <v>EUR-ATM-Swaption-Surface-NVol#0001</v>
      </c>
      <c r="AA3" s="439"/>
      <c r="AB3" s="439"/>
      <c r="AC3" s="441" t="str">
        <f ca="1">X3</f>
        <v>Standard</v>
      </c>
      <c r="AD3" s="437"/>
      <c r="AE3" s="413" t="s">
        <v>1776</v>
      </c>
      <c r="AF3" s="413" t="s">
        <v>1773</v>
      </c>
      <c r="AG3" s="414">
        <v>0.1</v>
      </c>
      <c r="AH3" s="438" t="str">
        <f ca="1">IF(AE3="ConundrumByBachelier",SwaptionVols!$F$4,SwaptionVols!$F$38)</f>
        <v>EUR-ATM-Swaption-Surface-NVol#0001</v>
      </c>
      <c r="AI3" s="439"/>
      <c r="AJ3" s="439"/>
      <c r="AK3" s="441" t="str">
        <f ca="1">AF3</f>
        <v>NonParallelShifts</v>
      </c>
      <c r="AL3" s="437"/>
      <c r="AM3" s="413" t="s">
        <v>1776</v>
      </c>
      <c r="AN3" s="413" t="s">
        <v>1786</v>
      </c>
      <c r="AO3" s="414">
        <v>0</v>
      </c>
      <c r="AP3" s="438" t="str">
        <f ca="1">IF(AM3="ConundrumByBachelier",SwaptionVols!$F$4,SwaptionVols!$F$38)</f>
        <v>EUR-ATM-Swaption-Surface-NVol#0001</v>
      </c>
      <c r="AQ3" s="439"/>
      <c r="AR3" s="439"/>
      <c r="AS3" s="441" t="str">
        <f ca="1">AN3</f>
        <v>Affine</v>
      </c>
    </row>
    <row r="4" spans="2:52">
      <c r="AX4" s="402" t="s">
        <v>1781</v>
      </c>
      <c r="AY4" s="404" t="s">
        <v>1781</v>
      </c>
    </row>
    <row r="5" spans="2:52">
      <c r="B5" s="408" t="s">
        <v>48</v>
      </c>
      <c r="C5" s="409" t="s">
        <v>1760</v>
      </c>
      <c r="D5" s="410" t="s">
        <v>362</v>
      </c>
      <c r="E5" s="409" t="s">
        <v>1761</v>
      </c>
      <c r="F5" s="410" t="s">
        <v>1762</v>
      </c>
      <c r="G5" s="408" t="s">
        <v>1763</v>
      </c>
      <c r="H5" s="409" t="s">
        <v>362</v>
      </c>
      <c r="I5" s="409" t="s">
        <v>60</v>
      </c>
      <c r="J5" s="409" t="s">
        <v>1764</v>
      </c>
      <c r="K5" s="409" t="s">
        <v>1771</v>
      </c>
      <c r="L5" s="410" t="s">
        <v>49</v>
      </c>
      <c r="M5" s="409" t="s">
        <v>1765</v>
      </c>
      <c r="N5" s="408" t="s">
        <v>1766</v>
      </c>
      <c r="O5" s="409" t="s">
        <v>1767</v>
      </c>
      <c r="P5" s="409" t="s">
        <v>1768</v>
      </c>
      <c r="Q5" s="409" t="s">
        <v>52</v>
      </c>
      <c r="R5" s="409" t="s">
        <v>1774</v>
      </c>
      <c r="S5" s="409" t="s">
        <v>1769</v>
      </c>
      <c r="T5" s="409" t="s">
        <v>1770</v>
      </c>
      <c r="U5" s="410" t="s">
        <v>1772</v>
      </c>
      <c r="V5" s="408" t="s">
        <v>1766</v>
      </c>
      <c r="W5" s="409" t="s">
        <v>1767</v>
      </c>
      <c r="X5" s="409" t="s">
        <v>1768</v>
      </c>
      <c r="Y5" s="409" t="s">
        <v>52</v>
      </c>
      <c r="Z5" s="409" t="s">
        <v>1774</v>
      </c>
      <c r="AA5" s="409" t="s">
        <v>1769</v>
      </c>
      <c r="AB5" s="409" t="s">
        <v>1770</v>
      </c>
      <c r="AC5" s="410" t="s">
        <v>1772</v>
      </c>
      <c r="AD5" s="408" t="s">
        <v>1766</v>
      </c>
      <c r="AE5" s="409" t="s">
        <v>1767</v>
      </c>
      <c r="AF5" s="409" t="s">
        <v>1768</v>
      </c>
      <c r="AG5" s="409" t="s">
        <v>52</v>
      </c>
      <c r="AH5" s="409" t="s">
        <v>1774</v>
      </c>
      <c r="AI5" s="409" t="s">
        <v>1769</v>
      </c>
      <c r="AJ5" s="409" t="s">
        <v>1770</v>
      </c>
      <c r="AK5" s="410" t="s">
        <v>1772</v>
      </c>
      <c r="AL5" s="408" t="s">
        <v>1766</v>
      </c>
      <c r="AM5" s="409" t="s">
        <v>1767</v>
      </c>
      <c r="AN5" s="409" t="s">
        <v>1768</v>
      </c>
      <c r="AO5" s="409" t="s">
        <v>52</v>
      </c>
      <c r="AP5" s="409" t="s">
        <v>1774</v>
      </c>
      <c r="AQ5" s="409" t="s">
        <v>1769</v>
      </c>
      <c r="AR5" s="409" t="s">
        <v>1770</v>
      </c>
      <c r="AS5" s="410" t="s">
        <v>1772</v>
      </c>
      <c r="AT5" s="408" t="s">
        <v>1777</v>
      </c>
      <c r="AU5" s="409" t="s">
        <v>1778</v>
      </c>
      <c r="AV5" s="409" t="s">
        <v>1779</v>
      </c>
      <c r="AW5" s="409" t="s">
        <v>1780</v>
      </c>
      <c r="AX5" s="442" t="s">
        <v>1782</v>
      </c>
      <c r="AY5" s="443" t="s">
        <v>1783</v>
      </c>
      <c r="AZ5" s="178"/>
    </row>
    <row r="7" spans="2:52">
      <c r="B7" s="345">
        <f ca="1">RefDate</f>
        <v>42254</v>
      </c>
      <c r="C7" s="415" t="s">
        <v>8</v>
      </c>
      <c r="D7" s="415" t="s">
        <v>11</v>
      </c>
      <c r="E7" s="401">
        <f ca="1">VLOOKUP("EUR CMS v 3MEurib  "&amp;C7&amp;D7,'CMS Swaps'!$X:$AA,3,)</f>
        <v>29.1</v>
      </c>
      <c r="F7" s="401">
        <f ca="1">VLOOKUP("EUR CMS v 3MEurib  "&amp;C7&amp;D7,'CMS Swaps'!$X:$AA,4,)</f>
        <v>35.1</v>
      </c>
      <c r="G7" s="345">
        <f ca="1">_xll.qlCalendarAdvance("Target",B7,"2d")</f>
        <v>42256</v>
      </c>
      <c r="H7" s="345">
        <f ca="1">_xll.qlCalendarAdvance("Target",G7,D7,"unadjusted")</f>
        <v>44083</v>
      </c>
      <c r="I7" s="357" t="str">
        <f ca="1">_xll.qlSchedule(,G7,H7,"3M","Target","Modified Following","Modified Following","Backward")</f>
        <v>obj_00008#0017</v>
      </c>
      <c r="J7" s="357" t="str">
        <f ca="1">_xll.qlIborLeg(,,10000,I7,2,,"Act/360",,,Curve!$S$85)</f>
        <v>obj_0081e#0015</v>
      </c>
      <c r="K7" s="405">
        <f ca="1">_xll.qlLegNPV(J7,Curve!$S$16)</f>
        <v>131.50792242064864</v>
      </c>
      <c r="L7" s="406">
        <f ca="1">_xll.qlLegBPS(J7,Curve!$S$16)</f>
        <v>5.0790511581753321</v>
      </c>
      <c r="M7" s="357" t="str">
        <f ca="1">_xll.qlEuriborSwapIsdaFixA(,C7,Curve!$S$109,Curve!$S$16)</f>
        <v>obj_007fa#0020</v>
      </c>
      <c r="N7" s="357" t="str">
        <f ca="1">_xll.qlCmsLeg(,,10000,I7,2,,"Act/360",,,M7)</f>
        <v>obj_0081f#0015</v>
      </c>
      <c r="O7" s="411" t="str">
        <f ca="1">O$3</f>
        <v>ConundrumByBlack</v>
      </c>
      <c r="P7" s="411" t="str">
        <f ca="1">P$3</f>
        <v>Standard</v>
      </c>
      <c r="Q7" s="412">
        <f ca="1">Q$3</f>
        <v>0</v>
      </c>
      <c r="R7" s="418" t="str">
        <f ca="1">R$3</f>
        <v>EUR-ATM-Swaption-Surface-LVol#0001</v>
      </c>
      <c r="S7" s="357" t="str">
        <f ca="1">_xll.qlCmsCouponPricer(,R7,O7,P7,Q7)</f>
        <v>obj_007f8#0018</v>
      </c>
      <c r="T7" s="357" t="b">
        <f ca="1">_xll.qlLegSetCouponPricers(N7,S7)</f>
        <v>1</v>
      </c>
      <c r="U7" s="405">
        <f ca="1">_xll.qlLegNPV(N7,Curve!$S$16,,,,T7)</f>
        <v>316.32034138178676</v>
      </c>
      <c r="V7" s="357" t="str">
        <f ca="1">_xll.qlCmsLeg(,,10000,I7,2,,"Act/360",,,M7)</f>
        <v>obj_00836#0013</v>
      </c>
      <c r="W7" s="411" t="str">
        <f ca="1">W$3</f>
        <v>ConundrumByBachelier</v>
      </c>
      <c r="X7" s="411" t="str">
        <f ca="1">X$3</f>
        <v>Standard</v>
      </c>
      <c r="Y7" s="412">
        <f ca="1">Y$3</f>
        <v>0</v>
      </c>
      <c r="Z7" s="418" t="str">
        <f ca="1">Z$3</f>
        <v>EUR-ATM-Swaption-Surface-NVol#0001</v>
      </c>
      <c r="AA7" s="357" t="str">
        <f ca="1">_xll.qlCmsCouponPricer(,Z7,W7,X7,Y7)</f>
        <v>obj_00849#0019</v>
      </c>
      <c r="AB7" s="357" t="b">
        <f ca="1">_xll.qlLegSetCouponPricers(V7,AA7)</f>
        <v>1</v>
      </c>
      <c r="AC7" s="405">
        <f ca="1">_xll.qlLegNPV(V7,Curve!$S$16,,,,AB7)</f>
        <v>293.41562685119186</v>
      </c>
      <c r="AD7" s="357" t="str">
        <f ca="1">_xll.qlCmsLeg(,,10000,I7,2,,"Act/360",,,M7)</f>
        <v>obj_00b3d#0012</v>
      </c>
      <c r="AE7" s="411" t="str">
        <f ca="1">AE$3</f>
        <v>ConundrumByBachelier</v>
      </c>
      <c r="AF7" s="411" t="str">
        <f ca="1">AF$3</f>
        <v>NonParallelShifts</v>
      </c>
      <c r="AG7" s="412">
        <f ca="1">AG$3</f>
        <v>0.1</v>
      </c>
      <c r="AH7" s="418" t="str">
        <f ca="1">AH$3</f>
        <v>EUR-ATM-Swaption-Surface-NVol#0001</v>
      </c>
      <c r="AI7" s="357" t="str">
        <f ca="1">_xll.qlCmsCouponPricer(,AH7,AE7,AF7,AG7)</f>
        <v>obj_00871#0018</v>
      </c>
      <c r="AJ7" s="357" t="b">
        <f ca="1">_xll.qlLegSetCouponPricers(AD7,AI7)</f>
        <v>1</v>
      </c>
      <c r="AK7" s="405">
        <f ca="1">_xll.qlLegNPV(AD7,Curve!$S$16,,,,AJ7)</f>
        <v>293.43674785148812</v>
      </c>
      <c r="AL7" s="357" t="str">
        <f ca="1">_xll.qlCmsLeg(,,10000,I7,2,,"Act/360",,,M7)</f>
        <v>obj_00b51#0012</v>
      </c>
      <c r="AM7" s="411" t="str">
        <f ca="1">AM$3</f>
        <v>ConundrumByBachelier</v>
      </c>
      <c r="AN7" s="411" t="str">
        <f ca="1">AN$3</f>
        <v>Affine</v>
      </c>
      <c r="AO7" s="412">
        <f ca="1">AO$3</f>
        <v>0</v>
      </c>
      <c r="AP7" s="418" t="str">
        <f ca="1">AP$3</f>
        <v>EUR-ATM-Swaption-Surface-NVol#0001</v>
      </c>
      <c r="AQ7" s="357" t="str">
        <f ca="1">_xll.qlCmsCouponPricer(,AP7,AM7,AN7,AO7)</f>
        <v>obj_00b53#0015</v>
      </c>
      <c r="AR7" s="357" t="b">
        <f ca="1">_xll.qlLegSetCouponPricers(AL7,AQ7)</f>
        <v>1</v>
      </c>
      <c r="AS7" s="405">
        <f ca="1">_xll.qlLegNPV(AL7,Curve!$S$16,,,,AR7)</f>
        <v>293.40037091769989</v>
      </c>
      <c r="AT7" s="407">
        <f ca="1">(U7-K7)/L7</f>
        <v>36.387193829237326</v>
      </c>
      <c r="AU7" s="407">
        <f ca="1">(AC7-K7)/L7</f>
        <v>31.877549445418296</v>
      </c>
      <c r="AV7" s="407">
        <f ca="1">(AK7-K7)/L7</f>
        <v>31.881707899357526</v>
      </c>
      <c r="AW7" s="407">
        <f ca="1">(AS7-K7)/L7</f>
        <v>31.874545747873842</v>
      </c>
      <c r="AX7" s="407">
        <f ca="1">AU7-(E7+F7)/2</f>
        <v>-0.22245055458170526</v>
      </c>
      <c r="AY7" s="407">
        <f ca="1">AW7-(E7+F7)/2</f>
        <v>-0.2254542521261591</v>
      </c>
    </row>
    <row r="8" spans="2:52">
      <c r="B8" s="345">
        <f ca="1">RefDate</f>
        <v>42254</v>
      </c>
      <c r="C8" s="415" t="s">
        <v>8</v>
      </c>
      <c r="D8" s="415" t="s">
        <v>16</v>
      </c>
      <c r="E8" s="401">
        <f ca="1">VLOOKUP("EUR CMS v 3MEurib  "&amp;C8&amp;D8,'CMS Swaps'!$X:$AA,3,)</f>
        <v>29.5</v>
      </c>
      <c r="F8" s="401">
        <f ca="1">VLOOKUP("EUR CMS v 3MEurib  "&amp;C8&amp;D8,'CMS Swaps'!$X:$AA,4,)</f>
        <v>35.6</v>
      </c>
      <c r="G8" s="345">
        <f ca="1">_xll.qlCalendarAdvance("Target",B8,"2d")</f>
        <v>42256</v>
      </c>
      <c r="H8" s="345">
        <f ca="1">_xll.qlCalendarAdvance("Target",G8,D8,"unadjusted")</f>
        <v>45909</v>
      </c>
      <c r="I8" s="357" t="str">
        <f ca="1">_xll.qlSchedule(,G8,H8,"3M","Target","Modified Following","Modified Following","Backward")</f>
        <v>obj_00005#0017</v>
      </c>
      <c r="J8" s="357" t="str">
        <f ca="1">_xll.qlIborLeg(,,10000,I8,2,,"Act/360",,,Curve!$S$85)</f>
        <v>obj_00818#0015</v>
      </c>
      <c r="K8" s="405">
        <f ca="1">_xll.qlLegNPV(J8,Curve!$S$16)</f>
        <v>881.90570756515046</v>
      </c>
      <c r="L8" s="406">
        <f ca="1">_xll.qlLegBPS(J8,Curve!$S$16)</f>
        <v>9.963374862181082</v>
      </c>
      <c r="M8" s="357" t="str">
        <f ca="1">_xll.qlEuriborSwapIsdaFixA(,C8,Curve!$S$109,Curve!$S$16)</f>
        <v>obj_007f7#0019</v>
      </c>
      <c r="N8" s="357" t="str">
        <f ca="1">_xll.qlCmsLeg(,,10000,I8,2,,"Act/360",,,M8)</f>
        <v>obj_00819#0015</v>
      </c>
      <c r="O8" s="411" t="str">
        <f t="shared" ref="O8:R30" ca="1" si="0">O$3</f>
        <v>ConundrumByBlack</v>
      </c>
      <c r="P8" s="411" t="str">
        <f t="shared" ca="1" si="0"/>
        <v>Standard</v>
      </c>
      <c r="Q8" s="412">
        <f t="shared" ca="1" si="0"/>
        <v>0</v>
      </c>
      <c r="R8" s="418" t="str">
        <f t="shared" ca="1" si="0"/>
        <v>EUR-ATM-Swaption-Surface-LVol#0001</v>
      </c>
      <c r="S8" s="357" t="str">
        <f ca="1">_xll.qlCmsCouponPricer(,R8,O8,P8,Q8)</f>
        <v>obj_00800#0017</v>
      </c>
      <c r="T8" s="357" t="b">
        <f ca="1">_xll.qlLegSetCouponPricers(N8,S8)</f>
        <v>1</v>
      </c>
      <c r="U8" s="405">
        <f ca="1">_xll.qlLegNPV(N8,Curve!$S$16,,,,T8)</f>
        <v>1288.8539809605281</v>
      </c>
      <c r="V8" s="357" t="str">
        <f ca="1">_xll.qlCmsLeg(,,10000,I8,2,,"Act/360",,,M8)</f>
        <v>obj_00850#0012</v>
      </c>
      <c r="W8" s="411" t="str">
        <f t="shared" ref="W8:Z30" ca="1" si="1">W$3</f>
        <v>ConundrumByBachelier</v>
      </c>
      <c r="X8" s="411" t="str">
        <f t="shared" ca="1" si="1"/>
        <v>Standard</v>
      </c>
      <c r="Y8" s="412">
        <f t="shared" ca="1" si="1"/>
        <v>0</v>
      </c>
      <c r="Z8" s="418" t="str">
        <f t="shared" ca="1" si="1"/>
        <v>EUR-ATM-Swaption-Surface-NVol#0001</v>
      </c>
      <c r="AA8" s="357" t="str">
        <f ca="1">_xll.qlCmsCouponPricer(,Z8,W8,X8,Y8)</f>
        <v>obj_00848#0019</v>
      </c>
      <c r="AB8" s="357" t="b">
        <f ca="1">_xll.qlLegSetCouponPricers(V8,AA8)</f>
        <v>1</v>
      </c>
      <c r="AC8" s="405">
        <f ca="1">_xll.qlLegNPV(V8,Curve!$S$16,,,,AB8)</f>
        <v>1203.1956037734737</v>
      </c>
      <c r="AD8" s="357" t="str">
        <f ca="1">_xll.qlCmsLeg(,,10000,I8,2,,"Act/360",,,M8)</f>
        <v>obj_00b43#0011</v>
      </c>
      <c r="AE8" s="411" t="str">
        <f t="shared" ref="AE8:AH30" ca="1" si="2">AE$3</f>
        <v>ConundrumByBachelier</v>
      </c>
      <c r="AF8" s="411" t="str">
        <f t="shared" ca="1" si="2"/>
        <v>NonParallelShifts</v>
      </c>
      <c r="AG8" s="412">
        <f t="shared" ca="1" si="2"/>
        <v>0.1</v>
      </c>
      <c r="AH8" s="418" t="str">
        <f t="shared" ca="1" si="2"/>
        <v>EUR-ATM-Swaption-Surface-NVol#0001</v>
      </c>
      <c r="AI8" s="357" t="str">
        <f ca="1">_xll.qlCmsCouponPricer(,AH8,AE8,AF8,AG8)</f>
        <v>obj_00870#0018</v>
      </c>
      <c r="AJ8" s="357" t="b">
        <f ca="1">_xll.qlLegSetCouponPricers(AD8,AI8)</f>
        <v>1</v>
      </c>
      <c r="AK8" s="405">
        <f ca="1">_xll.qlLegNPV(AD8,Curve!$S$16,,,,AJ8)</f>
        <v>1203.3971281959441</v>
      </c>
      <c r="AL8" s="357" t="str">
        <f ca="1">_xll.qlCmsLeg(,,10000,I8,2,,"Act/360",,,M8)</f>
        <v>obj_00b6b#0011</v>
      </c>
      <c r="AM8" s="411" t="str">
        <f t="shared" ref="AM8:AP30" ca="1" si="3">AM$3</f>
        <v>ConundrumByBachelier</v>
      </c>
      <c r="AN8" s="411" t="str">
        <f t="shared" ca="1" si="3"/>
        <v>Affine</v>
      </c>
      <c r="AO8" s="412">
        <f t="shared" ca="1" si="3"/>
        <v>0</v>
      </c>
      <c r="AP8" s="418" t="str">
        <f t="shared" ca="1" si="3"/>
        <v>EUR-ATM-Swaption-Surface-NVol#0001</v>
      </c>
      <c r="AQ8" s="357" t="str">
        <f ca="1">_xll.qlCmsCouponPricer(,AP8,AM8,AN8,AO8)</f>
        <v>obj_00b59#0015</v>
      </c>
      <c r="AR8" s="357" t="b">
        <f ca="1">_xll.qlLegSetCouponPricers(AL8,AQ8)</f>
        <v>1</v>
      </c>
      <c r="AS8" s="405">
        <f ca="1">_xll.qlLegNPV(AL8,Curve!$S$16,,,,AR8)</f>
        <v>1203.1048164140993</v>
      </c>
      <c r="AT8" s="407">
        <f t="shared" ref="AT8:AT30" ca="1" si="4">(U8-K8)/L8</f>
        <v>40.844420592872545</v>
      </c>
      <c r="AU8" s="407">
        <f t="shared" ref="AU8:AU30" ca="1" si="5">(AC8-K8)/L8</f>
        <v>32.247095050882159</v>
      </c>
      <c r="AV8" s="407">
        <f t="shared" ref="AV8:AV30" ca="1" si="6">(AK8-K8)/L8</f>
        <v>32.267321573045379</v>
      </c>
      <c r="AW8" s="407">
        <f t="shared" ref="AW8:AW30" ca="1" si="7">(AS8-K8)/L8</f>
        <v>32.237982941719324</v>
      </c>
      <c r="AX8" s="407">
        <f ca="1">AU8-(E8+F8)/2</f>
        <v>-0.30290494911783838</v>
      </c>
      <c r="AY8" s="407">
        <f ca="1">AW8-(E8+F8)/2</f>
        <v>-0.31201705828067361</v>
      </c>
    </row>
    <row r="9" spans="2:52">
      <c r="B9" s="345">
        <f ca="1">RefDate</f>
        <v>42254</v>
      </c>
      <c r="C9" s="415" t="s">
        <v>8</v>
      </c>
      <c r="D9" s="417" t="s">
        <v>17</v>
      </c>
      <c r="E9" s="401">
        <f ca="1">VLOOKUP("EUR CMS v 3MEurib  "&amp;C9&amp;D9,'CMS Swaps'!$X:$AA,3,)</f>
        <v>24.8</v>
      </c>
      <c r="F9" s="401">
        <f ca="1">VLOOKUP("EUR CMS v 3MEurib  "&amp;C9&amp;D9,'CMS Swaps'!$X:$AA,4,)</f>
        <v>30.8</v>
      </c>
      <c r="G9" s="345">
        <f ca="1">_xll.qlCalendarAdvance("Target",B9,"2d")</f>
        <v>42256</v>
      </c>
      <c r="H9" s="345">
        <f ca="1">_xll.qlCalendarAdvance("Target",G9,D9,"unadjusted")</f>
        <v>47735</v>
      </c>
      <c r="I9" s="357" t="str">
        <f ca="1">_xll.qlSchedule(,G9,H9,"3M","Target","Modified Following","Modified Following","Backward")</f>
        <v>obj_0000d#0017</v>
      </c>
      <c r="J9" s="357" t="str">
        <f ca="1">_xll.qlIborLeg(,,10000,I9,2,,"Act/360",,,Curve!$S$85)</f>
        <v>obj_00829#0015</v>
      </c>
      <c r="K9" s="405">
        <f ca="1">_xll.qlLegNPV(J9,Curve!$S$16)</f>
        <v>1807.6313425835522</v>
      </c>
      <c r="L9" s="406">
        <f ca="1">_xll.qlLegBPS(J9,Curve!$S$16)</f>
        <v>14.427535677164078</v>
      </c>
      <c r="M9" s="357" t="str">
        <f ca="1">_xll.qlEuriborSwapIsdaFixA(,C9,Curve!$S$109,Curve!$S$16)</f>
        <v>obj_007f3#0019</v>
      </c>
      <c r="N9" s="357" t="str">
        <f ca="1">_xll.qlCmsLeg(,,10000,I9,2,,"Act/360",,,M9)</f>
        <v>obj_00828#0015</v>
      </c>
      <c r="O9" s="411" t="str">
        <f t="shared" ca="1" si="0"/>
        <v>ConundrumByBlack</v>
      </c>
      <c r="P9" s="411" t="str">
        <f t="shared" ca="1" si="0"/>
        <v>Standard</v>
      </c>
      <c r="Q9" s="412">
        <f t="shared" ca="1" si="0"/>
        <v>0</v>
      </c>
      <c r="R9" s="418" t="str">
        <f t="shared" ca="1" si="0"/>
        <v>EUR-ATM-Swaption-Surface-LVol#0001</v>
      </c>
      <c r="S9" s="357" t="str">
        <f ca="1">_xll.qlCmsCouponPricer(,R9,O9,P9,Q9)</f>
        <v>obj_007fd#0018</v>
      </c>
      <c r="T9" s="357" t="b">
        <f ca="1">_xll.qlLegSetCouponPricers(N9,S9)</f>
        <v>1</v>
      </c>
      <c r="U9" s="405">
        <f ca="1">_xll.qlLegNPV(N9,Curve!$S$16,,,,T9)</f>
        <v>2477.8753032118325</v>
      </c>
      <c r="V9" s="357" t="str">
        <f ca="1">_xll.qlCmsLeg(,,10000,I9,2,,"Act/360",,,M9)</f>
        <v>obj_00857#0011</v>
      </c>
      <c r="W9" s="411" t="str">
        <f t="shared" ca="1" si="1"/>
        <v>ConundrumByBachelier</v>
      </c>
      <c r="X9" s="411" t="str">
        <f t="shared" ca="1" si="1"/>
        <v>Standard</v>
      </c>
      <c r="Y9" s="412">
        <f t="shared" ca="1" si="1"/>
        <v>0</v>
      </c>
      <c r="Z9" s="418" t="str">
        <f t="shared" ca="1" si="1"/>
        <v>EUR-ATM-Swaption-Surface-NVol#0001</v>
      </c>
      <c r="AA9" s="357" t="str">
        <f ca="1">_xll.qlCmsCouponPricer(,Z9,W9,X9,Y9)</f>
        <v>obj_00843#0019</v>
      </c>
      <c r="AB9" s="357" t="b">
        <f ca="1">_xll.qlLegSetCouponPricers(V9,AA9)</f>
        <v>1</v>
      </c>
      <c r="AC9" s="405">
        <f ca="1">_xll.qlLegNPV(V9,Curve!$S$16,,,,AB9)</f>
        <v>2211.983481707226</v>
      </c>
      <c r="AD9" s="357" t="str">
        <f ca="1">_xll.qlCmsLeg(,,10000,I9,2,,"Act/360",,,M9)</f>
        <v>obj_00b4a#0010</v>
      </c>
      <c r="AE9" s="411" t="str">
        <f t="shared" ca="1" si="2"/>
        <v>ConundrumByBachelier</v>
      </c>
      <c r="AF9" s="411" t="str">
        <f t="shared" ca="1" si="2"/>
        <v>NonParallelShifts</v>
      </c>
      <c r="AG9" s="412">
        <f t="shared" ca="1" si="2"/>
        <v>0.1</v>
      </c>
      <c r="AH9" s="418" t="str">
        <f t="shared" ca="1" si="2"/>
        <v>EUR-ATM-Swaption-Surface-NVol#0001</v>
      </c>
      <c r="AI9" s="357" t="str">
        <f ca="1">_xll.qlCmsCouponPricer(,AH9,AE9,AF9,AG9)</f>
        <v>obj_0086f#0018</v>
      </c>
      <c r="AJ9" s="357" t="b">
        <f ca="1">_xll.qlLegSetCouponPricers(AD9,AI9)</f>
        <v>1</v>
      </c>
      <c r="AK9" s="405">
        <f ca="1">_xll.qlLegNPV(AD9,Curve!$S$16,,,,AJ9)</f>
        <v>2212.5167812444611</v>
      </c>
      <c r="AL9" s="357" t="str">
        <f ca="1">_xll.qlCmsLeg(,,10000,I9,2,,"Act/360",,,M9)</f>
        <v>obj_00b72#0011</v>
      </c>
      <c r="AM9" s="411" t="str">
        <f t="shared" ca="1" si="3"/>
        <v>ConundrumByBachelier</v>
      </c>
      <c r="AN9" s="411" t="str">
        <f t="shared" ca="1" si="3"/>
        <v>Affine</v>
      </c>
      <c r="AO9" s="412">
        <f t="shared" ca="1" si="3"/>
        <v>0</v>
      </c>
      <c r="AP9" s="418" t="str">
        <f t="shared" ca="1" si="3"/>
        <v>EUR-ATM-Swaption-Surface-NVol#0001</v>
      </c>
      <c r="AQ9" s="357" t="str">
        <f ca="1">_xll.qlCmsCouponPricer(,AP9,AM9,AN9,AO9)</f>
        <v>obj_00b62#0015</v>
      </c>
      <c r="AR9" s="357" t="b">
        <f ca="1">_xll.qlLegSetCouponPricers(AL9,AQ9)</f>
        <v>1</v>
      </c>
      <c r="AS9" s="405">
        <f ca="1">_xll.qlLegNPV(AL9,Curve!$S$16,,,,AR9)</f>
        <v>2211.7948162831958</v>
      </c>
      <c r="AT9" s="407">
        <f t="shared" ca="1" si="4"/>
        <v>46.455886550961253</v>
      </c>
      <c r="AU9" s="407">
        <f t="shared" ca="1" si="5"/>
        <v>28.026417551244243</v>
      </c>
      <c r="AV9" s="407">
        <f t="shared" ca="1" si="6"/>
        <v>28.063381558762117</v>
      </c>
      <c r="AW9" s="407">
        <f t="shared" ca="1" si="7"/>
        <v>28.013340791064831</v>
      </c>
      <c r="AX9" s="407">
        <f ca="1">AU9-(E9+F9)/2</f>
        <v>0.22641755124424279</v>
      </c>
      <c r="AY9" s="407">
        <f ca="1">AW9-(E9+F9)/2</f>
        <v>0.21334079106483017</v>
      </c>
    </row>
    <row r="10" spans="2:52">
      <c r="B10" s="345">
        <f ca="1">RefDate</f>
        <v>42254</v>
      </c>
      <c r="C10" s="415" t="s">
        <v>8</v>
      </c>
      <c r="D10" s="417" t="s">
        <v>104</v>
      </c>
      <c r="E10" s="401">
        <f ca="1">VLOOKUP("EUR CMS v 3MEurib  "&amp;C10&amp;D10,'CMS Swaps'!$X:$AA,3,)</f>
        <v>21.1</v>
      </c>
      <c r="F10" s="401">
        <f ca="1">VLOOKUP("EUR CMS v 3MEurib  "&amp;C10&amp;D10,'CMS Swaps'!$X:$AA,4,)</f>
        <v>27.2</v>
      </c>
      <c r="G10" s="345">
        <f ca="1">_xll.qlCalendarAdvance("Target",B10,"2d")</f>
        <v>42256</v>
      </c>
      <c r="H10" s="345">
        <f ca="1">_xll.qlCalendarAdvance("Target",G10,D10,"unadjusted")</f>
        <v>49561</v>
      </c>
      <c r="I10" s="357" t="str">
        <f ca="1">_xll.qlSchedule(,G10,H10,"3M","Target","Modified Following","Modified Following","Backward")</f>
        <v>obj_0000f#0017</v>
      </c>
      <c r="J10" s="357" t="str">
        <f ca="1">_xll.qlIborLeg(,,10000,I10,2,,"Act/360",,,Curve!$S$85)</f>
        <v>obj_0082c#0015</v>
      </c>
      <c r="K10" s="405">
        <f ca="1">_xll.qlLegNPV(J10,Curve!$S$16)</f>
        <v>2599.3423770022291</v>
      </c>
      <c r="L10" s="406">
        <f ca="1">_xll.qlLegBPS(J10,Curve!$S$16)</f>
        <v>18.472357537197599</v>
      </c>
      <c r="M10" s="357" t="str">
        <f ca="1">_xll.qlEuriborSwapIsdaFixA(,C10,Curve!$S$109,Curve!$S$16)</f>
        <v>obj_007e7#0019</v>
      </c>
      <c r="N10" s="357" t="str">
        <f ca="1">_xll.qlCmsLeg(,,10000,I10,2,,"Act/360",,,M10)</f>
        <v>obj_0082d#0015</v>
      </c>
      <c r="O10" s="411" t="str">
        <f t="shared" ca="1" si="0"/>
        <v>ConundrumByBlack</v>
      </c>
      <c r="P10" s="411" t="str">
        <f t="shared" ca="1" si="0"/>
        <v>Standard</v>
      </c>
      <c r="Q10" s="412">
        <f t="shared" ca="1" si="0"/>
        <v>0</v>
      </c>
      <c r="R10" s="418" t="str">
        <f t="shared" ca="1" si="0"/>
        <v>EUR-ATM-Swaption-Surface-LVol#0001</v>
      </c>
      <c r="S10" s="357" t="str">
        <f ca="1">_xll.qlCmsCouponPricer(,R10,O10,P10,Q10)</f>
        <v>obj_007fb#0018</v>
      </c>
      <c r="T10" s="357" t="b">
        <f ca="1">_xll.qlLegSetCouponPricers(N10,S10)</f>
        <v>1</v>
      </c>
      <c r="U10" s="405">
        <f ca="1">_xll.qlLegNPV(N10,Curve!$S$16,,,,T10)</f>
        <v>4234.8828874165511</v>
      </c>
      <c r="V10" s="357" t="str">
        <f ca="1">_xll.qlCmsLeg(,,10000,I10,2,,"Act/360",,,M10)</f>
        <v>obj_00859#0011</v>
      </c>
      <c r="W10" s="411" t="str">
        <f t="shared" ca="1" si="1"/>
        <v>ConundrumByBachelier</v>
      </c>
      <c r="X10" s="411" t="str">
        <f t="shared" ca="1" si="1"/>
        <v>Standard</v>
      </c>
      <c r="Y10" s="412">
        <f t="shared" ca="1" si="1"/>
        <v>0</v>
      </c>
      <c r="Z10" s="418" t="str">
        <f t="shared" ca="1" si="1"/>
        <v>EUR-ATM-Swaption-Surface-NVol#0001</v>
      </c>
      <c r="AA10" s="357" t="str">
        <f ca="1">_xll.qlCmsCouponPricer(,Z10,W10,X10,Y10)</f>
        <v>obj_00838#0019</v>
      </c>
      <c r="AB10" s="357" t="b">
        <f ca="1">_xll.qlLegSetCouponPricers(V10,AA10)</f>
        <v>1</v>
      </c>
      <c r="AC10" s="405">
        <f ca="1">_xll.qlLegNPV(V10,Curve!$S$16,,,,AB10)</f>
        <v>3060.3854250866957</v>
      </c>
      <c r="AD10" s="357" t="str">
        <f ca="1">_xll.qlCmsLeg(,,10000,I10,2,,"Act/360",,,M10)</f>
        <v>obj_00b4c#0010</v>
      </c>
      <c r="AE10" s="411" t="str">
        <f t="shared" ca="1" si="2"/>
        <v>ConundrumByBachelier</v>
      </c>
      <c r="AF10" s="411" t="str">
        <f t="shared" ca="1" si="2"/>
        <v>NonParallelShifts</v>
      </c>
      <c r="AG10" s="412">
        <f t="shared" ca="1" si="2"/>
        <v>0.1</v>
      </c>
      <c r="AH10" s="418" t="str">
        <f t="shared" ca="1" si="2"/>
        <v>EUR-ATM-Swaption-Surface-NVol#0001</v>
      </c>
      <c r="AI10" s="357" t="str">
        <f ca="1">_xll.qlCmsCouponPricer(,AH10,AE10,AF10,AG10)</f>
        <v>obj_0086e#0018</v>
      </c>
      <c r="AJ10" s="357" t="b">
        <f ca="1">_xll.qlLegSetCouponPricers(AD10,AI10)</f>
        <v>1</v>
      </c>
      <c r="AK10" s="405">
        <f ca="1">_xll.qlLegNPV(AD10,Curve!$S$16,,,,AJ10)</f>
        <v>3061.2696385801373</v>
      </c>
      <c r="AL10" s="357" t="str">
        <f ca="1">_xll.qlCmsLeg(,,10000,I10,2,,"Act/360",,,M10)</f>
        <v>obj_00b74#0011</v>
      </c>
      <c r="AM10" s="411" t="str">
        <f t="shared" ca="1" si="3"/>
        <v>ConundrumByBachelier</v>
      </c>
      <c r="AN10" s="411" t="str">
        <f t="shared" ca="1" si="3"/>
        <v>Affine</v>
      </c>
      <c r="AO10" s="412">
        <f t="shared" ca="1" si="3"/>
        <v>0</v>
      </c>
      <c r="AP10" s="418" t="str">
        <f t="shared" ca="1" si="3"/>
        <v>EUR-ATM-Swaption-Surface-NVol#0001</v>
      </c>
      <c r="AQ10" s="357" t="str">
        <f ca="1">_xll.qlCmsCouponPricer(,AP10,AM10,AN10,AO10)</f>
        <v>obj_00b5b#0015</v>
      </c>
      <c r="AR10" s="357" t="b">
        <f ca="1">_xll.qlLegSetCouponPricers(AL10,AQ10)</f>
        <v>1</v>
      </c>
      <c r="AS10" s="405">
        <f ca="1">_xll.qlLegNPV(AL10,Curve!$S$16,,,,AR10)</f>
        <v>3060.111938877601</v>
      </c>
      <c r="AT10" s="407">
        <f t="shared" ca="1" si="4"/>
        <v>88.539890326443199</v>
      </c>
      <c r="AU10" s="407">
        <f t="shared" ca="1" si="5"/>
        <v>24.958538570730287</v>
      </c>
      <c r="AV10" s="407">
        <f t="shared" ca="1" si="6"/>
        <v>25.00640541672767</v>
      </c>
      <c r="AW10" s="407">
        <f t="shared" ca="1" si="7"/>
        <v>24.943733410720579</v>
      </c>
      <c r="AX10" s="407">
        <f ca="1">AU10-(E10+F10)/2</f>
        <v>0.80853857073028834</v>
      </c>
      <c r="AY10" s="407">
        <f ca="1">AW10-(E10+F10)/2</f>
        <v>0.79373341072058068</v>
      </c>
    </row>
    <row r="11" spans="2:52">
      <c r="C11" s="415"/>
      <c r="D11" s="415"/>
      <c r="E11" s="401"/>
      <c r="F11" s="401"/>
      <c r="G11" s="345"/>
      <c r="H11" s="345"/>
      <c r="I11" s="357"/>
      <c r="J11" s="357"/>
      <c r="K11" s="405"/>
      <c r="L11" s="406"/>
      <c r="M11" s="357"/>
      <c r="N11" s="357"/>
      <c r="O11" s="411"/>
      <c r="P11" s="411"/>
      <c r="Q11" s="412"/>
      <c r="R11" s="418"/>
      <c r="S11" s="357"/>
      <c r="T11" s="357"/>
      <c r="U11" s="405"/>
      <c r="V11" s="357"/>
      <c r="W11" s="411"/>
      <c r="X11" s="411"/>
      <c r="Y11" s="412"/>
      <c r="Z11" s="418"/>
      <c r="AA11" s="357"/>
      <c r="AB11" s="357"/>
      <c r="AC11" s="405"/>
      <c r="AD11" s="357"/>
      <c r="AE11" s="411"/>
      <c r="AF11" s="411"/>
      <c r="AG11" s="412"/>
      <c r="AH11" s="418"/>
      <c r="AI11" s="357"/>
      <c r="AJ11" s="357"/>
      <c r="AK11" s="405"/>
      <c r="AL11" s="357"/>
      <c r="AM11" s="411"/>
      <c r="AN11" s="411"/>
      <c r="AO11" s="412"/>
      <c r="AP11" s="418"/>
      <c r="AQ11" s="357"/>
      <c r="AR11" s="357"/>
      <c r="AS11" s="405"/>
      <c r="AT11" s="407"/>
      <c r="AU11" s="407"/>
      <c r="AV11" s="407"/>
      <c r="AW11" s="407"/>
      <c r="AX11" s="416"/>
      <c r="AY11" s="416"/>
    </row>
    <row r="12" spans="2:52">
      <c r="B12" s="345">
        <f ca="1">RefDate</f>
        <v>42254</v>
      </c>
      <c r="C12" s="415" t="s">
        <v>11</v>
      </c>
      <c r="D12" s="415" t="s">
        <v>11</v>
      </c>
      <c r="E12" s="401">
        <f ca="1">VLOOKUP("EUR CMS v 3MEurib  "&amp;C12&amp;D12,'CMS Swaps'!$X:$AA,3,)</f>
        <v>69.5</v>
      </c>
      <c r="F12" s="401">
        <f ca="1">VLOOKUP("EUR CMS v 3MEurib  "&amp;C12&amp;D12,'CMS Swaps'!$X:$AA,4,)</f>
        <v>78.599999999999994</v>
      </c>
      <c r="G12" s="345">
        <f ca="1">_xll.qlCalendarAdvance("Target",B12,"2d")</f>
        <v>42256</v>
      </c>
      <c r="H12" s="345">
        <f ca="1">_xll.qlCalendarAdvance("Target",G12,D12,"unadjusted")</f>
        <v>44083</v>
      </c>
      <c r="I12" s="357" t="str">
        <f ca="1">_xll.qlSchedule(,G12,H12,"3M","Target","Modified Following","Modified Following","Backward")</f>
        <v>obj_00002#0018</v>
      </c>
      <c r="J12" s="357" t="str">
        <f ca="1">_xll.qlIborLeg(,,10000,I12,2,,"Act/360",,,Curve!$S$85)</f>
        <v>obj_00813#0015</v>
      </c>
      <c r="K12" s="405">
        <f ca="1">_xll.qlLegNPV(J12,Curve!$S$16)</f>
        <v>131.50792242064864</v>
      </c>
      <c r="L12" s="406">
        <f ca="1">_xll.qlLegBPS(J12,Curve!$S$16)</f>
        <v>5.0790511581753321</v>
      </c>
      <c r="M12" s="357" t="str">
        <f ca="1">_xll.qlEuriborSwapIsdaFixA(,C12,Curve!$S$109,Curve!$S$16)</f>
        <v>obj_007f4#0019</v>
      </c>
      <c r="N12" s="357" t="str">
        <f ca="1">_xll.qlCmsLeg(,,10000,I12,2,,"Act/360",,,M12)</f>
        <v>obj_00812#0015</v>
      </c>
      <c r="O12" s="411" t="str">
        <f t="shared" ca="1" si="0"/>
        <v>ConundrumByBlack</v>
      </c>
      <c r="P12" s="411" t="str">
        <f t="shared" ca="1" si="0"/>
        <v>Standard</v>
      </c>
      <c r="Q12" s="412">
        <f t="shared" ca="1" si="0"/>
        <v>0</v>
      </c>
      <c r="R12" s="418" t="str">
        <f t="shared" ca="1" si="0"/>
        <v>EUR-ATM-Swaption-Surface-LVol#0001</v>
      </c>
      <c r="S12" s="357" t="str">
        <f ca="1">_xll.qlCmsCouponPricer(,R12,O12,P12,Q12)</f>
        <v>obj_00803#0017</v>
      </c>
      <c r="T12" s="357" t="b">
        <f ca="1">_xll.qlLegSetCouponPricers(N12,S12)</f>
        <v>1</v>
      </c>
      <c r="U12" s="405">
        <f ca="1">_xll.qlLegNPV(N12,Curve!$S$16,,,,T12)</f>
        <v>524.64099349698563</v>
      </c>
      <c r="V12" s="357" t="str">
        <f ca="1">_xll.qlCmsLeg(,,10000,I12,2,,"Act/360",,,M12)</f>
        <v>obj_0084d#0012</v>
      </c>
      <c r="W12" s="411" t="str">
        <f t="shared" ca="1" si="1"/>
        <v>ConundrumByBachelier</v>
      </c>
      <c r="X12" s="411" t="str">
        <f t="shared" ca="1" si="1"/>
        <v>Standard</v>
      </c>
      <c r="Y12" s="412">
        <f t="shared" ca="1" si="1"/>
        <v>0</v>
      </c>
      <c r="Z12" s="418" t="str">
        <f t="shared" ca="1" si="1"/>
        <v>EUR-ATM-Swaption-Surface-NVol#0001</v>
      </c>
      <c r="AA12" s="357" t="str">
        <f ca="1">_xll.qlCmsCouponPricer(,Z12,W12,X12,Y12)</f>
        <v>obj_00839#0019</v>
      </c>
      <c r="AB12" s="357" t="b">
        <f ca="1">_xll.qlLegSetCouponPricers(V12,AA12)</f>
        <v>1</v>
      </c>
      <c r="AC12" s="405">
        <f ca="1">_xll.qlLegNPV(V12,Curve!$S$16,,,,AB12)</f>
        <v>506.96813720390202</v>
      </c>
      <c r="AD12" s="357" t="str">
        <f ca="1">_xll.qlCmsLeg(,,10000,I12,2,,"Act/360",,,M12)</f>
        <v>obj_00b40#0011</v>
      </c>
      <c r="AE12" s="411" t="str">
        <f t="shared" ca="1" si="2"/>
        <v>ConundrumByBachelier</v>
      </c>
      <c r="AF12" s="411" t="str">
        <f t="shared" ca="1" si="2"/>
        <v>NonParallelShifts</v>
      </c>
      <c r="AG12" s="412">
        <f t="shared" ca="1" si="2"/>
        <v>0.1</v>
      </c>
      <c r="AH12" s="418" t="str">
        <f t="shared" ca="1" si="2"/>
        <v>EUR-ATM-Swaption-Surface-NVol#0001</v>
      </c>
      <c r="AI12" s="357" t="str">
        <f ca="1">_xll.qlCmsCouponPricer(,AH12,AE12,AF12,AG12)</f>
        <v>obj_0086d#0018</v>
      </c>
      <c r="AJ12" s="357" t="b">
        <f ca="1">_xll.qlLegSetCouponPricers(AD12,AI12)</f>
        <v>1</v>
      </c>
      <c r="AK12" s="405">
        <f ca="1">_xll.qlLegNPV(AD12,Curve!$S$16,,,,AJ12)</f>
        <v>507.74842685954604</v>
      </c>
      <c r="AL12" s="357" t="str">
        <f ca="1">_xll.qlCmsLeg(,,10000,I12,2,,"Act/360",,,M12)</f>
        <v>obj_00b68#0012</v>
      </c>
      <c r="AM12" s="411" t="str">
        <f t="shared" ca="1" si="3"/>
        <v>ConundrumByBachelier</v>
      </c>
      <c r="AN12" s="411" t="str">
        <f t="shared" ca="1" si="3"/>
        <v>Affine</v>
      </c>
      <c r="AO12" s="412">
        <f t="shared" ca="1" si="3"/>
        <v>0</v>
      </c>
      <c r="AP12" s="418" t="str">
        <f t="shared" ca="1" si="3"/>
        <v>EUR-ATM-Swaption-Surface-NVol#0001</v>
      </c>
      <c r="AQ12" s="357" t="str">
        <f ca="1">_xll.qlCmsCouponPricer(,AP12,AM12,AN12,AO12)</f>
        <v>obj_00b5a#0015</v>
      </c>
      <c r="AR12" s="357" t="b">
        <f ca="1">_xll.qlLegSetCouponPricers(AL12,AQ12)</f>
        <v>1</v>
      </c>
      <c r="AS12" s="405">
        <f ca="1">_xll.qlLegNPV(AL12,Curve!$S$16,,,,AR12)</f>
        <v>506.73496916181449</v>
      </c>
      <c r="AT12" s="407">
        <f t="shared" ca="1" si="4"/>
        <v>77.402857115062318</v>
      </c>
      <c r="AU12" s="407">
        <f t="shared" ca="1" si="5"/>
        <v>73.923298484384404</v>
      </c>
      <c r="AV12" s="407">
        <f t="shared" ca="1" si="6"/>
        <v>74.07692750510968</v>
      </c>
      <c r="AW12" s="407">
        <f t="shared" ca="1" si="7"/>
        <v>73.87739068884818</v>
      </c>
      <c r="AX12" s="407">
        <f ca="1">AU12-(E12+F12)/2</f>
        <v>-0.12670151561559351</v>
      </c>
      <c r="AY12" s="407">
        <f ca="1">AW12-(E12+F12)/2</f>
        <v>-0.17260931115181677</v>
      </c>
    </row>
    <row r="13" spans="2:52">
      <c r="B13" s="345">
        <f ca="1">RefDate</f>
        <v>42254</v>
      </c>
      <c r="C13" s="415" t="s">
        <v>11</v>
      </c>
      <c r="D13" s="415" t="s">
        <v>16</v>
      </c>
      <c r="E13" s="401">
        <f ca="1">VLOOKUP("EUR CMS v 3MEurib  "&amp;C13&amp;D13,'CMS Swaps'!$X:$AA,3,)</f>
        <v>59.9</v>
      </c>
      <c r="F13" s="401">
        <f ca="1">VLOOKUP("EUR CMS v 3MEurib  "&amp;C13&amp;D13,'CMS Swaps'!$X:$AA,4,)</f>
        <v>69</v>
      </c>
      <c r="G13" s="345">
        <f ca="1">_xll.qlCalendarAdvance("Target",B13,"2d")</f>
        <v>42256</v>
      </c>
      <c r="H13" s="345">
        <f ca="1">_xll.qlCalendarAdvance("Target",G13,D13,"unadjusted")</f>
        <v>45909</v>
      </c>
      <c r="I13" s="357" t="str">
        <f ca="1">_xll.qlSchedule(,G13,H13,"3M","Target","Modified Following","Modified Following","Backward")</f>
        <v>obj_00004#0018</v>
      </c>
      <c r="J13" s="357" t="str">
        <f ca="1">_xll.qlIborLeg(,,10000,I13,2,,"Act/360",,,Curve!$S$85)</f>
        <v>obj_00816#0015</v>
      </c>
      <c r="K13" s="405">
        <f ca="1">_xll.qlLegNPV(J13,Curve!$S$16)</f>
        <v>881.90570756515046</v>
      </c>
      <c r="L13" s="406">
        <f ca="1">_xll.qlLegBPS(J13,Curve!$S$16)</f>
        <v>9.963374862181082</v>
      </c>
      <c r="M13" s="357" t="str">
        <f ca="1">_xll.qlEuriborSwapIsdaFixA(,C13,Curve!$S$109,Curve!$S$16)</f>
        <v>obj_007e8#0019</v>
      </c>
      <c r="N13" s="357" t="str">
        <f ca="1">_xll.qlCmsLeg(,,10000,I13,2,,"Act/360",,,M13)</f>
        <v>obj_00817#0015</v>
      </c>
      <c r="O13" s="411" t="str">
        <f t="shared" ca="1" si="0"/>
        <v>ConundrumByBlack</v>
      </c>
      <c r="P13" s="411" t="str">
        <f t="shared" ca="1" si="0"/>
        <v>Standard</v>
      </c>
      <c r="Q13" s="412">
        <f t="shared" ca="1" si="0"/>
        <v>0</v>
      </c>
      <c r="R13" s="418" t="str">
        <f t="shared" ca="1" si="0"/>
        <v>EUR-ATM-Swaption-Surface-LVol#0001</v>
      </c>
      <c r="S13" s="357" t="str">
        <f ca="1">_xll.qlCmsCouponPricer(,R13,O13,P13,Q13)</f>
        <v>obj_00804#0017</v>
      </c>
      <c r="T13" s="357" t="b">
        <f ca="1">_xll.qlLegSetCouponPricers(N13,S13)</f>
        <v>1</v>
      </c>
      <c r="U13" s="405">
        <f ca="1">_xll.qlLegNPV(N13,Curve!$S$16,,,,T13)</f>
        <v>1661.9230520800375</v>
      </c>
      <c r="V13" s="357" t="str">
        <f ca="1">_xll.qlCmsLeg(,,10000,I13,2,,"Act/360",,,M13)</f>
        <v>obj_0084f#0012</v>
      </c>
      <c r="W13" s="411" t="str">
        <f t="shared" ca="1" si="1"/>
        <v>ConundrumByBachelier</v>
      </c>
      <c r="X13" s="411" t="str">
        <f t="shared" ca="1" si="1"/>
        <v>Standard</v>
      </c>
      <c r="Y13" s="412">
        <f t="shared" ca="1" si="1"/>
        <v>0</v>
      </c>
      <c r="Z13" s="418" t="str">
        <f t="shared" ca="1" si="1"/>
        <v>EUR-ATM-Swaption-Surface-NVol#0001</v>
      </c>
      <c r="AA13" s="357" t="str">
        <f ca="1">_xll.qlCmsCouponPricer(,Z13,W13,X13,Y13)</f>
        <v>obj_00840#0019</v>
      </c>
      <c r="AB13" s="357" t="b">
        <f ca="1">_xll.qlLegSetCouponPricers(V13,AA13)</f>
        <v>1</v>
      </c>
      <c r="AC13" s="405">
        <f ca="1">_xll.qlLegNPV(V13,Curve!$S$16,,,,AB13)</f>
        <v>1533.0104446651117</v>
      </c>
      <c r="AD13" s="357" t="str">
        <f ca="1">_xll.qlCmsLeg(,,10000,I13,2,,"Act/360",,,M13)</f>
        <v>obj_00b42#0011</v>
      </c>
      <c r="AE13" s="411" t="str">
        <f t="shared" ca="1" si="2"/>
        <v>ConundrumByBachelier</v>
      </c>
      <c r="AF13" s="411" t="str">
        <f t="shared" ca="1" si="2"/>
        <v>NonParallelShifts</v>
      </c>
      <c r="AG13" s="412">
        <f t="shared" ca="1" si="2"/>
        <v>0.1</v>
      </c>
      <c r="AH13" s="418" t="str">
        <f t="shared" ca="1" si="2"/>
        <v>EUR-ATM-Swaption-Surface-NVol#0001</v>
      </c>
      <c r="AI13" s="357" t="str">
        <f ca="1">_xll.qlCmsCouponPricer(,AH13,AE13,AF13,AG13)</f>
        <v>obj_0086c#0018</v>
      </c>
      <c r="AJ13" s="357" t="b">
        <f ca="1">_xll.qlLegSetCouponPricers(AD13,AI13)</f>
        <v>1</v>
      </c>
      <c r="AK13" s="405">
        <f ca="1">_xll.qlLegNPV(AD13,Curve!$S$16,,,,AJ13)</f>
        <v>1537.1904223540437</v>
      </c>
      <c r="AL13" s="357" t="str">
        <f ca="1">_xll.qlCmsLeg(,,10000,I13,2,,"Act/360",,,M13)</f>
        <v>obj_00b6a#0012</v>
      </c>
      <c r="AM13" s="411" t="str">
        <f t="shared" ca="1" si="3"/>
        <v>ConundrumByBachelier</v>
      </c>
      <c r="AN13" s="411" t="str">
        <f t="shared" ca="1" si="3"/>
        <v>Affine</v>
      </c>
      <c r="AO13" s="412">
        <f t="shared" ca="1" si="3"/>
        <v>0</v>
      </c>
      <c r="AP13" s="418" t="str">
        <f t="shared" ca="1" si="3"/>
        <v>EUR-ATM-Swaption-Surface-NVol#0001</v>
      </c>
      <c r="AQ13" s="357" t="str">
        <f ca="1">_xll.qlCmsCouponPricer(,AP13,AM13,AN13,AO13)</f>
        <v>obj_00b57#0015</v>
      </c>
      <c r="AR13" s="357" t="b">
        <f ca="1">_xll.qlLegSetCouponPricers(AL13,AQ13)</f>
        <v>1</v>
      </c>
      <c r="AS13" s="405">
        <f ca="1">_xll.qlLegNPV(AL13,Curve!$S$16,,,,AR13)</f>
        <v>1531.3673232105177</v>
      </c>
      <c r="AT13" s="407">
        <f t="shared" ca="1" si="4"/>
        <v>78.288467040989502</v>
      </c>
      <c r="AU13" s="407">
        <f t="shared" ca="1" si="5"/>
        <v>65.349818320238114</v>
      </c>
      <c r="AV13" s="407">
        <f t="shared" ca="1" si="6"/>
        <v>65.769352639357066</v>
      </c>
      <c r="AW13" s="407">
        <f t="shared" ca="1" si="7"/>
        <v>65.184902167094975</v>
      </c>
      <c r="AX13" s="407">
        <f ca="1">AU13-(E13+F13)/2</f>
        <v>0.89981832023811137</v>
      </c>
      <c r="AY13" s="407">
        <f ca="1">AW13-(E13+F13)/2</f>
        <v>0.73490216709497247</v>
      </c>
    </row>
    <row r="14" spans="2:52">
      <c r="B14" s="345">
        <f ca="1">RefDate</f>
        <v>42254</v>
      </c>
      <c r="C14" s="415" t="s">
        <v>11</v>
      </c>
      <c r="D14" s="417" t="s">
        <v>17</v>
      </c>
      <c r="E14" s="401">
        <f ca="1">VLOOKUP("EUR CMS v 3MEurib  "&amp;C14&amp;D14,'CMS Swaps'!$X:$AA,3,)</f>
        <v>47.2</v>
      </c>
      <c r="F14" s="401">
        <f ca="1">VLOOKUP("EUR CMS v 3MEurib  "&amp;C14&amp;D14,'CMS Swaps'!$X:$AA,4,)</f>
        <v>56.3</v>
      </c>
      <c r="G14" s="345">
        <f ca="1">_xll.qlCalendarAdvance("Target",B14,"2d")</f>
        <v>42256</v>
      </c>
      <c r="H14" s="345">
        <f ca="1">_xll.qlCalendarAdvance("Target",G14,D14,"unadjusted")</f>
        <v>47735</v>
      </c>
      <c r="I14" s="357" t="str">
        <f ca="1">_xll.qlSchedule(,G14,H14,"3M","Target","Modified Following","Modified Following","Backward")</f>
        <v>obj_00003#0018</v>
      </c>
      <c r="J14" s="357" t="str">
        <f ca="1">_xll.qlIborLeg(,,10000,I14,2,,"Act/360",,,Curve!$S$85)</f>
        <v>obj_00814#0015</v>
      </c>
      <c r="K14" s="405">
        <f ca="1">_xll.qlLegNPV(J14,Curve!$S$16)</f>
        <v>1807.6313425835522</v>
      </c>
      <c r="L14" s="406">
        <f ca="1">_xll.qlLegBPS(J14,Curve!$S$16)</f>
        <v>14.427535677164078</v>
      </c>
      <c r="M14" s="357" t="str">
        <f ca="1">_xll.qlEuriborSwapIsdaFixA(,C14,Curve!$S$109,Curve!$S$16)</f>
        <v>obj_007ee#0019</v>
      </c>
      <c r="N14" s="357" t="str">
        <f ca="1">_xll.qlCmsLeg(,,10000,I14,2,,"Act/360",,,M14)</f>
        <v>obj_00815#0015</v>
      </c>
      <c r="O14" s="411" t="str">
        <f t="shared" ca="1" si="0"/>
        <v>ConundrumByBlack</v>
      </c>
      <c r="P14" s="411" t="str">
        <f t="shared" ca="1" si="0"/>
        <v>Standard</v>
      </c>
      <c r="Q14" s="412">
        <f t="shared" ca="1" si="0"/>
        <v>0</v>
      </c>
      <c r="R14" s="418" t="str">
        <f t="shared" ca="1" si="0"/>
        <v>EUR-ATM-Swaption-Surface-LVol#0001</v>
      </c>
      <c r="S14" s="357" t="str">
        <f ca="1">_xll.qlCmsCouponPricer(,R14,O14,P14,Q14)</f>
        <v>obj_00807#0017</v>
      </c>
      <c r="T14" s="357" t="b">
        <f ca="1">_xll.qlLegSetCouponPricers(N14,S14)</f>
        <v>1</v>
      </c>
      <c r="U14" s="405">
        <f ca="1">_xll.qlLegNPV(N14,Curve!$S$16,,,,T14)</f>
        <v>3112.2448386973338</v>
      </c>
      <c r="V14" s="357" t="str">
        <f ca="1">_xll.qlCmsLeg(,,10000,I14,2,,"Act/360",,,M14)</f>
        <v>obj_0084e#0012</v>
      </c>
      <c r="W14" s="411" t="str">
        <f t="shared" ca="1" si="1"/>
        <v>ConundrumByBachelier</v>
      </c>
      <c r="X14" s="411" t="str">
        <f t="shared" ca="1" si="1"/>
        <v>Standard</v>
      </c>
      <c r="Y14" s="412">
        <f t="shared" ca="1" si="1"/>
        <v>0</v>
      </c>
      <c r="Z14" s="418" t="str">
        <f t="shared" ca="1" si="1"/>
        <v>EUR-ATM-Swaption-Surface-NVol#0001</v>
      </c>
      <c r="AA14" s="357" t="str">
        <f ca="1">_xll.qlCmsCouponPricer(,Z14,W14,X14,Y14)</f>
        <v>obj_00847#0019</v>
      </c>
      <c r="AB14" s="357" t="b">
        <f ca="1">_xll.qlLegSetCouponPricers(V14,AA14)</f>
        <v>1</v>
      </c>
      <c r="AC14" s="405">
        <f ca="1">_xll.qlLegNPV(V14,Curve!$S$16,,,,AB14)</f>
        <v>2579.8211568414231</v>
      </c>
      <c r="AD14" s="357" t="str">
        <f ca="1">_xll.qlCmsLeg(,,10000,I14,2,,"Act/360",,,M14)</f>
        <v>obj_00b41#0011</v>
      </c>
      <c r="AE14" s="411" t="str">
        <f t="shared" ca="1" si="2"/>
        <v>ConundrumByBachelier</v>
      </c>
      <c r="AF14" s="411" t="str">
        <f t="shared" ca="1" si="2"/>
        <v>NonParallelShifts</v>
      </c>
      <c r="AG14" s="412">
        <f t="shared" ca="1" si="2"/>
        <v>0.1</v>
      </c>
      <c r="AH14" s="418" t="str">
        <f t="shared" ca="1" si="2"/>
        <v>EUR-ATM-Swaption-Surface-NVol#0001</v>
      </c>
      <c r="AI14" s="357" t="str">
        <f ca="1">_xll.qlCmsCouponPricer(,AH14,AE14,AF14,AG14)</f>
        <v>obj_0086b#0018</v>
      </c>
      <c r="AJ14" s="357" t="b">
        <f ca="1">_xll.qlLegSetCouponPricers(AD14,AI14)</f>
        <v>1</v>
      </c>
      <c r="AK14" s="405">
        <f ca="1">_xll.qlLegNPV(AD14,Curve!$S$16,,,,AJ14)</f>
        <v>2589.2191984322944</v>
      </c>
      <c r="AL14" s="357" t="str">
        <f ca="1">_xll.qlCmsLeg(,,10000,I14,2,,"Act/360",,,M14)</f>
        <v>obj_00b69#0012</v>
      </c>
      <c r="AM14" s="411" t="str">
        <f t="shared" ca="1" si="3"/>
        <v>ConundrumByBachelier</v>
      </c>
      <c r="AN14" s="411" t="str">
        <f t="shared" ca="1" si="3"/>
        <v>Affine</v>
      </c>
      <c r="AO14" s="412">
        <f t="shared" ca="1" si="3"/>
        <v>0</v>
      </c>
      <c r="AP14" s="418" t="str">
        <f t="shared" ca="1" si="3"/>
        <v>EUR-ATM-Swaption-Surface-NVol#0001</v>
      </c>
      <c r="AQ14" s="357" t="str">
        <f ca="1">_xll.qlCmsCouponPricer(,AP14,AM14,AN14,AO14)</f>
        <v>obj_00b5f#0015</v>
      </c>
      <c r="AR14" s="357" t="b">
        <f ca="1">_xll.qlLegSetCouponPricers(AL14,AQ14)</f>
        <v>1</v>
      </c>
      <c r="AS14" s="405">
        <f ca="1">_xll.qlLegNPV(AL14,Curve!$S$16,,,,AR14)</f>
        <v>2575.9976167601021</v>
      </c>
      <c r="AT14" s="407">
        <f t="shared" ca="1" si="4"/>
        <v>90.425248310335178</v>
      </c>
      <c r="AU14" s="407">
        <f t="shared" ca="1" si="5"/>
        <v>53.521947998374657</v>
      </c>
      <c r="AV14" s="407">
        <f t="shared" ca="1" si="6"/>
        <v>54.173344175876167</v>
      </c>
      <c r="AW14" s="407">
        <f t="shared" ca="1" si="7"/>
        <v>53.256931146787672</v>
      </c>
      <c r="AX14" s="407">
        <f ca="1">AU14-(E14+F14)/2</f>
        <v>1.7719479983746567</v>
      </c>
      <c r="AY14" s="407">
        <f ca="1">AW14-(E14+F14)/2</f>
        <v>1.5069311467876716</v>
      </c>
    </row>
    <row r="15" spans="2:52">
      <c r="B15" s="345">
        <f ca="1">RefDate</f>
        <v>42254</v>
      </c>
      <c r="C15" s="415" t="s">
        <v>11</v>
      </c>
      <c r="D15" s="417" t="s">
        <v>104</v>
      </c>
      <c r="E15" s="401">
        <f ca="1">VLOOKUP("EUR CMS v 3MEurib  "&amp;C15&amp;D15,'CMS Swaps'!$X:$AA,3,)</f>
        <v>38.799999999999997</v>
      </c>
      <c r="F15" s="401">
        <f ca="1">VLOOKUP("EUR CMS v 3MEurib  "&amp;C15&amp;D15,'CMS Swaps'!$X:$AA,4,)</f>
        <v>48</v>
      </c>
      <c r="G15" s="345">
        <f ca="1">_xll.qlCalendarAdvance("Target",B15,"2d")</f>
        <v>42256</v>
      </c>
      <c r="H15" s="345">
        <f ca="1">_xll.qlCalendarAdvance("Target",G15,D15,"unadjusted")</f>
        <v>49561</v>
      </c>
      <c r="I15" s="357" t="str">
        <f ca="1">_xll.qlSchedule(,G15,H15,"3M","Target","Modified Following","Modified Following","Backward")</f>
        <v>obj_00012#0016</v>
      </c>
      <c r="J15" s="357" t="str">
        <f ca="1">_xll.qlIborLeg(,,10000,I15,2,,"Act/360",,,Curve!$S$85)</f>
        <v>obj_00832#0014</v>
      </c>
      <c r="K15" s="405">
        <f ca="1">_xll.qlLegNPV(J15,Curve!$S$16)</f>
        <v>2599.3423770022291</v>
      </c>
      <c r="L15" s="406">
        <f ca="1">_xll.qlLegBPS(J15,Curve!$S$16)</f>
        <v>18.472357537197599</v>
      </c>
      <c r="M15" s="357" t="str">
        <f ca="1">_xll.qlEuriborSwapIsdaFixA(,C15,Curve!$S$109,Curve!$S$16)</f>
        <v>obj_007ed#0019</v>
      </c>
      <c r="N15" s="357" t="str">
        <f ca="1">_xll.qlCmsLeg(,,10000,I15,2,,"Act/360",,,M15)</f>
        <v>obj_00833#0014</v>
      </c>
      <c r="O15" s="411" t="str">
        <f t="shared" ca="1" si="0"/>
        <v>ConundrumByBlack</v>
      </c>
      <c r="P15" s="411" t="str">
        <f t="shared" ca="1" si="0"/>
        <v>Standard</v>
      </c>
      <c r="Q15" s="412">
        <f t="shared" ca="1" si="0"/>
        <v>0</v>
      </c>
      <c r="R15" s="418" t="str">
        <f t="shared" ca="1" si="0"/>
        <v>EUR-ATM-Swaption-Surface-LVol#0001</v>
      </c>
      <c r="S15" s="357" t="str">
        <f ca="1">_xll.qlCmsCouponPricer(,R15,O15,P15,Q15)</f>
        <v>obj_007ff#0018</v>
      </c>
      <c r="T15" s="357" t="b">
        <f ca="1">_xll.qlLegSetCouponPricers(N15,S15)</f>
        <v>1</v>
      </c>
      <c r="U15" s="405">
        <f ca="1">_xll.qlLegNPV(N15,Curve!$S$16,,,,T15)</f>
        <v>5930.7866314435596</v>
      </c>
      <c r="V15" s="357" t="str">
        <f ca="1">_xll.qlCmsLeg(,,10000,I15,2,,"Act/360",,,M15)</f>
        <v>obj_0085c#0011</v>
      </c>
      <c r="W15" s="411" t="str">
        <f t="shared" ca="1" si="1"/>
        <v>ConundrumByBachelier</v>
      </c>
      <c r="X15" s="411" t="str">
        <f t="shared" ca="1" si="1"/>
        <v>Standard</v>
      </c>
      <c r="Y15" s="412">
        <f t="shared" ca="1" si="1"/>
        <v>0</v>
      </c>
      <c r="Z15" s="418" t="str">
        <f t="shared" ca="1" si="1"/>
        <v>EUR-ATM-Swaption-Surface-NVol#0001</v>
      </c>
      <c r="AA15" s="357" t="str">
        <f ca="1">_xll.qlCmsCouponPricer(,Z15,W15,X15,Y15)</f>
        <v>obj_00841#0019</v>
      </c>
      <c r="AB15" s="357" t="b">
        <f ca="1">_xll.qlLegSetCouponPricers(V15,AA15)</f>
        <v>1</v>
      </c>
      <c r="AC15" s="405">
        <f ca="1">_xll.qlLegNPV(V15,Curve!$S$16,,,,AB15)</f>
        <v>3442.0215777561934</v>
      </c>
      <c r="AD15" s="357" t="str">
        <f ca="1">_xll.qlCmsLeg(,,10000,I15,2,,"Act/360",,,M15)</f>
        <v>obj_00b4f#0010</v>
      </c>
      <c r="AE15" s="411" t="str">
        <f t="shared" ca="1" si="2"/>
        <v>ConundrumByBachelier</v>
      </c>
      <c r="AF15" s="411" t="str">
        <f t="shared" ca="1" si="2"/>
        <v>NonParallelShifts</v>
      </c>
      <c r="AG15" s="412">
        <f t="shared" ca="1" si="2"/>
        <v>0.1</v>
      </c>
      <c r="AH15" s="418" t="str">
        <f t="shared" ca="1" si="2"/>
        <v>EUR-ATM-Swaption-Surface-NVol#0001</v>
      </c>
      <c r="AI15" s="357" t="str">
        <f ca="1">_xll.qlCmsCouponPricer(,AH15,AE15,AF15,AG15)</f>
        <v>obj_0086a#0018</v>
      </c>
      <c r="AJ15" s="357" t="b">
        <f ca="1">_xll.qlLegSetCouponPricers(AD15,AI15)</f>
        <v>1</v>
      </c>
      <c r="AK15" s="405">
        <f ca="1">_xll.qlLegNPV(AD15,Curve!$S$16,,,,AJ15)</f>
        <v>3457.0159963546889</v>
      </c>
      <c r="AL15" s="357" t="str">
        <f ca="1">_xll.qlCmsLeg(,,10000,I15,2,,"Act/360",,,M15)</f>
        <v>obj_00b77#0010</v>
      </c>
      <c r="AM15" s="411" t="str">
        <f t="shared" ca="1" si="3"/>
        <v>ConundrumByBachelier</v>
      </c>
      <c r="AN15" s="411" t="str">
        <f t="shared" ca="1" si="3"/>
        <v>Affine</v>
      </c>
      <c r="AO15" s="412">
        <f t="shared" ca="1" si="3"/>
        <v>0</v>
      </c>
      <c r="AP15" s="418" t="str">
        <f t="shared" ca="1" si="3"/>
        <v>EUR-ATM-Swaption-Surface-NVol#0001</v>
      </c>
      <c r="AQ15" s="357" t="str">
        <f ca="1">_xll.qlCmsCouponPricer(,AP15,AM15,AN15,AO15)</f>
        <v>obj_00b61#0015</v>
      </c>
      <c r="AR15" s="357" t="b">
        <f ca="1">_xll.qlLegSetCouponPricers(AL15,AQ15)</f>
        <v>1</v>
      </c>
      <c r="AS15" s="405">
        <f ca="1">_xll.qlLegNPV(AL15,Curve!$S$16,,,,AR15)</f>
        <v>3436.1383771438609</v>
      </c>
      <c r="AT15" s="407">
        <f t="shared" ca="1" si="4"/>
        <v>180.34754079076453</v>
      </c>
      <c r="AU15" s="407">
        <f t="shared" ca="1" si="5"/>
        <v>45.618389480447732</v>
      </c>
      <c r="AV15" s="407">
        <f t="shared" ca="1" si="6"/>
        <v>46.430111458451968</v>
      </c>
      <c r="AW15" s="407">
        <f t="shared" ca="1" si="7"/>
        <v>45.2999027577603</v>
      </c>
      <c r="AX15" s="407">
        <f ca="1">AU15-(E15+F15)/2</f>
        <v>2.2183894804477333</v>
      </c>
      <c r="AY15" s="407">
        <f ca="1">AW15-(E15+F15)/2</f>
        <v>1.8999027577603016</v>
      </c>
    </row>
    <row r="16" spans="2:52">
      <c r="C16" s="415"/>
      <c r="D16" s="415"/>
      <c r="E16" s="401"/>
      <c r="F16" s="401"/>
      <c r="G16" s="345"/>
      <c r="H16" s="345"/>
      <c r="I16" s="357"/>
      <c r="J16" s="357"/>
      <c r="K16" s="405"/>
      <c r="L16" s="406"/>
      <c r="M16" s="357"/>
      <c r="N16" s="357"/>
      <c r="O16" s="411"/>
      <c r="P16" s="411"/>
      <c r="Q16" s="412"/>
      <c r="R16" s="418"/>
      <c r="S16" s="357"/>
      <c r="T16" s="357"/>
      <c r="U16" s="405"/>
      <c r="V16" s="357"/>
      <c r="W16" s="411"/>
      <c r="X16" s="411"/>
      <c r="Y16" s="412"/>
      <c r="Z16" s="418"/>
      <c r="AA16" s="357"/>
      <c r="AB16" s="357"/>
      <c r="AC16" s="405"/>
      <c r="AD16" s="357"/>
      <c r="AE16" s="411"/>
      <c r="AF16" s="411"/>
      <c r="AG16" s="412"/>
      <c r="AH16" s="418"/>
      <c r="AI16" s="357"/>
      <c r="AJ16" s="357"/>
      <c r="AK16" s="405"/>
      <c r="AL16" s="357"/>
      <c r="AM16" s="411"/>
      <c r="AN16" s="411"/>
      <c r="AO16" s="412"/>
      <c r="AP16" s="418"/>
      <c r="AQ16" s="357"/>
      <c r="AR16" s="357"/>
      <c r="AS16" s="405"/>
      <c r="AT16" s="407"/>
      <c r="AU16" s="407"/>
      <c r="AV16" s="407"/>
      <c r="AW16" s="407"/>
      <c r="AX16" s="416"/>
      <c r="AY16" s="416"/>
    </row>
    <row r="17" spans="2:51">
      <c r="B17" s="345">
        <f ca="1">RefDate</f>
        <v>42254</v>
      </c>
      <c r="C17" s="415" t="s">
        <v>16</v>
      </c>
      <c r="D17" s="415" t="s">
        <v>11</v>
      </c>
      <c r="E17" s="401">
        <f ca="1">VLOOKUP("EUR CMS v 3MEurib "&amp;C17&amp;D17,'CMS Swaps'!$X:$AA,3,)</f>
        <v>122</v>
      </c>
      <c r="F17" s="401">
        <f ca="1">VLOOKUP("EUR CMS v 3MEurib "&amp;C17&amp;D17,'CMS Swaps'!$X:$AA,4,)</f>
        <v>132.30000000000001</v>
      </c>
      <c r="G17" s="345">
        <f ca="1">_xll.qlCalendarAdvance("Target",B17,"2d")</f>
        <v>42256</v>
      </c>
      <c r="H17" s="345">
        <f ca="1">_xll.qlCalendarAdvance("Target",G17,D17,"unadjusted")</f>
        <v>44083</v>
      </c>
      <c r="I17" s="357" t="str">
        <f ca="1">_xll.qlSchedule(,G17,H17,"3M","Target","Modified Following","Modified Following","Backward")</f>
        <v>obj_0000b#0017</v>
      </c>
      <c r="J17" s="357" t="str">
        <f ca="1">_xll.qlIborLeg(,,10000,I17,2,,"Act/360",,,Curve!$S$85)</f>
        <v>obj_00824#0015</v>
      </c>
      <c r="K17" s="405">
        <f ca="1">_xll.qlLegNPV(J17,Curve!$S$16)</f>
        <v>131.50792242064864</v>
      </c>
      <c r="L17" s="406">
        <f ca="1">_xll.qlLegBPS(J17,Curve!$S$16)</f>
        <v>5.0790511581753321</v>
      </c>
      <c r="M17" s="357" t="str">
        <f ca="1">_xll.qlEuriborSwapIsdaFixA(,C17,Curve!$S$109,Curve!$S$16)</f>
        <v>obj_007ef#0019</v>
      </c>
      <c r="N17" s="357" t="str">
        <f ca="1">_xll.qlCmsLeg(,,10000,I17,2,,"Act/360",,,M17)</f>
        <v>obj_00825#0015</v>
      </c>
      <c r="O17" s="411" t="str">
        <f t="shared" ca="1" si="0"/>
        <v>ConundrumByBlack</v>
      </c>
      <c r="P17" s="411" t="str">
        <f t="shared" ca="1" si="0"/>
        <v>Standard</v>
      </c>
      <c r="Q17" s="412">
        <f t="shared" ca="1" si="0"/>
        <v>0</v>
      </c>
      <c r="R17" s="418" t="str">
        <f t="shared" ca="1" si="0"/>
        <v>EUR-ATM-Swaption-Surface-LVol#0001</v>
      </c>
      <c r="S17" s="357" t="str">
        <f ca="1">_xll.qlCmsCouponPricer(,R17,O17,P17,Q17)</f>
        <v>obj_00802#0017</v>
      </c>
      <c r="T17" s="357" t="b">
        <f ca="1">_xll.qlLegSetCouponPricers(N17,S17)</f>
        <v>1</v>
      </c>
      <c r="U17" s="405">
        <f ca="1">_xll.qlLegNPV(N17,Curve!$S$16,,,,T17)</f>
        <v>799.64398997701221</v>
      </c>
      <c r="V17" s="357" t="str">
        <f ca="1">_xll.qlCmsLeg(,,10000,I17,2,,"Act/360",,,M17)</f>
        <v>obj_00855#0011</v>
      </c>
      <c r="W17" s="411" t="str">
        <f t="shared" ca="1" si="1"/>
        <v>ConundrumByBachelier</v>
      </c>
      <c r="X17" s="411" t="str">
        <f t="shared" ca="1" si="1"/>
        <v>Standard</v>
      </c>
      <c r="Y17" s="412">
        <f t="shared" ca="1" si="1"/>
        <v>0</v>
      </c>
      <c r="Z17" s="418" t="str">
        <f t="shared" ca="1" si="1"/>
        <v>EUR-ATM-Swaption-Surface-NVol#0001</v>
      </c>
      <c r="AA17" s="357" t="str">
        <f ca="1">_xll.qlCmsCouponPricer(,Z17,W17,X17,Y17)</f>
        <v>obj_00842#0019</v>
      </c>
      <c r="AB17" s="357" t="b">
        <f ca="1">_xll.qlLegSetCouponPricers(V17,AA17)</f>
        <v>1</v>
      </c>
      <c r="AC17" s="405">
        <f ca="1">_xll.qlLegNPV(V17,Curve!$S$16,,,,AB17)</f>
        <v>775.00505565264541</v>
      </c>
      <c r="AD17" s="357" t="str">
        <f ca="1">_xll.qlCmsLeg(,,10000,I17,2,,"Act/360",,,M17)</f>
        <v>obj_00b48#0010</v>
      </c>
      <c r="AE17" s="411" t="str">
        <f t="shared" ca="1" si="2"/>
        <v>ConundrumByBachelier</v>
      </c>
      <c r="AF17" s="411" t="str">
        <f t="shared" ca="1" si="2"/>
        <v>NonParallelShifts</v>
      </c>
      <c r="AG17" s="412">
        <f t="shared" ca="1" si="2"/>
        <v>0.1</v>
      </c>
      <c r="AH17" s="418" t="str">
        <f t="shared" ca="1" si="2"/>
        <v>EUR-ATM-Swaption-Surface-NVol#0001</v>
      </c>
      <c r="AI17" s="357" t="str">
        <f ca="1">_xll.qlCmsCouponPricer(,AH17,AE17,AF17,AG17)</f>
        <v>obj_00869#0018</v>
      </c>
      <c r="AJ17" s="357" t="b">
        <f ca="1">_xll.qlLegSetCouponPricers(AD17,AI17)</f>
        <v>1</v>
      </c>
      <c r="AK17" s="405">
        <f ca="1">_xll.qlLegNPV(AD17,Curve!$S$16,,,,AJ17)</f>
        <v>779.62187232902784</v>
      </c>
      <c r="AL17" s="357" t="str">
        <f ca="1">_xll.qlCmsLeg(,,10000,I17,2,,"Act/360",,,M17)</f>
        <v>obj_00b70#0011</v>
      </c>
      <c r="AM17" s="411" t="str">
        <f t="shared" ca="1" si="3"/>
        <v>ConundrumByBachelier</v>
      </c>
      <c r="AN17" s="411" t="str">
        <f t="shared" ca="1" si="3"/>
        <v>Affine</v>
      </c>
      <c r="AO17" s="412">
        <f t="shared" ca="1" si="3"/>
        <v>0</v>
      </c>
      <c r="AP17" s="418" t="str">
        <f t="shared" ca="1" si="3"/>
        <v>EUR-ATM-Swaption-Surface-NVol#0001</v>
      </c>
      <c r="AQ17" s="357" t="str">
        <f ca="1">_xll.qlCmsCouponPricer(,AP17,AM17,AN17,AO17)</f>
        <v>obj_00b60#0015</v>
      </c>
      <c r="AR17" s="357" t="b">
        <f ca="1">_xll.qlLegSetCouponPricers(AL17,AQ17)</f>
        <v>1</v>
      </c>
      <c r="AS17" s="405">
        <f ca="1">_xll.qlLegNPV(AL17,Curve!$S$16,,,,AR17)</f>
        <v>773.33845089805982</v>
      </c>
      <c r="AT17" s="407">
        <f t="shared" ca="1" si="4"/>
        <v>131.54741835606828</v>
      </c>
      <c r="AU17" s="407">
        <f t="shared" ca="1" si="5"/>
        <v>126.6963283479065</v>
      </c>
      <c r="AV17" s="407">
        <f t="shared" ca="1" si="6"/>
        <v>127.60532030971245</v>
      </c>
      <c r="AW17" s="407">
        <f t="shared" ca="1" si="7"/>
        <v>126.36819525716122</v>
      </c>
      <c r="AX17" s="407">
        <f ca="1">AU17-(E17+F17)/2</f>
        <v>-0.45367165209350446</v>
      </c>
      <c r="AY17" s="407">
        <f ca="1">AW17-(E17+F17)/2</f>
        <v>-0.78180474283878709</v>
      </c>
    </row>
    <row r="18" spans="2:51">
      <c r="B18" s="345">
        <f ca="1">RefDate</f>
        <v>42254</v>
      </c>
      <c r="C18" s="415" t="s">
        <v>16</v>
      </c>
      <c r="D18" s="415" t="s">
        <v>16</v>
      </c>
      <c r="E18" s="401">
        <f ca="1">VLOOKUP("EUR CMS v 3MEurib "&amp;C18&amp;D18,'CMS Swaps'!$X:$AA,3,)</f>
        <v>95.1</v>
      </c>
      <c r="F18" s="401">
        <f ca="1">VLOOKUP("EUR CMS v 3MEurib "&amp;C18&amp;D18,'CMS Swaps'!$X:$AA,4,)</f>
        <v>105.3</v>
      </c>
      <c r="G18" s="345">
        <f ca="1">_xll.qlCalendarAdvance("Target",B18,"2d")</f>
        <v>42256</v>
      </c>
      <c r="H18" s="345">
        <f ca="1">_xll.qlCalendarAdvance("Target",G18,D18,"unadjusted")</f>
        <v>45909</v>
      </c>
      <c r="I18" s="357" t="str">
        <f ca="1">_xll.qlSchedule(,G18,H18,"3M","Target","Modified Following","Modified Following","Backward")</f>
        <v>obj_0000c#0017</v>
      </c>
      <c r="J18" s="357" t="str">
        <f ca="1">_xll.qlIborLeg(,,10000,I18,2,,"Act/360",,,Curve!$S$85)</f>
        <v>obj_00826#0015</v>
      </c>
      <c r="K18" s="405">
        <f ca="1">_xll.qlLegNPV(J18,Curve!$S$16)</f>
        <v>881.90570756515046</v>
      </c>
      <c r="L18" s="406">
        <f ca="1">_xll.qlLegBPS(J18,Curve!$S$16)</f>
        <v>9.963374862181082</v>
      </c>
      <c r="M18" s="357" t="str">
        <f ca="1">_xll.qlEuriborSwapIsdaFixA(,C18,Curve!$S$109,Curve!$S$16)</f>
        <v>obj_007eb#0019</v>
      </c>
      <c r="N18" s="357" t="str">
        <f ca="1">_xll.qlCmsLeg(,,10000,I18,2,,"Act/360",,,M18)</f>
        <v>obj_00827#0015</v>
      </c>
      <c r="O18" s="411" t="str">
        <f t="shared" ca="1" si="0"/>
        <v>ConundrumByBlack</v>
      </c>
      <c r="P18" s="411" t="str">
        <f t="shared" ca="1" si="0"/>
        <v>Standard</v>
      </c>
      <c r="Q18" s="412">
        <f t="shared" ca="1" si="0"/>
        <v>0</v>
      </c>
      <c r="R18" s="418" t="str">
        <f t="shared" ca="1" si="0"/>
        <v>EUR-ATM-Swaption-Surface-LVol#0001</v>
      </c>
      <c r="S18" s="357" t="str">
        <f ca="1">_xll.qlCmsCouponPricer(,R18,O18,P18,Q18)</f>
        <v>obj_0080c#0016</v>
      </c>
      <c r="T18" s="357" t="b">
        <f ca="1">_xll.qlLegSetCouponPricers(N18,S18)</f>
        <v>1</v>
      </c>
      <c r="U18" s="405">
        <f ca="1">_xll.qlLegNPV(N18,Curve!$S$16,,,,T18)</f>
        <v>2108.6627929861643</v>
      </c>
      <c r="V18" s="357" t="str">
        <f ca="1">_xll.qlCmsLeg(,,10000,I18,2,,"Act/360",,,M18)</f>
        <v>obj_00856#0011</v>
      </c>
      <c r="W18" s="411" t="str">
        <f t="shared" ca="1" si="1"/>
        <v>ConundrumByBachelier</v>
      </c>
      <c r="X18" s="411" t="str">
        <f t="shared" ca="1" si="1"/>
        <v>Standard</v>
      </c>
      <c r="Y18" s="412">
        <f t="shared" ca="1" si="1"/>
        <v>0</v>
      </c>
      <c r="Z18" s="418" t="str">
        <f t="shared" ca="1" si="1"/>
        <v>EUR-ATM-Swaption-Surface-NVol#0001</v>
      </c>
      <c r="AA18" s="357" t="str">
        <f ca="1">_xll.qlCmsCouponPricer(,Z18,W18,X18,Y18)</f>
        <v>obj_0083c#0019</v>
      </c>
      <c r="AB18" s="357" t="b">
        <f ca="1">_xll.qlLegSetCouponPricers(V18,AA18)</f>
        <v>1</v>
      </c>
      <c r="AC18" s="405">
        <f ca="1">_xll.qlLegNPV(V18,Curve!$S$16,,,,AB18)</f>
        <v>1895.6938466327026</v>
      </c>
      <c r="AD18" s="357" t="str">
        <f ca="1">_xll.qlCmsLeg(,,10000,I18,2,,"Act/360",,,M18)</f>
        <v>obj_00b49#0010</v>
      </c>
      <c r="AE18" s="411" t="str">
        <f t="shared" ca="1" si="2"/>
        <v>ConundrumByBachelier</v>
      </c>
      <c r="AF18" s="411" t="str">
        <f t="shared" ca="1" si="2"/>
        <v>NonParallelShifts</v>
      </c>
      <c r="AG18" s="412">
        <f t="shared" ca="1" si="2"/>
        <v>0.1</v>
      </c>
      <c r="AH18" s="418" t="str">
        <f t="shared" ca="1" si="2"/>
        <v>EUR-ATM-Swaption-Surface-NVol#0001</v>
      </c>
      <c r="AI18" s="357" t="str">
        <f ca="1">_xll.qlCmsCouponPricer(,AH18,AE18,AF18,AG18)</f>
        <v>obj_00868#0018</v>
      </c>
      <c r="AJ18" s="357" t="b">
        <f ca="1">_xll.qlLegSetCouponPricers(AD18,AI18)</f>
        <v>1</v>
      </c>
      <c r="AK18" s="405">
        <f ca="1">_xll.qlLegNPV(AD18,Curve!$S$16,,,,AJ18)</f>
        <v>1915.3905859653262</v>
      </c>
      <c r="AL18" s="357" t="str">
        <f ca="1">_xll.qlCmsLeg(,,10000,I18,2,,"Act/360",,,M18)</f>
        <v>obj_00b71#0011</v>
      </c>
      <c r="AM18" s="411" t="str">
        <f t="shared" ca="1" si="3"/>
        <v>ConundrumByBachelier</v>
      </c>
      <c r="AN18" s="411" t="str">
        <f t="shared" ca="1" si="3"/>
        <v>Affine</v>
      </c>
      <c r="AO18" s="412">
        <f t="shared" ca="1" si="3"/>
        <v>0</v>
      </c>
      <c r="AP18" s="418" t="str">
        <f t="shared" ca="1" si="3"/>
        <v>EUR-ATM-Swaption-Surface-NVol#0001</v>
      </c>
      <c r="AQ18" s="357" t="str">
        <f ca="1">_xll.qlCmsCouponPricer(,AP18,AM18,AN18,AO18)</f>
        <v>obj_00b5e#0015</v>
      </c>
      <c r="AR18" s="357" t="b">
        <f ca="1">_xll.qlLegSetCouponPricers(AL18,AQ18)</f>
        <v>1</v>
      </c>
      <c r="AS18" s="405">
        <f ca="1">_xll.qlLegNPV(AL18,Curve!$S$16,,,,AR18)</f>
        <v>1887.4134172410413</v>
      </c>
      <c r="AT18" s="407">
        <f t="shared" ca="1" si="4"/>
        <v>123.12666163726621</v>
      </c>
      <c r="AU18" s="407">
        <f t="shared" ca="1" si="5"/>
        <v>101.75148010496754</v>
      </c>
      <c r="AV18" s="407">
        <f t="shared" ca="1" si="6"/>
        <v>103.72839451450042</v>
      </c>
      <c r="AW18" s="407">
        <f t="shared" ca="1" si="7"/>
        <v>100.92039329892032</v>
      </c>
      <c r="AX18" s="407">
        <f ca="1">AU18-(E18+F18)/2</f>
        <v>1.5514801049675526</v>
      </c>
      <c r="AY18" s="407">
        <f ca="1">AW18-(E18+F18)/2</f>
        <v>0.72039329892032811</v>
      </c>
    </row>
    <row r="19" spans="2:51">
      <c r="B19" s="345">
        <f ca="1">RefDate</f>
        <v>42254</v>
      </c>
      <c r="C19" s="415" t="s">
        <v>16</v>
      </c>
      <c r="D19" s="417" t="s">
        <v>17</v>
      </c>
      <c r="E19" s="401">
        <f ca="1">VLOOKUP("EUR CMS v 3MEurib "&amp;C19&amp;D19,'CMS Swaps'!$X:$AA,3,)</f>
        <v>72.2</v>
      </c>
      <c r="F19" s="401">
        <f ca="1">VLOOKUP("EUR CMS v 3MEurib "&amp;C19&amp;D19,'CMS Swaps'!$X:$AA,4,)</f>
        <v>82.4</v>
      </c>
      <c r="G19" s="345">
        <f ca="1">_xll.qlCalendarAdvance("Target",B19,"2d")</f>
        <v>42256</v>
      </c>
      <c r="H19" s="345">
        <f ca="1">_xll.qlCalendarAdvance("Target",G19,D19,"unadjusted")</f>
        <v>47735</v>
      </c>
      <c r="I19" s="357" t="str">
        <f ca="1">_xll.qlSchedule(,G19,H19,"3M","Target","Modified Following","Modified Following","Backward")</f>
        <v>obj_00009#0017</v>
      </c>
      <c r="J19" s="357" t="str">
        <f ca="1">_xll.qlIborLeg(,,10000,I19,2,,"Act/360",,,Curve!$S$85)</f>
        <v>obj_00821#0015</v>
      </c>
      <c r="K19" s="405">
        <f ca="1">_xll.qlLegNPV(J19,Curve!$S$16)</f>
        <v>1807.6313425835522</v>
      </c>
      <c r="L19" s="406">
        <f ca="1">_xll.qlLegBPS(J19,Curve!$S$16)</f>
        <v>14.427535677164078</v>
      </c>
      <c r="M19" s="357" t="str">
        <f ca="1">_xll.qlEuriborSwapIsdaFixA(,C19,Curve!$S$109,Curve!$S$16)</f>
        <v>obj_007f5#0019</v>
      </c>
      <c r="N19" s="357" t="str">
        <f ca="1">_xll.qlCmsLeg(,,10000,I19,2,,"Act/360",,,M19)</f>
        <v>obj_00820#0015</v>
      </c>
      <c r="O19" s="411" t="str">
        <f t="shared" ca="1" si="0"/>
        <v>ConundrumByBlack</v>
      </c>
      <c r="P19" s="411" t="str">
        <f t="shared" ca="1" si="0"/>
        <v>Standard</v>
      </c>
      <c r="Q19" s="412">
        <f t="shared" ca="1" si="0"/>
        <v>0</v>
      </c>
      <c r="R19" s="418" t="str">
        <f t="shared" ca="1" si="0"/>
        <v>EUR-ATM-Swaption-Surface-LVol#0001</v>
      </c>
      <c r="S19" s="357" t="str">
        <f ca="1">_xll.qlCmsCouponPricer(,R19,O19,P19,Q19)</f>
        <v>obj_0080b#0016</v>
      </c>
      <c r="T19" s="357" t="b">
        <f ca="1">_xll.qlLegSetCouponPricers(N19,S19)</f>
        <v>1</v>
      </c>
      <c r="U19" s="405">
        <f ca="1">_xll.qlLegNPV(N19,Curve!$S$16,,,,T19)</f>
        <v>3964.09036415729</v>
      </c>
      <c r="V19" s="357" t="str">
        <f ca="1">_xll.qlCmsLeg(,,10000,I19,2,,"Act/360",,,M19)</f>
        <v>obj_00853#0012</v>
      </c>
      <c r="W19" s="411" t="str">
        <f t="shared" ca="1" si="1"/>
        <v>ConundrumByBachelier</v>
      </c>
      <c r="X19" s="411" t="str">
        <f t="shared" ca="1" si="1"/>
        <v>Standard</v>
      </c>
      <c r="Y19" s="412">
        <f t="shared" ca="1" si="1"/>
        <v>0</v>
      </c>
      <c r="Z19" s="418" t="str">
        <f t="shared" ca="1" si="1"/>
        <v>EUR-ATM-Swaption-Surface-NVol#0001</v>
      </c>
      <c r="AA19" s="357" t="str">
        <f ca="1">_xll.qlCmsCouponPricer(,Z19,W19,X19,Y19)</f>
        <v>obj_0084a#0019</v>
      </c>
      <c r="AB19" s="357" t="b">
        <f ca="1">_xll.qlLegSetCouponPricers(V19,AA19)</f>
        <v>1</v>
      </c>
      <c r="AC19" s="405">
        <f ca="1">_xll.qlLegNPV(V19,Curve!$S$16,,,,AB19)</f>
        <v>2963.4114940515501</v>
      </c>
      <c r="AD19" s="357" t="str">
        <f ca="1">_xll.qlCmsLeg(,,10000,I19,2,,"Act/360",,,M19)</f>
        <v>obj_00b46#0011</v>
      </c>
      <c r="AE19" s="411" t="str">
        <f t="shared" ca="1" si="2"/>
        <v>ConundrumByBachelier</v>
      </c>
      <c r="AF19" s="411" t="str">
        <f t="shared" ca="1" si="2"/>
        <v>NonParallelShifts</v>
      </c>
      <c r="AG19" s="412">
        <f t="shared" ca="1" si="2"/>
        <v>0.1</v>
      </c>
      <c r="AH19" s="418" t="str">
        <f t="shared" ca="1" si="2"/>
        <v>EUR-ATM-Swaption-Surface-NVol#0001</v>
      </c>
      <c r="AI19" s="357" t="str">
        <f ca="1">_xll.qlCmsCouponPricer(,AH19,AE19,AF19,AG19)</f>
        <v>obj_00867#0018</v>
      </c>
      <c r="AJ19" s="357" t="b">
        <f ca="1">_xll.qlLegSetCouponPricers(AD19,AI19)</f>
        <v>1</v>
      </c>
      <c r="AK19" s="405">
        <f ca="1">_xll.qlLegNPV(AD19,Curve!$S$16,,,,AJ19)</f>
        <v>3004.4209434849708</v>
      </c>
      <c r="AL19" s="357" t="str">
        <f ca="1">_xll.qlCmsLeg(,,10000,I19,2,,"Act/360",,,M19)</f>
        <v>obj_00b6e#0011</v>
      </c>
      <c r="AM19" s="411" t="str">
        <f t="shared" ca="1" si="3"/>
        <v>ConundrumByBachelier</v>
      </c>
      <c r="AN19" s="411" t="str">
        <f t="shared" ca="1" si="3"/>
        <v>Affine</v>
      </c>
      <c r="AO19" s="412">
        <f t="shared" ca="1" si="3"/>
        <v>0</v>
      </c>
      <c r="AP19" s="418" t="str">
        <f t="shared" ca="1" si="3"/>
        <v>EUR-ATM-Swaption-Surface-NVol#0001</v>
      </c>
      <c r="AQ19" s="357" t="str">
        <f ca="1">_xll.qlCmsCouponPricer(,AP19,AM19,AN19,AO19)</f>
        <v>obj_00b56#0015</v>
      </c>
      <c r="AR19" s="357" t="b">
        <f ca="1">_xll.qlLegSetCouponPricers(AL19,AQ19)</f>
        <v>1</v>
      </c>
      <c r="AS19" s="405">
        <f ca="1">_xll.qlLegNPV(AL19,Curve!$S$16,,,,AR19)</f>
        <v>2946.1903135865468</v>
      </c>
      <c r="AT19" s="407">
        <f t="shared" ca="1" si="4"/>
        <v>149.4682854943124</v>
      </c>
      <c r="AU19" s="407">
        <f t="shared" ca="1" si="5"/>
        <v>80.10932548220056</v>
      </c>
      <c r="AV19" s="407">
        <f t="shared" ca="1" si="6"/>
        <v>82.951768595914743</v>
      </c>
      <c r="AW19" s="407">
        <f t="shared" ca="1" si="7"/>
        <v>78.91569263662312</v>
      </c>
      <c r="AX19" s="407">
        <f ca="1">AU19-(E19+F19)/2</f>
        <v>2.8093254822005491</v>
      </c>
      <c r="AY19" s="407">
        <f ca="1">AW19-(E19+F19)/2</f>
        <v>1.615692636623109</v>
      </c>
    </row>
    <row r="20" spans="2:51">
      <c r="B20" s="345">
        <f ca="1">RefDate</f>
        <v>42254</v>
      </c>
      <c r="C20" s="415" t="s">
        <v>16</v>
      </c>
      <c r="D20" s="417" t="s">
        <v>104</v>
      </c>
      <c r="E20" s="401">
        <f ca="1">VLOOKUP("EUR CMS v 3MEurib "&amp;C20&amp;D20,'CMS Swaps'!$X:$AA,3,)</f>
        <v>54.4</v>
      </c>
      <c r="F20" s="401">
        <f ca="1">VLOOKUP("EUR CMS v 3MEurib "&amp;C20&amp;D20,'CMS Swaps'!$X:$AA,4,)</f>
        <v>74.599999999999994</v>
      </c>
      <c r="G20" s="345">
        <f ca="1">_xll.qlCalendarAdvance("Target",B20,"2d")</f>
        <v>42256</v>
      </c>
      <c r="H20" s="345">
        <f ca="1">_xll.qlCalendarAdvance("Target",G20,D20,"unadjusted")</f>
        <v>49561</v>
      </c>
      <c r="I20" s="357" t="str">
        <f ca="1">_xll.qlSchedule(,G20,H20,"3M","Target","Modified Following","Modified Following","Backward")</f>
        <v>obj_0000a#0017</v>
      </c>
      <c r="J20" s="357" t="str">
        <f ca="1">_xll.qlIborLeg(,,10000,I20,2,,"Act/360",,,Curve!$S$85)</f>
        <v>obj_00822#0015</v>
      </c>
      <c r="K20" s="405">
        <f ca="1">_xll.qlLegNPV(J20,Curve!$S$16)</f>
        <v>2599.3423770022291</v>
      </c>
      <c r="L20" s="406">
        <f ca="1">_xll.qlLegBPS(J20,Curve!$S$16)</f>
        <v>18.472357537197599</v>
      </c>
      <c r="M20" s="357" t="str">
        <f ca="1">_xll.qlEuriborSwapIsdaFixA(,C20,Curve!$S$109,Curve!$S$16)</f>
        <v>obj_007e9#0019</v>
      </c>
      <c r="N20" s="357" t="str">
        <f ca="1">_xll.qlCmsLeg(,,10000,I20,2,,"Act/360",,,M20)</f>
        <v>obj_00823#0015</v>
      </c>
      <c r="O20" s="411" t="str">
        <f t="shared" ca="1" si="0"/>
        <v>ConundrumByBlack</v>
      </c>
      <c r="P20" s="411" t="str">
        <f t="shared" ca="1" si="0"/>
        <v>Standard</v>
      </c>
      <c r="Q20" s="412">
        <f t="shared" ca="1" si="0"/>
        <v>0</v>
      </c>
      <c r="R20" s="418" t="str">
        <f t="shared" ca="1" si="0"/>
        <v>EUR-ATM-Swaption-Surface-LVol#0001</v>
      </c>
      <c r="S20" s="357" t="str">
        <f ca="1">_xll.qlCmsCouponPricer(,R20,O20,P20,Q20)</f>
        <v>obj_00806#0017</v>
      </c>
      <c r="T20" s="357" t="b">
        <f ca="1">_xll.qlLegSetCouponPricers(N20,S20)</f>
        <v>1</v>
      </c>
      <c r="U20" s="405">
        <f ca="1">_xll.qlLegNPV(N20,Curve!$S$16,,,,T20)</f>
        <v>8139.9385005162158</v>
      </c>
      <c r="V20" s="357" t="str">
        <f ca="1">_xll.qlCmsLeg(,,10000,I20,2,,"Act/360",,,M20)</f>
        <v>obj_00854#0011</v>
      </c>
      <c r="W20" s="411" t="str">
        <f t="shared" ca="1" si="1"/>
        <v>ConundrumByBachelier</v>
      </c>
      <c r="X20" s="411" t="str">
        <f t="shared" ca="1" si="1"/>
        <v>Standard</v>
      </c>
      <c r="Y20" s="412">
        <f t="shared" ca="1" si="1"/>
        <v>0</v>
      </c>
      <c r="Z20" s="418" t="str">
        <f t="shared" ca="1" si="1"/>
        <v>EUR-ATM-Swaption-Surface-NVol#0001</v>
      </c>
      <c r="AA20" s="357" t="str">
        <f ca="1">_xll.qlCmsCouponPricer(,Z20,W20,X20,Y20)</f>
        <v>obj_0083f#0019</v>
      </c>
      <c r="AB20" s="357" t="b">
        <f ca="1">_xll.qlLegSetCouponPricers(V20,AA20)</f>
        <v>1</v>
      </c>
      <c r="AC20" s="405">
        <f ca="1">_xll.qlLegNPV(V20,Curve!$S$16,,,,AB20)</f>
        <v>3855.4159100488268</v>
      </c>
      <c r="AD20" s="357" t="str">
        <f ca="1">_xll.qlCmsLeg(,,10000,I20,2,,"Act/360",,,M20)</f>
        <v>obj_00b47#0010</v>
      </c>
      <c r="AE20" s="411" t="str">
        <f t="shared" ca="1" si="2"/>
        <v>ConundrumByBachelier</v>
      </c>
      <c r="AF20" s="411" t="str">
        <f t="shared" ca="1" si="2"/>
        <v>NonParallelShifts</v>
      </c>
      <c r="AG20" s="412">
        <f t="shared" ca="1" si="2"/>
        <v>0.1</v>
      </c>
      <c r="AH20" s="418" t="str">
        <f t="shared" ca="1" si="2"/>
        <v>EUR-ATM-Swaption-Surface-NVol#0001</v>
      </c>
      <c r="AI20" s="357" t="str">
        <f ca="1">_xll.qlCmsCouponPricer(,AH20,AE20,AF20,AG20)</f>
        <v>obj_00866#0018</v>
      </c>
      <c r="AJ20" s="357" t="b">
        <f ca="1">_xll.qlLegSetCouponPricers(AD20,AI20)</f>
        <v>1</v>
      </c>
      <c r="AK20" s="405">
        <f ca="1">_xll.qlLegNPV(AD20,Curve!$S$16,,,,AJ20)</f>
        <v>3919.1298053425508</v>
      </c>
      <c r="AL20" s="357" t="str">
        <f ca="1">_xll.qlCmsLeg(,,10000,I20,2,,"Act/360",,,M20)</f>
        <v>obj_00b6f#0011</v>
      </c>
      <c r="AM20" s="411" t="str">
        <f t="shared" ca="1" si="3"/>
        <v>ConundrumByBachelier</v>
      </c>
      <c r="AN20" s="411" t="str">
        <f t="shared" ca="1" si="3"/>
        <v>Affine</v>
      </c>
      <c r="AO20" s="412">
        <f t="shared" ca="1" si="3"/>
        <v>0</v>
      </c>
      <c r="AP20" s="418" t="str">
        <f t="shared" ca="1" si="3"/>
        <v>EUR-ATM-Swaption-Surface-NVol#0001</v>
      </c>
      <c r="AQ20" s="357" t="str">
        <f ca="1">_xll.qlCmsCouponPricer(,AP20,AM20,AN20,AO20)</f>
        <v>obj_00b58#0015</v>
      </c>
      <c r="AR20" s="357" t="b">
        <f ca="1">_xll.qlLegSetCouponPricers(AL20,AQ20)</f>
        <v>1</v>
      </c>
      <c r="AS20" s="405">
        <f ca="1">_xll.qlLegNPV(AL20,Curve!$S$16,,,,AR20)</f>
        <v>3829.9226379881443</v>
      </c>
      <c r="AT20" s="407">
        <f t="shared" ca="1" si="4"/>
        <v>299.93984862825141</v>
      </c>
      <c r="AU20" s="407">
        <f t="shared" ca="1" si="5"/>
        <v>67.99746759541955</v>
      </c>
      <c r="AV20" s="407">
        <f t="shared" ca="1" si="6"/>
        <v>71.446615608358542</v>
      </c>
      <c r="AW20" s="407">
        <f t="shared" ca="1" si="7"/>
        <v>66.617390796378217</v>
      </c>
      <c r="AX20" s="407">
        <f ca="1">AU20-(E20+F20)/2</f>
        <v>3.4974675954195504</v>
      </c>
      <c r="AY20" s="407">
        <f ca="1">AW20-(E20+F20)/2</f>
        <v>2.117390796378217</v>
      </c>
    </row>
    <row r="21" spans="2:51">
      <c r="C21" s="415"/>
      <c r="D21" s="415"/>
      <c r="E21" s="401"/>
      <c r="F21" s="401"/>
      <c r="G21" s="345"/>
      <c r="H21" s="345"/>
      <c r="I21" s="357"/>
      <c r="J21" s="357"/>
      <c r="K21" s="405"/>
      <c r="L21" s="406"/>
      <c r="M21" s="357"/>
      <c r="N21" s="357"/>
      <c r="O21" s="411"/>
      <c r="P21" s="411"/>
      <c r="Q21" s="412"/>
      <c r="R21" s="418"/>
      <c r="S21" s="357"/>
      <c r="T21" s="357"/>
      <c r="U21" s="405"/>
      <c r="V21" s="357"/>
      <c r="W21" s="411"/>
      <c r="X21" s="411"/>
      <c r="Y21" s="412"/>
      <c r="Z21" s="418"/>
      <c r="AA21" s="357"/>
      <c r="AB21" s="357"/>
      <c r="AC21" s="405"/>
      <c r="AD21" s="357"/>
      <c r="AE21" s="411"/>
      <c r="AF21" s="411"/>
      <c r="AG21" s="412"/>
      <c r="AH21" s="418"/>
      <c r="AI21" s="357"/>
      <c r="AJ21" s="357"/>
      <c r="AK21" s="405"/>
      <c r="AL21" s="357"/>
      <c r="AM21" s="411"/>
      <c r="AN21" s="411"/>
      <c r="AO21" s="412"/>
      <c r="AP21" s="418"/>
      <c r="AQ21" s="357"/>
      <c r="AR21" s="357"/>
      <c r="AS21" s="405"/>
      <c r="AT21" s="407"/>
      <c r="AU21" s="407"/>
      <c r="AV21" s="407"/>
      <c r="AW21" s="407"/>
      <c r="AX21" s="416"/>
      <c r="AY21" s="416"/>
    </row>
    <row r="22" spans="2:51">
      <c r="B22" s="345">
        <f ca="1">RefDate</f>
        <v>42254</v>
      </c>
      <c r="C22" s="415" t="s">
        <v>104</v>
      </c>
      <c r="D22" s="415" t="s">
        <v>11</v>
      </c>
      <c r="E22" s="401">
        <f ca="1">VLOOKUP("EUR CMS v 3MEurib "&amp;C22&amp;D22,'CMS Swaps'!$X:$AA,3,)</f>
        <v>146.5</v>
      </c>
      <c r="F22" s="401">
        <f ca="1">VLOOKUP("EUR CMS v 3MEurib "&amp;C22&amp;D22,'CMS Swaps'!$X:$AA,4,)</f>
        <v>166.8</v>
      </c>
      <c r="G22" s="345">
        <f ca="1">_xll.qlCalendarAdvance("Target",B22,"2d")</f>
        <v>42256</v>
      </c>
      <c r="H22" s="345">
        <f ca="1">_xll.qlCalendarAdvance("Target",G22,D22,"unadjusted")</f>
        <v>44083</v>
      </c>
      <c r="I22" s="357" t="str">
        <f ca="1">_xll.qlSchedule(,G22,H22,"3M","Target","Modified Following","Modified Following","Backward")</f>
        <v>obj_00013#0016</v>
      </c>
      <c r="J22" s="357" t="str">
        <f ca="1">_xll.qlIborLeg(,,10000,I22,2,,"Act/360",,,Curve!$S$85)</f>
        <v>obj_00834#0014</v>
      </c>
      <c r="K22" s="405">
        <f ca="1">_xll.qlLegNPV(J22,Curve!$S$16)</f>
        <v>131.50792242064864</v>
      </c>
      <c r="L22" s="406">
        <f ca="1">_xll.qlLegBPS(J22,Curve!$S$16)</f>
        <v>5.0790511581753321</v>
      </c>
      <c r="M22" s="357" t="str">
        <f ca="1">_xll.qlEuriborSwapIsdaFixA(,C22,Curve!$S$109,Curve!$S$16)</f>
        <v>obj_007f1#0019</v>
      </c>
      <c r="N22" s="357" t="str">
        <f ca="1">_xll.qlCmsLeg(,,10000,I22,2,,"Act/360",,,M22)</f>
        <v>obj_00835#0014</v>
      </c>
      <c r="O22" s="411" t="str">
        <f t="shared" ca="1" si="0"/>
        <v>ConundrumByBlack</v>
      </c>
      <c r="P22" s="411" t="str">
        <f t="shared" ca="1" si="0"/>
        <v>Standard</v>
      </c>
      <c r="Q22" s="412">
        <f t="shared" ca="1" si="0"/>
        <v>0</v>
      </c>
      <c r="R22" s="418" t="str">
        <f t="shared" ca="1" si="0"/>
        <v>EUR-ATM-Swaption-Surface-LVol#0001</v>
      </c>
      <c r="S22" s="357" t="str">
        <f ca="1">_xll.qlCmsCouponPricer(,R22,O22,P22,Q22)</f>
        <v>obj_00801#0017</v>
      </c>
      <c r="T22" s="357" t="b">
        <f ca="1">_xll.qlLegSetCouponPricers(N22,S22)</f>
        <v>1</v>
      </c>
      <c r="U22" s="405">
        <f ca="1">_xll.qlLegNPV(N22,Curve!$S$16,,,,T22)</f>
        <v>965.87726159661236</v>
      </c>
      <c r="V22" s="357" t="str">
        <f ca="1">_xll.qlCmsLeg(,,10000,I22,2,,"Act/360",,,M22)</f>
        <v>obj_0085d#0011</v>
      </c>
      <c r="W22" s="411" t="str">
        <f t="shared" ca="1" si="1"/>
        <v>ConundrumByBachelier</v>
      </c>
      <c r="X22" s="411" t="str">
        <f t="shared" ca="1" si="1"/>
        <v>Standard</v>
      </c>
      <c r="Y22" s="412">
        <f t="shared" ca="1" si="1"/>
        <v>0</v>
      </c>
      <c r="Z22" s="418" t="str">
        <f t="shared" ca="1" si="1"/>
        <v>EUR-ATM-Swaption-Surface-NVol#0001</v>
      </c>
      <c r="AA22" s="357" t="str">
        <f ca="1">_xll.qlCmsCouponPricer(,Z22,W22,X22,Y22)</f>
        <v>obj_0083e#0019</v>
      </c>
      <c r="AB22" s="357" t="b">
        <f ca="1">_xll.qlLegSetCouponPricers(V22,AA22)</f>
        <v>1</v>
      </c>
      <c r="AC22" s="405">
        <f ca="1">_xll.qlLegNPV(V22,Curve!$S$16,,,,AB22)</f>
        <v>933.17499327463065</v>
      </c>
      <c r="AD22" s="357" t="str">
        <f ca="1">_xll.qlCmsLeg(,,10000,I22,2,,"Act/360",,,M22)</f>
        <v>obj_00b50#0010</v>
      </c>
      <c r="AE22" s="411" t="str">
        <f t="shared" ca="1" si="2"/>
        <v>ConundrumByBachelier</v>
      </c>
      <c r="AF22" s="411" t="str">
        <f t="shared" ca="1" si="2"/>
        <v>NonParallelShifts</v>
      </c>
      <c r="AG22" s="412">
        <f t="shared" ca="1" si="2"/>
        <v>0.1</v>
      </c>
      <c r="AH22" s="418" t="str">
        <f t="shared" ca="1" si="2"/>
        <v>EUR-ATM-Swaption-Surface-NVol#0001</v>
      </c>
      <c r="AI22" s="357" t="str">
        <f ca="1">_xll.qlCmsCouponPricer(,AH22,AE22,AF22,AG22)</f>
        <v>obj_00865#0018</v>
      </c>
      <c r="AJ22" s="357" t="b">
        <f ca="1">_xll.qlLegSetCouponPricers(AD22,AI22)</f>
        <v>1</v>
      </c>
      <c r="AK22" s="405">
        <f ca="1">_xll.qlLegNPV(AD22,Curve!$S$16,,,,AJ22)</f>
        <v>949.27700839802992</v>
      </c>
      <c r="AL22" s="357" t="str">
        <f ca="1">_xll.qlCmsLeg(,,10000,I22,2,,"Act/360",,,M22)</f>
        <v>obj_00b78#0010</v>
      </c>
      <c r="AM22" s="411" t="str">
        <f t="shared" ca="1" si="3"/>
        <v>ConundrumByBachelier</v>
      </c>
      <c r="AN22" s="411" t="str">
        <f t="shared" ca="1" si="3"/>
        <v>Affine</v>
      </c>
      <c r="AO22" s="412">
        <f t="shared" ca="1" si="3"/>
        <v>0</v>
      </c>
      <c r="AP22" s="418" t="str">
        <f t="shared" ca="1" si="3"/>
        <v>EUR-ATM-Swaption-Surface-NVol#0001</v>
      </c>
      <c r="AQ22" s="357" t="str">
        <f ca="1">_xll.qlCmsCouponPricer(,AP22,AM22,AN22,AO22)</f>
        <v>obj_00b65#0015</v>
      </c>
      <c r="AR22" s="357" t="b">
        <f ca="1">_xll.qlLegSetCouponPricers(AL22,AQ22)</f>
        <v>1</v>
      </c>
      <c r="AS22" s="405">
        <f ca="1">_xll.qlLegNPV(AL22,Curve!$S$16,,,,AR22)</f>
        <v>926.2928399521644</v>
      </c>
      <c r="AT22" s="407">
        <f t="shared" ca="1" si="4"/>
        <v>164.27661647647469</v>
      </c>
      <c r="AU22" s="407">
        <f t="shared" ca="1" si="5"/>
        <v>157.83795947075751</v>
      </c>
      <c r="AV22" s="407">
        <f t="shared" ca="1" si="6"/>
        <v>161.00823963174412</v>
      </c>
      <c r="AW22" s="407">
        <f t="shared" ca="1" si="7"/>
        <v>156.48295179153996</v>
      </c>
      <c r="AX22" s="407">
        <f ca="1">AU22-(E22+F22)/2</f>
        <v>1.1879594707575052</v>
      </c>
      <c r="AY22" s="407">
        <f ca="1">AW22-(E22+F22)/2</f>
        <v>-0.16704820846004509</v>
      </c>
    </row>
    <row r="23" spans="2:51">
      <c r="B23" s="345">
        <f ca="1">RefDate</f>
        <v>42254</v>
      </c>
      <c r="C23" s="415" t="s">
        <v>104</v>
      </c>
      <c r="D23" s="415" t="s">
        <v>16</v>
      </c>
      <c r="E23" s="401">
        <f ca="1">VLOOKUP("EUR CMS v 3MEurib "&amp;C23&amp;D23,'CMS Swaps'!$X:$AA,3,)</f>
        <v>105.5</v>
      </c>
      <c r="F23" s="401">
        <f ca="1">VLOOKUP("EUR CMS v 3MEurib "&amp;C23&amp;D23,'CMS Swaps'!$X:$AA,4,)</f>
        <v>125.7</v>
      </c>
      <c r="G23" s="345">
        <f ca="1">_xll.qlCalendarAdvance("Target",B23,"2d")</f>
        <v>42256</v>
      </c>
      <c r="H23" s="345">
        <f ca="1">_xll.qlCalendarAdvance("Target",G23,D23,"unadjusted")</f>
        <v>45909</v>
      </c>
      <c r="I23" s="357" t="str">
        <f ca="1">_xll.qlSchedule(,G23,H23,"3M","Target","Modified Following","Modified Following","Backward")</f>
        <v>obj_00011#0016</v>
      </c>
      <c r="J23" s="357" t="str">
        <f ca="1">_xll.qlIborLeg(,,10000,I23,2,,"Act/360",,,Curve!$S$85)</f>
        <v>obj_00830#0015</v>
      </c>
      <c r="K23" s="405">
        <f ca="1">_xll.qlLegNPV(J23,Curve!$S$16)</f>
        <v>881.90570756515046</v>
      </c>
      <c r="L23" s="406">
        <f ca="1">_xll.qlLegBPS(J23,Curve!$S$16)</f>
        <v>9.963374862181082</v>
      </c>
      <c r="M23" s="357" t="str">
        <f ca="1">_xll.qlEuriborSwapIsdaFixA(,C23,Curve!$S$109,Curve!$S$16)</f>
        <v>obj_007ea#0019</v>
      </c>
      <c r="N23" s="357" t="str">
        <f ca="1">_xll.qlCmsLeg(,,10000,I23,2,,"Act/360",,,M23)</f>
        <v>obj_00831#0015</v>
      </c>
      <c r="O23" s="411" t="str">
        <f t="shared" ca="1" si="0"/>
        <v>ConundrumByBlack</v>
      </c>
      <c r="P23" s="411" t="str">
        <f t="shared" ca="1" si="0"/>
        <v>Standard</v>
      </c>
      <c r="Q23" s="412">
        <f t="shared" ca="1" si="0"/>
        <v>0</v>
      </c>
      <c r="R23" s="418" t="str">
        <f t="shared" ca="1" si="0"/>
        <v>EUR-ATM-Swaption-Surface-LVol#0001</v>
      </c>
      <c r="S23" s="357" t="str">
        <f ca="1">_xll.qlCmsCouponPricer(,R23,O23,P23,Q23)</f>
        <v>obj_00809#0017</v>
      </c>
      <c r="T23" s="357" t="b">
        <f ca="1">_xll.qlLegSetCouponPricers(N23,S23)</f>
        <v>1</v>
      </c>
      <c r="U23" s="405">
        <f ca="1">_xll.qlLegNPV(N23,Curve!$S$16,,,,T23)</f>
        <v>2312.0544291595529</v>
      </c>
      <c r="V23" s="357" t="str">
        <f ca="1">_xll.qlCmsLeg(,,10000,I23,2,,"Act/360",,,M23)</f>
        <v>obj_0085b#0011</v>
      </c>
      <c r="W23" s="411" t="str">
        <f t="shared" ca="1" si="1"/>
        <v>ConundrumByBachelier</v>
      </c>
      <c r="X23" s="411" t="str">
        <f t="shared" ca="1" si="1"/>
        <v>Standard</v>
      </c>
      <c r="Y23" s="412">
        <f t="shared" ca="1" si="1"/>
        <v>0</v>
      </c>
      <c r="Z23" s="418" t="str">
        <f t="shared" ca="1" si="1"/>
        <v>EUR-ATM-Swaption-Surface-NVol#0001</v>
      </c>
      <c r="AA23" s="357" t="str">
        <f ca="1">_xll.qlCmsCouponPricer(,Z23,W23,X23,Y23)</f>
        <v>obj_00845#0019</v>
      </c>
      <c r="AB23" s="357" t="b">
        <f ca="1">_xll.qlLegSetCouponPricers(V23,AA23)</f>
        <v>1</v>
      </c>
      <c r="AC23" s="405">
        <f ca="1">_xll.qlLegNPV(V23,Curve!$S$16,,,,AB23)</f>
        <v>2049.8864804896912</v>
      </c>
      <c r="AD23" s="357" t="str">
        <f ca="1">_xll.qlCmsLeg(,,10000,I23,2,,"Act/360",,,M23)</f>
        <v>obj_00b4e#0010</v>
      </c>
      <c r="AE23" s="411" t="str">
        <f t="shared" ca="1" si="2"/>
        <v>ConundrumByBachelier</v>
      </c>
      <c r="AF23" s="411" t="str">
        <f t="shared" ca="1" si="2"/>
        <v>NonParallelShifts</v>
      </c>
      <c r="AG23" s="412">
        <f t="shared" ca="1" si="2"/>
        <v>0.1</v>
      </c>
      <c r="AH23" s="418" t="str">
        <f t="shared" ca="1" si="2"/>
        <v>EUR-ATM-Swaption-Surface-NVol#0001</v>
      </c>
      <c r="AI23" s="357" t="str">
        <f ca="1">_xll.qlCmsCouponPricer(,AH23,AE23,AF23,AG23)</f>
        <v>obj_00864#0018</v>
      </c>
      <c r="AJ23" s="357" t="b">
        <f ca="1">_xll.qlLegSetCouponPricers(AD23,AI23)</f>
        <v>1</v>
      </c>
      <c r="AK23" s="405">
        <f ca="1">_xll.qlLegNPV(AD23,Curve!$S$16,,,,AJ23)</f>
        <v>2108.3600738438895</v>
      </c>
      <c r="AL23" s="357" t="str">
        <f ca="1">_xll.qlCmsLeg(,,10000,I23,2,,"Act/360",,,M23)</f>
        <v>obj_00b76#0010</v>
      </c>
      <c r="AM23" s="411" t="str">
        <f t="shared" ca="1" si="3"/>
        <v>ConundrumByBachelier</v>
      </c>
      <c r="AN23" s="411" t="str">
        <f t="shared" ca="1" si="3"/>
        <v>Affine</v>
      </c>
      <c r="AO23" s="412">
        <f t="shared" ca="1" si="3"/>
        <v>0</v>
      </c>
      <c r="AP23" s="418" t="str">
        <f t="shared" ca="1" si="3"/>
        <v>EUR-ATM-Swaption-Surface-NVol#0001</v>
      </c>
      <c r="AQ23" s="357" t="str">
        <f ca="1">_xll.qlCmsCouponPricer(,AP23,AM23,AN23,AO23)</f>
        <v>obj_00b64#0015</v>
      </c>
      <c r="AR23" s="357" t="b">
        <f ca="1">_xll.qlLegSetCouponPricers(AL23,AQ23)</f>
        <v>1</v>
      </c>
      <c r="AS23" s="405">
        <f ca="1">_xll.qlLegNPV(AL23,Curve!$S$16,,,,AR23)</f>
        <v>2023.7464769145108</v>
      </c>
      <c r="AT23" s="407">
        <f t="shared" ca="1" si="4"/>
        <v>143.54059155426867</v>
      </c>
      <c r="AU23" s="407">
        <f t="shared" ca="1" si="5"/>
        <v>117.22742434975072</v>
      </c>
      <c r="AV23" s="407">
        <f t="shared" ca="1" si="6"/>
        <v>123.0962784441753</v>
      </c>
      <c r="AW23" s="407">
        <f t="shared" ca="1" si="7"/>
        <v>114.60381498678251</v>
      </c>
      <c r="AX23" s="407">
        <f ca="1">AU23-(E23+F23)/2</f>
        <v>1.6274243497507257</v>
      </c>
      <c r="AY23" s="407">
        <f ca="1">AW23-(E23+F23)/2</f>
        <v>-0.99618501321748454</v>
      </c>
    </row>
    <row r="24" spans="2:51">
      <c r="B24" s="345">
        <f ca="1">RefDate</f>
        <v>42254</v>
      </c>
      <c r="C24" s="415" t="s">
        <v>104</v>
      </c>
      <c r="D24" s="417" t="s">
        <v>17</v>
      </c>
      <c r="E24" s="401">
        <f ca="1">VLOOKUP("EUR CMS v 3MEurib "&amp;C24&amp;D24,'CMS Swaps'!$X:$AA,3,)</f>
        <v>79</v>
      </c>
      <c r="F24" s="401">
        <f ca="1">VLOOKUP("EUR CMS v 3MEurib "&amp;C24&amp;D24,'CMS Swaps'!$X:$AA,4,)</f>
        <v>99.2</v>
      </c>
      <c r="G24" s="345">
        <f ca="1">_xll.qlCalendarAdvance("Target",B24,"2d")</f>
        <v>42256</v>
      </c>
      <c r="H24" s="345">
        <f ca="1">_xll.qlCalendarAdvance("Target",G24,D24,"unadjusted")</f>
        <v>47735</v>
      </c>
      <c r="I24" s="357" t="str">
        <f ca="1">_xll.qlSchedule(,G24,H24,"3M","Target","Modified Following","Modified Following","Backward")</f>
        <v>obj_00010#0016</v>
      </c>
      <c r="J24" s="357" t="str">
        <f ca="1">_xll.qlIborLeg(,,10000,I24,2,,"Act/360",,,Curve!$S$85)</f>
        <v>obj_0082e#0015</v>
      </c>
      <c r="K24" s="405">
        <f ca="1">_xll.qlLegNPV(J24,Curve!$S$16)</f>
        <v>1807.6313425835522</v>
      </c>
      <c r="L24" s="406">
        <f ca="1">_xll.qlLegBPS(J24,Curve!$S$16)</f>
        <v>14.427535677164078</v>
      </c>
      <c r="M24" s="357" t="str">
        <f ca="1">_xll.qlEuriborSwapIsdaFixA(,C24,Curve!$S$109,Curve!$S$16)</f>
        <v>obj_007f9#0019</v>
      </c>
      <c r="N24" s="357" t="str">
        <f ca="1">_xll.qlCmsLeg(,,10000,I24,2,,"Act/360",,,M24)</f>
        <v>obj_0082f#0015</v>
      </c>
      <c r="O24" s="411" t="str">
        <f t="shared" ca="1" si="0"/>
        <v>ConundrumByBlack</v>
      </c>
      <c r="P24" s="411" t="str">
        <f t="shared" ca="1" si="0"/>
        <v>Standard</v>
      </c>
      <c r="Q24" s="412">
        <f t="shared" ca="1" si="0"/>
        <v>0</v>
      </c>
      <c r="R24" s="418" t="str">
        <f t="shared" ca="1" si="0"/>
        <v>EUR-ATM-Swaption-Surface-LVol#0001</v>
      </c>
      <c r="S24" s="357" t="str">
        <f ca="1">_xll.qlCmsCouponPricer(,R24,O24,P24,Q24)</f>
        <v>obj_007fc#0018</v>
      </c>
      <c r="T24" s="357" t="b">
        <f ca="1">_xll.qlLegSetCouponPricers(N24,S24)</f>
        <v>1</v>
      </c>
      <c r="U24" s="405">
        <f ca="1">_xll.qlLegNPV(N24,Curve!$S$16,,,,T24)</f>
        <v>4086.949794846279</v>
      </c>
      <c r="V24" s="357" t="str">
        <f ca="1">_xll.qlCmsLeg(,,10000,I24,2,,"Act/360",,,M24)</f>
        <v>obj_0085a#0011</v>
      </c>
      <c r="W24" s="411" t="str">
        <f t="shared" ca="1" si="1"/>
        <v>ConundrumByBachelier</v>
      </c>
      <c r="X24" s="411" t="str">
        <f t="shared" ca="1" si="1"/>
        <v>Standard</v>
      </c>
      <c r="Y24" s="412">
        <f t="shared" ca="1" si="1"/>
        <v>0</v>
      </c>
      <c r="Z24" s="418" t="str">
        <f t="shared" ca="1" si="1"/>
        <v>EUR-ATM-Swaption-Surface-NVol#0001</v>
      </c>
      <c r="AA24" s="357" t="str">
        <f ca="1">_xll.qlCmsCouponPricer(,Z24,W24,X24,Y24)</f>
        <v>obj_0083b#0019</v>
      </c>
      <c r="AB24" s="357" t="b">
        <f ca="1">_xll.qlLegSetCouponPricers(V24,AA24)</f>
        <v>1</v>
      </c>
      <c r="AC24" s="405">
        <f ca="1">_xll.qlLegNPV(V24,Curve!$S$16,,,,AB24)</f>
        <v>3111.9775043045806</v>
      </c>
      <c r="AD24" s="357" t="str">
        <f ca="1">_xll.qlCmsLeg(,,10000,I24,2,,"Act/360",,,M24)</f>
        <v>obj_00b4d#0010</v>
      </c>
      <c r="AE24" s="411" t="str">
        <f t="shared" ca="1" si="2"/>
        <v>ConundrumByBachelier</v>
      </c>
      <c r="AF24" s="411" t="str">
        <f t="shared" ca="1" si="2"/>
        <v>NonParallelShifts</v>
      </c>
      <c r="AG24" s="412">
        <f t="shared" ca="1" si="2"/>
        <v>0.1</v>
      </c>
      <c r="AH24" s="418" t="str">
        <f t="shared" ca="1" si="2"/>
        <v>EUR-ATM-Swaption-Surface-NVol#0001</v>
      </c>
      <c r="AI24" s="357" t="str">
        <f ca="1">_xll.qlCmsCouponPricer(,AH24,AE24,AF24,AG24)</f>
        <v>obj_00863#0018</v>
      </c>
      <c r="AJ24" s="357" t="b">
        <f ca="1">_xll.qlLegSetCouponPricers(AD24,AI24)</f>
        <v>1</v>
      </c>
      <c r="AK24" s="405">
        <f ca="1">_xll.qlLegNPV(AD24,Curve!$S$16,,,,AJ24)</f>
        <v>3227.5234278872558</v>
      </c>
      <c r="AL24" s="357" t="str">
        <f ca="1">_xll.qlCmsLeg(,,10000,I24,2,,"Act/360",,,M24)</f>
        <v>obj_00b75#0010</v>
      </c>
      <c r="AM24" s="411" t="str">
        <f t="shared" ca="1" si="3"/>
        <v>ConundrumByBachelier</v>
      </c>
      <c r="AN24" s="411" t="str">
        <f t="shared" ca="1" si="3"/>
        <v>Affine</v>
      </c>
      <c r="AO24" s="412">
        <f t="shared" ca="1" si="3"/>
        <v>0</v>
      </c>
      <c r="AP24" s="418" t="str">
        <f t="shared" ca="1" si="3"/>
        <v>EUR-ATM-Swaption-Surface-NVol#0001</v>
      </c>
      <c r="AQ24" s="357" t="str">
        <f ca="1">_xll.qlCmsCouponPricer(,AP24,AM24,AN24,AO24)</f>
        <v>obj_00b5d#0015</v>
      </c>
      <c r="AR24" s="357" t="b">
        <f ca="1">_xll.qlLegSetCouponPricers(AL24,AQ24)</f>
        <v>1</v>
      </c>
      <c r="AS24" s="405">
        <f ca="1">_xll.qlLegNPV(AL24,Curve!$S$16,,,,AR24)</f>
        <v>3061.5741682888247</v>
      </c>
      <c r="AT24" s="407">
        <f t="shared" ca="1" si="4"/>
        <v>157.98390683382161</v>
      </c>
      <c r="AU24" s="407">
        <f t="shared" ca="1" si="5"/>
        <v>90.40671885397235</v>
      </c>
      <c r="AV24" s="407">
        <f t="shared" ca="1" si="6"/>
        <v>98.415427074709001</v>
      </c>
      <c r="AW24" s="407">
        <f t="shared" ca="1" si="7"/>
        <v>86.913167554318704</v>
      </c>
      <c r="AX24" s="407">
        <f ca="1">AU24-(E24+F24)/2</f>
        <v>1.306718853972356</v>
      </c>
      <c r="AY24" s="407">
        <f ca="1">AW24-(E24+F24)/2</f>
        <v>-2.18683244568129</v>
      </c>
    </row>
    <row r="25" spans="2:51">
      <c r="B25" s="345">
        <f ca="1">RefDate</f>
        <v>42254</v>
      </c>
      <c r="C25" s="415" t="s">
        <v>104</v>
      </c>
      <c r="D25" s="417" t="s">
        <v>104</v>
      </c>
      <c r="E25" s="401">
        <f ca="1">VLOOKUP("EUR CMS v 3MEurib "&amp;C25&amp;D25,'CMS Swaps'!$X:$AA,3,)</f>
        <v>66.8</v>
      </c>
      <c r="F25" s="401">
        <f ca="1">VLOOKUP("EUR CMS v 3MEurib "&amp;C25&amp;D25,'CMS Swaps'!$X:$AA,4,)</f>
        <v>87.1</v>
      </c>
      <c r="G25" s="345">
        <f ca="1">_xll.qlCalendarAdvance("Target",B25,"2d")</f>
        <v>42256</v>
      </c>
      <c r="H25" s="345">
        <f ca="1">_xll.qlCalendarAdvance("Target",G25,D25,"unadjusted")</f>
        <v>49561</v>
      </c>
      <c r="I25" s="357" t="str">
        <f ca="1">_xll.qlSchedule(,G25,H25,"3M","Target","Modified Following","Modified Following","Backward")</f>
        <v>obj_0000e#0017</v>
      </c>
      <c r="J25" s="357" t="str">
        <f ca="1">_xll.qlIborLeg(,,10000,I25,2,,"Act/360",,,Curve!$S$85)</f>
        <v>obj_0082a#0015</v>
      </c>
      <c r="K25" s="405">
        <f ca="1">_xll.qlLegNPV(J25,Curve!$S$16)</f>
        <v>2599.3423770022291</v>
      </c>
      <c r="L25" s="406">
        <f ca="1">_xll.qlLegBPS(J25,Curve!$S$16)</f>
        <v>18.472357537197599</v>
      </c>
      <c r="M25" s="357" t="str">
        <f ca="1">_xll.qlEuriborSwapIsdaFixA(,C25,Curve!$S$109,Curve!$S$16)</f>
        <v>obj_007f6#0019</v>
      </c>
      <c r="N25" s="357" t="str">
        <f ca="1">_xll.qlCmsLeg(,,10000,I25,2,,"Act/360",,,M25)</f>
        <v>obj_0082b#0015</v>
      </c>
      <c r="O25" s="411" t="str">
        <f t="shared" ca="1" si="0"/>
        <v>ConundrumByBlack</v>
      </c>
      <c r="P25" s="411" t="str">
        <f t="shared" ca="1" si="0"/>
        <v>Standard</v>
      </c>
      <c r="Q25" s="412">
        <f t="shared" ca="1" si="0"/>
        <v>0</v>
      </c>
      <c r="R25" s="418" t="str">
        <f t="shared" ca="1" si="0"/>
        <v>EUR-ATM-Swaption-Surface-LVol#0001</v>
      </c>
      <c r="S25" s="357" t="str">
        <f ca="1">_xll.qlCmsCouponPricer(,R25,O25,P25,Q25)</f>
        <v>obj_00808#0017</v>
      </c>
      <c r="T25" s="357" t="b">
        <f ca="1">_xll.qlLegSetCouponPricers(N25,S25)</f>
        <v>1</v>
      </c>
      <c r="U25" s="405">
        <f ca="1">_xll.qlLegNPV(N25,Curve!$S$16,,,,T25)</f>
        <v>6606.9495033883668</v>
      </c>
      <c r="V25" s="357" t="str">
        <f ca="1">_xll.qlCmsLeg(,,10000,I25,2,,"Act/360",,,M25)</f>
        <v>obj_00858#0011</v>
      </c>
      <c r="W25" s="411" t="str">
        <f t="shared" ca="1" si="1"/>
        <v>ConundrumByBachelier</v>
      </c>
      <c r="X25" s="411" t="str">
        <f t="shared" ca="1" si="1"/>
        <v>Standard</v>
      </c>
      <c r="Y25" s="412">
        <f t="shared" ca="1" si="1"/>
        <v>0</v>
      </c>
      <c r="Z25" s="418" t="str">
        <f t="shared" ca="1" si="1"/>
        <v>EUR-ATM-Swaption-Surface-NVol#0001</v>
      </c>
      <c r="AA25" s="357" t="str">
        <f ca="1">_xll.qlCmsCouponPricer(,Z25,W25,X25,Y25)</f>
        <v>obj_0083d#0019</v>
      </c>
      <c r="AB25" s="357" t="b">
        <f ca="1">_xll.qlLegSetCouponPricers(V25,AA25)</f>
        <v>1</v>
      </c>
      <c r="AC25" s="405">
        <f ca="1">_xll.qlLegNPV(V25,Curve!$S$16,,,,AB25)</f>
        <v>4056.9517004171871</v>
      </c>
      <c r="AD25" s="357" t="str">
        <f ca="1">_xll.qlCmsLeg(,,10000,I25,2,,"Act/360",,,M25)</f>
        <v>obj_00b4b#0010</v>
      </c>
      <c r="AE25" s="411" t="str">
        <f t="shared" ca="1" si="2"/>
        <v>ConundrumByBachelier</v>
      </c>
      <c r="AF25" s="411" t="str">
        <f t="shared" ca="1" si="2"/>
        <v>NonParallelShifts</v>
      </c>
      <c r="AG25" s="412">
        <f t="shared" ca="1" si="2"/>
        <v>0.1</v>
      </c>
      <c r="AH25" s="418" t="str">
        <f t="shared" ca="1" si="2"/>
        <v>EUR-ATM-Swaption-Surface-NVol#0001</v>
      </c>
      <c r="AI25" s="357" t="str">
        <f ca="1">_xll.qlCmsCouponPricer(,AH25,AE25,AF25,AG25)</f>
        <v>obj_00862#0018</v>
      </c>
      <c r="AJ25" s="357" t="b">
        <f ca="1">_xll.qlLegSetCouponPricers(AD25,AI25)</f>
        <v>1</v>
      </c>
      <c r="AK25" s="405">
        <f ca="1">_xll.qlLegNPV(AD25,Curve!$S$16,,,,AJ25)</f>
        <v>4233.333343361769</v>
      </c>
      <c r="AL25" s="357" t="str">
        <f ca="1">_xll.qlCmsLeg(,,10000,I25,2,,"Act/360",,,M25)</f>
        <v>obj_00b73#0011</v>
      </c>
      <c r="AM25" s="411" t="str">
        <f t="shared" ca="1" si="3"/>
        <v>ConundrumByBachelier</v>
      </c>
      <c r="AN25" s="411" t="str">
        <f t="shared" ca="1" si="3"/>
        <v>Affine</v>
      </c>
      <c r="AO25" s="412">
        <f t="shared" ca="1" si="3"/>
        <v>0</v>
      </c>
      <c r="AP25" s="418" t="str">
        <f t="shared" ca="1" si="3"/>
        <v>EUR-ATM-Swaption-Surface-NVol#0001</v>
      </c>
      <c r="AQ25" s="357" t="str">
        <f ca="1">_xll.qlCmsCouponPricer(,AP25,AM25,AN25,AO25)</f>
        <v>obj_00b55#0015</v>
      </c>
      <c r="AR25" s="357" t="b">
        <f ca="1">_xll.qlLegSetCouponPricers(AL25,AQ25)</f>
        <v>1</v>
      </c>
      <c r="AS25" s="405">
        <f ca="1">_xll.qlLegNPV(AL25,Curve!$S$16,,,,AR25)</f>
        <v>3982.8348504022451</v>
      </c>
      <c r="AT25" s="407">
        <f t="shared" ca="1" si="4"/>
        <v>216.95157850404638</v>
      </c>
      <c r="AU25" s="407">
        <f t="shared" ca="1" si="5"/>
        <v>78.90759587560953</v>
      </c>
      <c r="AV25" s="407">
        <f t="shared" ca="1" si="6"/>
        <v>88.456005849236561</v>
      </c>
      <c r="AW25" s="407">
        <f t="shared" ca="1" si="7"/>
        <v>74.895284514393538</v>
      </c>
      <c r="AX25" s="407">
        <f ca="1">AU25-(E25+F25)/2</f>
        <v>1.9575958756095417</v>
      </c>
      <c r="AY25" s="407">
        <f ca="1">AW25-(E25+F25)/2</f>
        <v>-2.0547154856064509</v>
      </c>
    </row>
    <row r="26" spans="2:51">
      <c r="C26" s="415"/>
      <c r="D26" s="415"/>
      <c r="E26" s="401"/>
      <c r="F26" s="401"/>
      <c r="G26" s="345"/>
      <c r="H26" s="345"/>
      <c r="I26" s="357"/>
      <c r="J26" s="357"/>
      <c r="K26" s="405"/>
      <c r="L26" s="406"/>
      <c r="M26" s="357"/>
      <c r="N26" s="357"/>
      <c r="O26" s="411"/>
      <c r="P26" s="411"/>
      <c r="Q26" s="412"/>
      <c r="R26" s="418"/>
      <c r="S26" s="357"/>
      <c r="T26" s="357"/>
      <c r="U26" s="405"/>
      <c r="V26" s="357"/>
      <c r="W26" s="411"/>
      <c r="X26" s="411"/>
      <c r="Y26" s="412"/>
      <c r="Z26" s="418"/>
      <c r="AA26" s="357"/>
      <c r="AB26" s="357"/>
      <c r="AC26" s="405"/>
      <c r="AD26" s="357"/>
      <c r="AE26" s="411"/>
      <c r="AF26" s="411"/>
      <c r="AG26" s="412"/>
      <c r="AH26" s="418"/>
      <c r="AI26" s="357"/>
      <c r="AJ26" s="357"/>
      <c r="AK26" s="405"/>
      <c r="AL26" s="357"/>
      <c r="AM26" s="411"/>
      <c r="AN26" s="411"/>
      <c r="AO26" s="412"/>
      <c r="AP26" s="418"/>
      <c r="AQ26" s="357"/>
      <c r="AR26" s="357"/>
      <c r="AS26" s="405"/>
      <c r="AT26" s="407"/>
      <c r="AU26" s="407"/>
      <c r="AV26" s="407"/>
      <c r="AW26" s="407"/>
      <c r="AX26" s="416"/>
      <c r="AY26" s="416"/>
    </row>
    <row r="27" spans="2:51">
      <c r="B27" s="345">
        <f ca="1">RefDate</f>
        <v>42254</v>
      </c>
      <c r="C27" s="415" t="s">
        <v>106</v>
      </c>
      <c r="D27" s="415" t="s">
        <v>11</v>
      </c>
      <c r="E27" s="401">
        <f ca="1">VLOOKUP("EUR CMS v 3MEurib "&amp;C27&amp;D27,'CMS Swaps'!$X:$AA,3,)</f>
        <v>147.30000000000001</v>
      </c>
      <c r="F27" s="401">
        <f ca="1">VLOOKUP("EUR CMS v 3MEurib "&amp;C27&amp;D27,'CMS Swaps'!$X:$AA,4,)</f>
        <v>172.6</v>
      </c>
      <c r="G27" s="345">
        <f ca="1">_xll.qlCalendarAdvance("Target",B27,"2d")</f>
        <v>42256</v>
      </c>
      <c r="H27" s="345">
        <f ca="1">_xll.qlCalendarAdvance("Target",G27,D27,"unadjusted")</f>
        <v>44083</v>
      </c>
      <c r="I27" s="357" t="str">
        <f ca="1">_xll.qlSchedule(,G27,H27,"3M","Target","Modified Following","Modified Following","Backward")</f>
        <v>obj_00000#0018</v>
      </c>
      <c r="J27" s="357" t="str">
        <f ca="1">_xll.qlIborLeg(,,10000,I27,2,,"Act/360",,,Curve!$S$85)</f>
        <v>obj_0080e#0015</v>
      </c>
      <c r="K27" s="405">
        <f ca="1">_xll.qlLegNPV(J27,Curve!$S$16)</f>
        <v>131.50792242064864</v>
      </c>
      <c r="L27" s="406">
        <f ca="1">_xll.qlLegBPS(J27,Curve!$S$16)</f>
        <v>5.0790511581753321</v>
      </c>
      <c r="M27" s="357" t="str">
        <f ca="1">_xll.qlEuriborSwapIsdaFixA(,C27,Curve!$S$109,Curve!$S$16)</f>
        <v>obj_007f0#0019</v>
      </c>
      <c r="N27" s="357" t="str">
        <f ca="1">_xll.qlCmsLeg(,,10000,I27,2,,"Act/360",,,M27)</f>
        <v>obj_0080f#0015</v>
      </c>
      <c r="O27" s="411" t="str">
        <f t="shared" ca="1" si="0"/>
        <v>ConundrumByBlack</v>
      </c>
      <c r="P27" s="411" t="str">
        <f t="shared" ca="1" si="0"/>
        <v>Standard</v>
      </c>
      <c r="Q27" s="412">
        <f t="shared" ca="1" si="0"/>
        <v>0</v>
      </c>
      <c r="R27" s="418" t="str">
        <f t="shared" ca="1" si="0"/>
        <v>EUR-ATM-Swaption-Surface-LVol#0001</v>
      </c>
      <c r="S27" s="357" t="str">
        <f ca="1">_xll.qlCmsCouponPricer(,R27,O27,P27,Q27)</f>
        <v>obj_00805#0017</v>
      </c>
      <c r="T27" s="357" t="b">
        <f ca="1">_xll.qlLegSetCouponPricers(N27,S27)</f>
        <v>1</v>
      </c>
      <c r="U27" s="405">
        <f ca="1">_xll.qlLegNPV(N27,Curve!$S$16,,,,T27)</f>
        <v>998.7080664875582</v>
      </c>
      <c r="V27" s="357" t="str">
        <f ca="1">_xll.qlCmsLeg(,,10000,I27,2,,"Act/360",,,M27)</f>
        <v>obj_0084b#0012</v>
      </c>
      <c r="W27" s="411" t="str">
        <f t="shared" ca="1" si="1"/>
        <v>ConundrumByBachelier</v>
      </c>
      <c r="X27" s="411" t="str">
        <f t="shared" ca="1" si="1"/>
        <v>Standard</v>
      </c>
      <c r="Y27" s="412">
        <f t="shared" ca="1" si="1"/>
        <v>0</v>
      </c>
      <c r="Z27" s="418" t="str">
        <f t="shared" ca="1" si="1"/>
        <v>EUR-ATM-Swaption-Surface-NVol#0001</v>
      </c>
      <c r="AA27" s="357" t="str">
        <f ca="1">_xll.qlCmsCouponPricer(,Z27,W27,X27,Y27)</f>
        <v>obj_00846#0019</v>
      </c>
      <c r="AB27" s="357" t="b">
        <f ca="1">_xll.qlLegSetCouponPricers(V27,AA27)</f>
        <v>1</v>
      </c>
      <c r="AC27" s="405">
        <f ca="1">_xll.qlLegNPV(V27,Curve!$S$16,,,,AB27)</f>
        <v>951.39067003570835</v>
      </c>
      <c r="AD27" s="357" t="str">
        <f ca="1">_xll.qlCmsLeg(,,10000,I27,2,,"Act/360",,,M27)</f>
        <v>obj_00b3e#0011</v>
      </c>
      <c r="AE27" s="411" t="str">
        <f t="shared" ca="1" si="2"/>
        <v>ConundrumByBachelier</v>
      </c>
      <c r="AF27" s="411" t="str">
        <f t="shared" ca="1" si="2"/>
        <v>NonParallelShifts</v>
      </c>
      <c r="AG27" s="412">
        <f t="shared" ca="1" si="2"/>
        <v>0.1</v>
      </c>
      <c r="AH27" s="418" t="str">
        <f t="shared" ca="1" si="2"/>
        <v>EUR-ATM-Swaption-Surface-NVol#0001</v>
      </c>
      <c r="AI27" s="357" t="str">
        <f ca="1">_xll.qlCmsCouponPricer(,AH27,AE27,AF27,AG27)</f>
        <v>obj_00861#0018</v>
      </c>
      <c r="AJ27" s="357" t="b">
        <f ca="1">_xll.qlLegSetCouponPricers(AD27,AI27)</f>
        <v>1</v>
      </c>
      <c r="AK27" s="405">
        <f ca="1">_xll.qlLegNPV(AD27,Curve!$S$16,,,,AJ27)</f>
        <v>980.88595952746334</v>
      </c>
      <c r="AL27" s="357" t="str">
        <f ca="1">_xll.qlCmsLeg(,,10000,I27,2,,"Act/360",,,M27)</f>
        <v>obj_00b66#0012</v>
      </c>
      <c r="AM27" s="411" t="str">
        <f t="shared" ca="1" si="3"/>
        <v>ConundrumByBachelier</v>
      </c>
      <c r="AN27" s="411" t="str">
        <f t="shared" ca="1" si="3"/>
        <v>Affine</v>
      </c>
      <c r="AO27" s="412">
        <f t="shared" ca="1" si="3"/>
        <v>0</v>
      </c>
      <c r="AP27" s="418" t="str">
        <f t="shared" ca="1" si="3"/>
        <v>EUR-ATM-Swaption-Surface-NVol#0001</v>
      </c>
      <c r="AQ27" s="357" t="str">
        <f ca="1">_xll.qlCmsCouponPricer(,AP27,AM27,AN27,AO27)</f>
        <v>obj_00b54#0015</v>
      </c>
      <c r="AR27" s="357" t="b">
        <f ca="1">_xll.qlLegSetCouponPricers(AL27,AQ27)</f>
        <v>1</v>
      </c>
      <c r="AS27" s="405">
        <f ca="1">_xll.qlLegNPV(AL27,Curve!$S$16,,,,AR27)</f>
        <v>937.42662658739778</v>
      </c>
      <c r="AT27" s="407">
        <f t="shared" ca="1" si="4"/>
        <v>170.74058068327361</v>
      </c>
      <c r="AU27" s="407">
        <f t="shared" ca="1" si="5"/>
        <v>161.42439248625439</v>
      </c>
      <c r="AV27" s="407">
        <f t="shared" ca="1" si="6"/>
        <v>167.23163651140635</v>
      </c>
      <c r="AW27" s="407">
        <f t="shared" ca="1" si="7"/>
        <v>158.67505151420417</v>
      </c>
      <c r="AX27" s="407">
        <f ca="1">AU27-(E27+F27)/2</f>
        <v>1.474392486254402</v>
      </c>
      <c r="AY27" s="407">
        <f ca="1">AW27-(E27+F27)/2</f>
        <v>-1.274948485795818</v>
      </c>
    </row>
    <row r="28" spans="2:51">
      <c r="B28" s="345">
        <f ca="1">RefDate</f>
        <v>42254</v>
      </c>
      <c r="C28" s="415" t="s">
        <v>106</v>
      </c>
      <c r="D28" s="415" t="s">
        <v>16</v>
      </c>
      <c r="E28" s="401">
        <f ca="1">VLOOKUP("EUR CMS v 3MEurib "&amp;C28&amp;D28,'CMS Swaps'!$X:$AA,3,)</f>
        <v>105.2</v>
      </c>
      <c r="F28" s="401">
        <f ca="1">VLOOKUP("EUR CMS v 3MEurib "&amp;C28&amp;D28,'CMS Swaps'!$X:$AA,4,)</f>
        <v>130.4</v>
      </c>
      <c r="G28" s="345">
        <f ca="1">_xll.qlCalendarAdvance("Target",B28,"2d")</f>
        <v>42256</v>
      </c>
      <c r="H28" s="345">
        <f ca="1">_xll.qlCalendarAdvance("Target",G28,D28,"unadjusted")</f>
        <v>45909</v>
      </c>
      <c r="I28" s="357" t="str">
        <f ca="1">_xll.qlSchedule(,G28,H28,"3M","Target","Modified Following","Modified Following","Backward")</f>
        <v>obj_00001#0018</v>
      </c>
      <c r="J28" s="357" t="str">
        <f ca="1">_xll.qlIborLeg(,,10000,I28,2,,"Act/360",,,Curve!$S$85)</f>
        <v>obj_00810#0015</v>
      </c>
      <c r="K28" s="405">
        <f ca="1">_xll.qlLegNPV(J28,Curve!$S$16)</f>
        <v>881.90570756515046</v>
      </c>
      <c r="L28" s="406">
        <f ca="1">_xll.qlLegBPS(J28,Curve!$S$16)</f>
        <v>9.963374862181082</v>
      </c>
      <c r="M28" s="357" t="str">
        <f ca="1">_xll.qlEuriborSwapIsdaFixA(,C28,Curve!$S$109,Curve!$S$16)</f>
        <v>obj_007ec#0019</v>
      </c>
      <c r="N28" s="357" t="str">
        <f ca="1">_xll.qlCmsLeg(,,10000,I28,2,,"Act/360",,,M28)</f>
        <v>obj_00811#0015</v>
      </c>
      <c r="O28" s="411" t="str">
        <f t="shared" ca="1" si="0"/>
        <v>ConundrumByBlack</v>
      </c>
      <c r="P28" s="411" t="str">
        <f t="shared" ca="1" si="0"/>
        <v>Standard</v>
      </c>
      <c r="Q28" s="412">
        <f t="shared" ca="1" si="0"/>
        <v>0</v>
      </c>
      <c r="R28" s="418" t="str">
        <f t="shared" ca="1" si="0"/>
        <v>EUR-ATM-Swaption-Surface-LVol#0001</v>
      </c>
      <c r="S28" s="357" t="str">
        <f ca="1">_xll.qlCmsCouponPricer(,R28,O28,P28,Q28)</f>
        <v>obj_0080a#0016</v>
      </c>
      <c r="T28" s="357" t="b">
        <f ca="1">_xll.qlLegSetCouponPricers(N28,S28)</f>
        <v>1</v>
      </c>
      <c r="U28" s="405">
        <f ca="1">_xll.qlLegNPV(N28,Curve!$S$16,,,,T28)</f>
        <v>2431.4022089045852</v>
      </c>
      <c r="V28" s="357" t="str">
        <f ca="1">_xll.qlCmsLeg(,,10000,I28,2,,"Act/360",,,M28)</f>
        <v>obj_0084c#0012</v>
      </c>
      <c r="W28" s="411" t="str">
        <f t="shared" ca="1" si="1"/>
        <v>ConundrumByBachelier</v>
      </c>
      <c r="X28" s="411" t="str">
        <f t="shared" ca="1" si="1"/>
        <v>Standard</v>
      </c>
      <c r="Y28" s="412">
        <f t="shared" ca="1" si="1"/>
        <v>0</v>
      </c>
      <c r="Z28" s="418" t="str">
        <f t="shared" ca="1" si="1"/>
        <v>EUR-ATM-Swaption-Surface-NVol#0001</v>
      </c>
      <c r="AA28" s="357" t="str">
        <f ca="1">_xll.qlCmsCouponPricer(,Z28,W28,X28,Y28)</f>
        <v>obj_00837#0019</v>
      </c>
      <c r="AB28" s="357" t="b">
        <f ca="1">_xll.qlLegSetCouponPricers(V28,AA28)</f>
        <v>1</v>
      </c>
      <c r="AC28" s="405">
        <f ca="1">_xll.qlLegNPV(V28,Curve!$S$16,,,,AB28)</f>
        <v>2090.7811657606917</v>
      </c>
      <c r="AD28" s="357" t="str">
        <f ca="1">_xll.qlCmsLeg(,,10000,I28,2,,"Act/360",,,M28)</f>
        <v>obj_00b3f#0011</v>
      </c>
      <c r="AE28" s="411" t="str">
        <f t="shared" ca="1" si="2"/>
        <v>ConundrumByBachelier</v>
      </c>
      <c r="AF28" s="411" t="str">
        <f t="shared" ca="1" si="2"/>
        <v>NonParallelShifts</v>
      </c>
      <c r="AG28" s="412">
        <f t="shared" ca="1" si="2"/>
        <v>0.1</v>
      </c>
      <c r="AH28" s="418" t="str">
        <f t="shared" ca="1" si="2"/>
        <v>EUR-ATM-Swaption-Surface-NVol#0001</v>
      </c>
      <c r="AI28" s="357" t="str">
        <f ca="1">_xll.qlCmsCouponPricer(,AH28,AE28,AF28,AG28)</f>
        <v>obj_00860#0018</v>
      </c>
      <c r="AJ28" s="357" t="b">
        <f ca="1">_xll.qlLegSetCouponPricers(AD28,AI28)</f>
        <v>1</v>
      </c>
      <c r="AK28" s="405">
        <f ca="1">_xll.qlLegNPV(AD28,Curve!$S$16,,,,AJ28)</f>
        <v>2192.5752117650986</v>
      </c>
      <c r="AL28" s="357" t="str">
        <f ca="1">_xll.qlCmsLeg(,,10000,I28,2,,"Act/360",,,M28)</f>
        <v>obj_00b67#0012</v>
      </c>
      <c r="AM28" s="411" t="str">
        <f t="shared" ca="1" si="3"/>
        <v>ConundrumByBachelier</v>
      </c>
      <c r="AN28" s="411" t="str">
        <f t="shared" ca="1" si="3"/>
        <v>Affine</v>
      </c>
      <c r="AO28" s="412">
        <f t="shared" ca="1" si="3"/>
        <v>0</v>
      </c>
      <c r="AP28" s="418" t="str">
        <f t="shared" ca="1" si="3"/>
        <v>EUR-ATM-Swaption-Surface-NVol#0001</v>
      </c>
      <c r="AQ28" s="357" t="str">
        <f ca="1">_xll.qlCmsCouponPricer(,AP28,AM28,AN28,AO28)</f>
        <v>obj_00b52#0015</v>
      </c>
      <c r="AR28" s="357" t="b">
        <f ca="1">_xll.qlLegSetCouponPricers(AL28,AQ28)</f>
        <v>1</v>
      </c>
      <c r="AS28" s="405">
        <f ca="1">_xll.qlLegNPV(AL28,Curve!$S$16,,,,AR28)</f>
        <v>2040.9436245745096</v>
      </c>
      <c r="AT28" s="407">
        <f t="shared" ca="1" si="4"/>
        <v>155.51924149928396</v>
      </c>
      <c r="AU28" s="407">
        <f t="shared" ca="1" si="5"/>
        <v>121.33192566950216</v>
      </c>
      <c r="AV28" s="407">
        <f t="shared" ca="1" si="6"/>
        <v>131.54874952813225</v>
      </c>
      <c r="AW28" s="407">
        <f t="shared" ca="1" si="7"/>
        <v>116.32985138487847</v>
      </c>
      <c r="AX28" s="407">
        <f ca="1">AU28-(E28+F28)/2</f>
        <v>3.5319256695021437</v>
      </c>
      <c r="AY28" s="407">
        <f ca="1">AW28-(E28+F28)/2</f>
        <v>-1.4701486151215448</v>
      </c>
    </row>
    <row r="29" spans="2:51">
      <c r="B29" s="345">
        <f ca="1">RefDate</f>
        <v>42254</v>
      </c>
      <c r="C29" s="415" t="s">
        <v>106</v>
      </c>
      <c r="D29" s="417" t="s">
        <v>17</v>
      </c>
      <c r="E29" s="401">
        <f ca="1">VLOOKUP("EUR CMS v 3MEurib "&amp;C29&amp;D29,'CMS Swaps'!$X:$AA,3,)</f>
        <v>79.5</v>
      </c>
      <c r="F29" s="401">
        <f ca="1">VLOOKUP("EUR CMS v 3MEurib "&amp;C29&amp;D29,'CMS Swaps'!$X:$AA,4,)</f>
        <v>104.8</v>
      </c>
      <c r="G29" s="345">
        <f ca="1">_xll.qlCalendarAdvance("Target",B29,"2d")</f>
        <v>42256</v>
      </c>
      <c r="H29" s="345">
        <f ca="1">_xll.qlCalendarAdvance("Target",G29,D29,"unadjusted")</f>
        <v>47735</v>
      </c>
      <c r="I29" s="357" t="str">
        <f ca="1">_xll.qlSchedule(,G29,H29,"3M","Target","Modified Following","Modified Following","Backward")</f>
        <v>obj_00006#0017</v>
      </c>
      <c r="J29" s="357" t="str">
        <f ca="1">_xll.qlIborLeg(,,10000,I29,2,,"Act/360",,,Curve!$S$85)</f>
        <v>obj_0081b#0015</v>
      </c>
      <c r="K29" s="405">
        <f ca="1">_xll.qlLegNPV(J29,Curve!$S$16)</f>
        <v>1807.6313425835522</v>
      </c>
      <c r="L29" s="406">
        <f ca="1">_xll.qlLegBPS(J29,Curve!$S$16)</f>
        <v>14.427535677164078</v>
      </c>
      <c r="M29" s="357" t="str">
        <f ca="1">_xll.qlEuriborSwapIsdaFixA(,C29,Curve!$S$109,Curve!$S$16)</f>
        <v>obj_007f2#0019</v>
      </c>
      <c r="N29" s="357" t="str">
        <f ca="1">_xll.qlCmsLeg(,,10000,I29,2,,"Act/360",,,M29)</f>
        <v>obj_0081a#0015</v>
      </c>
      <c r="O29" s="411" t="str">
        <f t="shared" ca="1" si="0"/>
        <v>ConundrumByBlack</v>
      </c>
      <c r="P29" s="411" t="str">
        <f t="shared" ca="1" si="0"/>
        <v>Standard</v>
      </c>
      <c r="Q29" s="412">
        <f t="shared" ca="1" si="0"/>
        <v>0</v>
      </c>
      <c r="R29" s="418" t="str">
        <f t="shared" ca="1" si="0"/>
        <v>EUR-ATM-Swaption-Surface-LVol#0001</v>
      </c>
      <c r="S29" s="357" t="str">
        <f ca="1">_xll.qlCmsCouponPricer(,R29,O29,P29,Q29)</f>
        <v>obj_007fe#0018</v>
      </c>
      <c r="T29" s="357" t="b">
        <f ca="1">_xll.qlLegSetCouponPricers(N29,S29)</f>
        <v>1</v>
      </c>
      <c r="U29" s="405">
        <f ca="1">_xll.qlLegNPV(N29,Curve!$S$16,,,,T29)</f>
        <v>4386.7732485562628</v>
      </c>
      <c r="V29" s="357" t="str">
        <f ca="1">_xll.qlCmsLeg(,,10000,I29,2,,"Act/360",,,M29)</f>
        <v>obj_00851#0012</v>
      </c>
      <c r="W29" s="411" t="str">
        <f t="shared" ca="1" si="1"/>
        <v>ConundrumByBachelier</v>
      </c>
      <c r="X29" s="411" t="str">
        <f t="shared" ca="1" si="1"/>
        <v>Standard</v>
      </c>
      <c r="Y29" s="412">
        <f t="shared" ca="1" si="1"/>
        <v>0</v>
      </c>
      <c r="Z29" s="418" t="str">
        <f t="shared" ca="1" si="1"/>
        <v>EUR-ATM-Swaption-Surface-NVol#0001</v>
      </c>
      <c r="AA29" s="357" t="str">
        <f ca="1">_xll.qlCmsCouponPricer(,Z29,W29,X29,Y29)</f>
        <v>obj_00844#0019</v>
      </c>
      <c r="AB29" s="357" t="b">
        <f ca="1">_xll.qlLegSetCouponPricers(V29,AA29)</f>
        <v>1</v>
      </c>
      <c r="AC29" s="405">
        <f ca="1">_xll.qlLegNPV(V29,Curve!$S$16,,,,AB29)</f>
        <v>3189.8183183626134</v>
      </c>
      <c r="AD29" s="357" t="str">
        <f ca="1">_xll.qlCmsLeg(,,10000,I29,2,,"Act/360",,,M29)</f>
        <v>obj_00b44#0011</v>
      </c>
      <c r="AE29" s="411" t="str">
        <f t="shared" ca="1" si="2"/>
        <v>ConundrumByBachelier</v>
      </c>
      <c r="AF29" s="411" t="str">
        <f t="shared" ca="1" si="2"/>
        <v>NonParallelShifts</v>
      </c>
      <c r="AG29" s="412">
        <f t="shared" ca="1" si="2"/>
        <v>0.1</v>
      </c>
      <c r="AH29" s="418" t="str">
        <f t="shared" ca="1" si="2"/>
        <v>EUR-ATM-Swaption-Surface-NVol#0001</v>
      </c>
      <c r="AI29" s="357" t="str">
        <f ca="1">_xll.qlCmsCouponPricer(,AH29,AE29,AF29,AG29)</f>
        <v>obj_0085f#0018</v>
      </c>
      <c r="AJ29" s="357" t="b">
        <f ca="1">_xll.qlLegSetCouponPricers(AD29,AI29)</f>
        <v>1</v>
      </c>
      <c r="AK29" s="405">
        <f ca="1">_xll.qlLegNPV(AD29,Curve!$S$16,,,,AJ29)</f>
        <v>3386.5633757069868</v>
      </c>
      <c r="AL29" s="357" t="str">
        <f ca="1">_xll.qlCmsLeg(,,10000,I29,2,,"Act/360",,,M29)</f>
        <v>obj_00b6c#0011</v>
      </c>
      <c r="AM29" s="411" t="str">
        <f t="shared" ca="1" si="3"/>
        <v>ConundrumByBachelier</v>
      </c>
      <c r="AN29" s="411" t="str">
        <f t="shared" ca="1" si="3"/>
        <v>Affine</v>
      </c>
      <c r="AO29" s="412">
        <f t="shared" ca="1" si="3"/>
        <v>0</v>
      </c>
      <c r="AP29" s="418" t="str">
        <f t="shared" ca="1" si="3"/>
        <v>EUR-ATM-Swaption-Surface-NVol#0001</v>
      </c>
      <c r="AQ29" s="357" t="str">
        <f ca="1">_xll.qlCmsCouponPricer(,AP29,AM29,AN29,AO29)</f>
        <v>obj_00b63#0015</v>
      </c>
      <c r="AR29" s="357" t="b">
        <f ca="1">_xll.qlLegSetCouponPricers(AL29,AQ29)</f>
        <v>1</v>
      </c>
      <c r="AS29" s="405">
        <f ca="1">_xll.qlLegNPV(AL29,Curve!$S$16,,,,AR29)</f>
        <v>3095.8548576949274</v>
      </c>
      <c r="AT29" s="407">
        <f t="shared" ca="1" si="4"/>
        <v>178.76524194322246</v>
      </c>
      <c r="AU29" s="407">
        <f t="shared" ca="1" si="5"/>
        <v>95.802014058907403</v>
      </c>
      <c r="AV29" s="407">
        <f t="shared" ca="1" si="6"/>
        <v>109.43878902497329</v>
      </c>
      <c r="AW29" s="407">
        <f t="shared" ca="1" si="7"/>
        <v>89.289227483968531</v>
      </c>
      <c r="AX29" s="407">
        <f ca="1">AU29-(E29+F29)/2</f>
        <v>3.6520140589073975</v>
      </c>
      <c r="AY29" s="407">
        <f ca="1">AW29-(E29+F29)/2</f>
        <v>-2.8607725160314743</v>
      </c>
    </row>
    <row r="30" spans="2:51">
      <c r="B30" s="345">
        <f ca="1">RefDate</f>
        <v>42254</v>
      </c>
      <c r="C30" s="415" t="s">
        <v>106</v>
      </c>
      <c r="D30" s="417" t="s">
        <v>104</v>
      </c>
      <c r="E30" s="401">
        <f ca="1">VLOOKUP("EUR CMS v 3MEurib "&amp;C30&amp;D30,'CMS Swaps'!$X:$AA,3,)</f>
        <v>65.900000000000006</v>
      </c>
      <c r="F30" s="401">
        <f ca="1">VLOOKUP("EUR CMS v 3MEurib "&amp;C30&amp;D30,'CMS Swaps'!$X:$AA,4,)</f>
        <v>96.3</v>
      </c>
      <c r="G30" s="345">
        <f ca="1">_xll.qlCalendarAdvance("Target",B30,"2d")</f>
        <v>42256</v>
      </c>
      <c r="H30" s="345">
        <f ca="1">_xll.qlCalendarAdvance("Target",G30,D30,"unadjusted")</f>
        <v>49561</v>
      </c>
      <c r="I30" s="357" t="str">
        <f ca="1">_xll.qlSchedule(,G30,H30,"3M","Target","Modified Following","Modified Following","Backward")</f>
        <v>obj_00007#0017</v>
      </c>
      <c r="J30" s="357" t="str">
        <f ca="1">_xll.qlIborLeg(,,10000,I30,2,,"Act/360",,,Curve!$S$85)</f>
        <v>obj_0081c#0015</v>
      </c>
      <c r="K30" s="405">
        <f ca="1">_xll.qlLegNPV(J30,Curve!$S$16)</f>
        <v>2599.3423770022291</v>
      </c>
      <c r="L30" s="406">
        <f ca="1">_xll.qlLegBPS(J30,Curve!$S$16)</f>
        <v>18.472357537197599</v>
      </c>
      <c r="M30" s="357" t="str">
        <f ca="1">_xll.qlEuriborSwapIsdaFixA(,C30,Curve!$S$109,Curve!$S$16)</f>
        <v>obj_007e6#0019</v>
      </c>
      <c r="N30" s="357" t="str">
        <f ca="1">_xll.qlCmsLeg(,,10000,I30,2,,"Act/360",,,M30)</f>
        <v>obj_0081d#0015</v>
      </c>
      <c r="O30" s="411" t="str">
        <f t="shared" ca="1" si="0"/>
        <v>ConundrumByBlack</v>
      </c>
      <c r="P30" s="411" t="str">
        <f t="shared" ca="1" si="0"/>
        <v>Standard</v>
      </c>
      <c r="Q30" s="412">
        <f t="shared" ca="1" si="0"/>
        <v>0</v>
      </c>
      <c r="R30" s="418" t="str">
        <f t="shared" ca="1" si="0"/>
        <v>EUR-ATM-Swaption-Surface-LVol#0001</v>
      </c>
      <c r="S30" s="357" t="str">
        <f ca="1">_xll.qlCmsCouponPricer(,R30,O30,P30,Q30)</f>
        <v>obj_0080d#0016</v>
      </c>
      <c r="T30" s="357" t="b">
        <f ca="1">_xll.qlLegSetCouponPricers(N30,S30)</f>
        <v>1</v>
      </c>
      <c r="U30" s="405">
        <f ca="1">_xll.qlLegNPV(N30,Curve!$S$16,,,,T30)</f>
        <v>7189.3279292639727</v>
      </c>
      <c r="V30" s="357" t="str">
        <f ca="1">_xll.qlCmsLeg(,,10000,I30,2,,"Act/360",,,M30)</f>
        <v>obj_00852#0012</v>
      </c>
      <c r="W30" s="411" t="str">
        <f t="shared" ca="1" si="1"/>
        <v>ConundrumByBachelier</v>
      </c>
      <c r="X30" s="411" t="str">
        <f t="shared" ca="1" si="1"/>
        <v>Standard</v>
      </c>
      <c r="Y30" s="412">
        <f t="shared" ca="1" si="1"/>
        <v>0</v>
      </c>
      <c r="Z30" s="418" t="str">
        <f t="shared" ca="1" si="1"/>
        <v>EUR-ATM-Swaption-Surface-NVol#0001</v>
      </c>
      <c r="AA30" s="357" t="str">
        <f ca="1">_xll.qlCmsCouponPricer(,Z30,W30,X30,Y30)</f>
        <v>obj_0083a#0019</v>
      </c>
      <c r="AB30" s="357" t="b">
        <f ca="1">_xll.qlLegSetCouponPricers(V30,AA30)</f>
        <v>1</v>
      </c>
      <c r="AC30" s="405">
        <f ca="1">_xll.qlLegNPV(V30,Curve!$S$16,,,,AB30)</f>
        <v>4167.3555907061345</v>
      </c>
      <c r="AD30" s="357" t="str">
        <f ca="1">_xll.qlCmsLeg(,,10000,I30,2,,"Act/360",,,M30)</f>
        <v>obj_00b45#0011</v>
      </c>
      <c r="AE30" s="411" t="str">
        <f t="shared" ca="1" si="2"/>
        <v>ConundrumByBachelier</v>
      </c>
      <c r="AF30" s="411" t="str">
        <f t="shared" ca="1" si="2"/>
        <v>NonParallelShifts</v>
      </c>
      <c r="AG30" s="412">
        <f t="shared" ca="1" si="2"/>
        <v>0.1</v>
      </c>
      <c r="AH30" s="418" t="str">
        <f t="shared" ca="1" si="2"/>
        <v>EUR-ATM-Swaption-Surface-NVol#0001</v>
      </c>
      <c r="AI30" s="357" t="str">
        <f ca="1">_xll.qlCmsCouponPricer(,AH30,AE30,AF30,AG30)</f>
        <v>obj_0085e#0018</v>
      </c>
      <c r="AJ30" s="357" t="b">
        <f ca="1">_xll.qlLegSetCouponPricers(AD30,AI30)</f>
        <v>1</v>
      </c>
      <c r="AK30" s="405">
        <f ca="1">_xll.qlLegNPV(AD30,Curve!$S$16,,,,AJ30)</f>
        <v>4464.4314372413546</v>
      </c>
      <c r="AL30" s="357" t="str">
        <f ca="1">_xll.qlCmsLeg(,,10000,I30,2,,"Act/360",,,M30)</f>
        <v>obj_00b6d#0011</v>
      </c>
      <c r="AM30" s="411" t="str">
        <f t="shared" ca="1" si="3"/>
        <v>ConundrumByBachelier</v>
      </c>
      <c r="AN30" s="411" t="str">
        <f t="shared" ca="1" si="3"/>
        <v>Affine</v>
      </c>
      <c r="AO30" s="412">
        <f t="shared" ca="1" si="3"/>
        <v>0</v>
      </c>
      <c r="AP30" s="418" t="str">
        <f t="shared" ca="1" si="3"/>
        <v>EUR-ATM-Swaption-Surface-NVol#0001</v>
      </c>
      <c r="AQ30" s="357" t="str">
        <f ca="1">_xll.qlCmsCouponPricer(,AP30,AM30,AN30,AO30)</f>
        <v>obj_00b5c#0015</v>
      </c>
      <c r="AR30" s="357" t="b">
        <f ca="1">_xll.qlLegSetCouponPricers(AL30,AQ30)</f>
        <v>1</v>
      </c>
      <c r="AS30" s="405">
        <f ca="1">_xll.qlLegNPV(AL30,Curve!$S$16,,,,AR30)</f>
        <v>4031.2187152005708</v>
      </c>
      <c r="AT30" s="407">
        <f t="shared" ca="1" si="4"/>
        <v>248.47860068856593</v>
      </c>
      <c r="AU30" s="407">
        <f t="shared" ca="1" si="5"/>
        <v>84.884304049789705</v>
      </c>
      <c r="AV30" s="407">
        <f t="shared" ca="1" si="6"/>
        <v>100.96648770918463</v>
      </c>
      <c r="AW30" s="407">
        <f t="shared" ca="1" si="7"/>
        <v>77.51454221882544</v>
      </c>
      <c r="AX30" s="407">
        <f ca="1">AU30-(E30+F30)/2</f>
        <v>3.7843040497897107</v>
      </c>
      <c r="AY30" s="407">
        <f ca="1">AW30-(E30+F30)/2</f>
        <v>-3.5854577811745543</v>
      </c>
    </row>
  </sheetData>
  <dataValidations disablePrompts="1" count="2">
    <dataValidation type="list" allowBlank="1" showInputMessage="1" showErrorMessage="1" sqref="P3 X3 AF3 AN3">
      <formula1>"Standard, ExactYield, ParallelShifts, NonParallelShifts, Affine"</formula1>
    </dataValidation>
    <dataValidation type="list" allowBlank="1" showInputMessage="1" showErrorMessage="1" sqref="O3 W3 AE3 AM3">
      <formula1>"ConundrumByBachelier,ConundrumByBlack,ConundrumByNumericalIntegration"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Swap Curves</vt:lpstr>
      <vt:lpstr>Swaption Volatilities</vt:lpstr>
      <vt:lpstr>CMS Swaps</vt:lpstr>
      <vt:lpstr>Curve</vt:lpstr>
      <vt:lpstr>VolCalculation</vt:lpstr>
      <vt:lpstr>SwaptionVols</vt:lpstr>
      <vt:lpstr>Calibration</vt:lpstr>
      <vt:lpstr>AnnuityMapping</vt:lpstr>
      <vt:lpstr>AffineModel</vt:lpstr>
      <vt:lpstr>CMSCalculation</vt:lpstr>
      <vt:lpstr>BBDate</vt:lpstr>
      <vt:lpstr>RefDate</vt:lpstr>
    </vt:vector>
  </TitlesOfParts>
  <Company>UBS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Schlenkrich</dc:creator>
  <cp:lastModifiedBy>Schlenkrich Sebastian</cp:lastModifiedBy>
  <dcterms:created xsi:type="dcterms:W3CDTF">2012-10-26T09:27:25Z</dcterms:created>
  <dcterms:modified xsi:type="dcterms:W3CDTF">2015-09-08T09:31:00Z</dcterms:modified>
</cp:coreProperties>
</file>