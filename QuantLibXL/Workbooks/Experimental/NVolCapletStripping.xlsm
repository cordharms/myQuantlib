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520" windowWidth="14445" windowHeight="5340" tabRatio="725"/>
  </bookViews>
  <sheets>
    <sheet name="Curve" sheetId="1" r:id="rId1"/>
    <sheet name="MarketCheck" sheetId="37" r:id="rId2"/>
    <sheet name="CapletCalibration" sheetId="38" r:id="rId3"/>
  </sheets>
  <functionGroups builtInGroupCount="17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IntlFixup" hidden="1">TRUE</definedName>
    <definedName name="AATM">'[1]VOL DATA'!$D$5</definedName>
    <definedName name="adjustedstartdate">[2]Pricing!$D$4</definedName>
    <definedName name="AllTrades">#REF!</definedName>
    <definedName name="alpha">[3]CapletCalibration!#REF!</definedName>
    <definedName name="ASMILE">'[1]VOL DATA'!$D$15</definedName>
    <definedName name="AsOfDate">[4]config!$C$3</definedName>
    <definedName name="ASwFA">'[1]Calibration &amp; Pricing'!$L$4</definedName>
    <definedName name="ASwVA">'[1]Calibration &amp; Pricing'!$L$5</definedName>
    <definedName name="ATM_File_Monthly">[2]Control!$C$46</definedName>
    <definedName name="ATM_File_Monthly_Path">[2]Control!$C$47</definedName>
    <definedName name="ATMVol">[2]Pricing!$D$32</definedName>
    <definedName name="ATrA">'[1]Calibration &amp; Pricing'!$L$3</definedName>
    <definedName name="AUDfutadj">[5]Controls!$C$32</definedName>
    <definedName name="AvgPayshift">[6]control!$D$15</definedName>
    <definedName name="AvgPayshift_q">[6]control!$H$15</definedName>
    <definedName name="AvgRecshift">[6]control!$D$16</definedName>
    <definedName name="avgzcpay">#REF!</definedName>
    <definedName name="AvgZCPayshift">[6]control!$D$18</definedName>
    <definedName name="avgzcrec">#REF!</definedName>
    <definedName name="AvgZCRecshift">[6]control!$D$19</definedName>
    <definedName name="BadExercise">[1]Product!$AC$6</definedName>
    <definedName name="Basis">[2]Pricing!$D$17</definedName>
    <definedName name="BDRange">#REF!</definedName>
    <definedName name="BERMHEDGESc">#REF!</definedName>
    <definedName name="BERMPRICE">'[1]Calibration &amp; Pricing'!$L$7</definedName>
    <definedName name="BermsLoad">#REF!</definedName>
    <definedName name="beta">[2]SABR!$F$1</definedName>
    <definedName name="BETA_ARREA">[2]SABR!$A$5:$E$6</definedName>
    <definedName name="betacal">'[2]Beta cal'!$B$2</definedName>
    <definedName name="betacal2">'[2]Beta cal'!$I$2</definedName>
    <definedName name="blackModel">[7]Control!$C$22</definedName>
    <definedName name="Book">#REF!</definedName>
    <definedName name="BucketShift">#REF!</definedName>
    <definedName name="builddate">[8]Control!#REF!</definedName>
    <definedName name="Bump_AUDJPY_D">[5]DeltaBump!$B$9</definedName>
    <definedName name="Bump_AUDJPY_U">[5]DeltaBump!$B$10</definedName>
    <definedName name="Bump_FX_Rate">[5]DeltaBump!$B$4</definedName>
    <definedName name="Bump_IR_Future">[5]DeltaBump!$B$5</definedName>
    <definedName name="Bump_IR_Swap">[5]DeltaBump!$B$6</definedName>
    <definedName name="Bump_JPUS_FX_Rate">[5]DeltaBump!$B$7</definedName>
    <definedName name="cache">#REF!</definedName>
    <definedName name="CALC">[9]control!#REF!</definedName>
    <definedName name="Calib">#REF!</definedName>
    <definedName name="CalibHW">#REF!</definedName>
    <definedName name="Calibrate">[2]SABR!$B$3</definedName>
    <definedName name="Calibratesd">[2]SABR!$B$4</definedName>
    <definedName name="CalibrationAtmOrStrike">'[1]Calibration &amp; Pricing'!$C$9</definedName>
    <definedName name="CalibSRM">#REF!</definedName>
    <definedName name="CALLABLNY_Pay_IPVFO">#REF!</definedName>
    <definedName name="CALLABLNY_Pay_IPVFO_Post">#REF!</definedName>
    <definedName name="CALLABLNY_Pay_IPVFOx">#REF!</definedName>
    <definedName name="CALLABLNY_Pay_Provisions">#REF!</definedName>
    <definedName name="CALLABLNY_Pay_rec_p1">#REF!</definedName>
    <definedName name="CALLABLNY_Pay_rec_p2">#REF!</definedName>
    <definedName name="CALLABLNY_Rec_IPVFO">#REF!</definedName>
    <definedName name="CALLABLNY_Rec_IPVFO_Post">#REF!</definedName>
    <definedName name="CALLABLNY_Rec_IPVFOx">#REF!</definedName>
    <definedName name="CALLABLNY_Rec_Provisions">#REF!</definedName>
    <definedName name="CALLABLNY_Rec_rec_p1">#REF!</definedName>
    <definedName name="CALLABLNY_Rec_rec_p2">#REF!</definedName>
    <definedName name="capfloor">[2]Pricing!$D$22</definedName>
    <definedName name="CAPFLOORS">#REF!</definedName>
    <definedName name="CAPFLOORSc">#REF!</definedName>
    <definedName name="cc">#REF!</definedName>
    <definedName name="CCY">#REF!</definedName>
    <definedName name="CCYcheck">[2]Control!$C$13:$C$17</definedName>
    <definedName name="ccys">[2]Control!$C$13</definedName>
    <definedName name="CCYShift">#REF!</definedName>
    <definedName name="CEV_BHEDGc">#REF!</definedName>
    <definedName name="CEV_CF">#REF!</definedName>
    <definedName name="CEV_CFc">#REF!</definedName>
    <definedName name="CEV_CMSc">#REF!</definedName>
    <definedName name="CEV_DIGAc">#REF!</definedName>
    <definedName name="CEV_DIGBc">#REF!</definedName>
    <definedName name="CEV_EX">#REF!</definedName>
    <definedName name="CEV_EXc">#REF!</definedName>
    <definedName name="CEV_FRA">#REF!</definedName>
    <definedName name="CEV_FRAc">#REF!</definedName>
    <definedName name="CEV_SIA1c">#REF!</definedName>
    <definedName name="CEV_SIA2c">#REF!</definedName>
    <definedName name="CEV_SP2">#REF!</definedName>
    <definedName name="CEV_SP2c">#REF!</definedName>
    <definedName name="CEV_SWAP1">#REF!</definedName>
    <definedName name="CEV_SWAP1c">#REF!</definedName>
    <definedName name="CEV_SWAP2">#REF!</definedName>
    <definedName name="CEV_SWAP2c">#REF!</definedName>
    <definedName name="CEV_SWAP3">#REF!</definedName>
    <definedName name="CEV_SWAP3c">#REF!</definedName>
    <definedName name="CEVRange">#REF!</definedName>
    <definedName name="CEVRange1">#REF!</definedName>
    <definedName name="CEVRange2">#REF!</definedName>
    <definedName name="CF_FixedPeriod">#REF!</definedName>
    <definedName name="CHF_ATM_Save">'[2]Save ATM Vols'!$BF$50</definedName>
    <definedName name="CHF_ATM_UploadType">'[2]Save ATM Vols'!$BF$47</definedName>
    <definedName name="CHF_YC_ID">[2]Control!$C$38</definedName>
    <definedName name="CHFATM">'[2]VOL DATA'!$EM$5</definedName>
    <definedName name="CHFBasis">'[2]FO YC Models'!$R$36</definedName>
    <definedName name="CHFCashSpotLag">#REF!</definedName>
    <definedName name="CHFFixedBasis">'[2]FO YC Models'!$R$50</definedName>
    <definedName name="CHFFixedPeriod">'[2]FO YC Models'!$R$48</definedName>
    <definedName name="CHFFixingCities">'[2]FO YC Models'!$R$38</definedName>
    <definedName name="CHFPayCities">#REF!</definedName>
    <definedName name="CHFPaymentCities">'[2]FO YC Models'!$R$51</definedName>
    <definedName name="CHFPTOTYCM">#REF!</definedName>
    <definedName name="CHFSABRarbvols">[2]SABR!$AO$222</definedName>
    <definedName name="CHFSABRarbvolsSD">[10]SABR!#REF!</definedName>
    <definedName name="CHFSABRcalcsd">[10]SABR!#REF!</definedName>
    <definedName name="CHFSABRinputs">[2]SABR!$A$222</definedName>
    <definedName name="CHFSABRparams">[2]SABR!$BR$222</definedName>
    <definedName name="CHFSABRparamssd">[10]SABR!#REF!</definedName>
    <definedName name="CHFSABRvalues">[2]SABR!$BW$223</definedName>
    <definedName name="CHFSABRvaluessd">[10]SABR!#REF!</definedName>
    <definedName name="CHFSABRvols">[2]SABR!$I$222</definedName>
    <definedName name="CHFSABRvolssd">[10]SABR!#REF!</definedName>
    <definedName name="CHFSMILE">'[2]VOL DATA'!$EM$15</definedName>
    <definedName name="CHFSmileExpiries">[2]Control!$R$4</definedName>
    <definedName name="CHFSpotLag">'[2]FO YC Models'!$R$37</definedName>
    <definedName name="CHFSummitUp">[2]SABR!$EC$222</definedName>
    <definedName name="CHFSummitUpsd">[10]SABR!#REF!</definedName>
    <definedName name="CHFSwapFloatIndex">'[2]FO YC Models'!$R$11</definedName>
    <definedName name="CHFSwapFloatingIndex">#REF!</definedName>
    <definedName name="CHFYC">'[2]PTOT YC Models'!$Q$219</definedName>
    <definedName name="CHFYCvals">'[2]PTOT YC Models'!$Q$132</definedName>
    <definedName name="chi">[3]CapletCalibration!#REF!</definedName>
    <definedName name="ClearRange">#REF!</definedName>
    <definedName name="CMDB_Import_Area_CF">#REF!</definedName>
    <definedName name="CMDB_Import_area_IRS_CCY">#REF!</definedName>
    <definedName name="CMSc">#REF!</definedName>
    <definedName name="Control_Date">#REF!</definedName>
    <definedName name="CopyRange">#REF!</definedName>
    <definedName name="CounterID">#REF!</definedName>
    <definedName name="CPY_CEV">#REF!</definedName>
    <definedName name="CPY_Summit">#REF!</definedName>
    <definedName name="CPY_TradeCount">#REF!</definedName>
    <definedName name="crbermud_pay_abs">#REF!</definedName>
    <definedName name="CRBERMUD_Pay_IPVFO_postu">#REF!</definedName>
    <definedName name="CRBERMUD_Pay_IPVFO_postx">#REF!</definedName>
    <definedName name="CRBERMUD_Pay_IPVFOu">#REF!</definedName>
    <definedName name="crbermud_pay_p1">#REF!</definedName>
    <definedName name="crbermud_pay_p2">#REF!</definedName>
    <definedName name="CRBERMUD_Pay_Provisions">#REF!</definedName>
    <definedName name="crbermud_rec_abs">#REF!</definedName>
    <definedName name="CRBERMUD_Rec_IPVFO_postu">#REF!</definedName>
    <definedName name="CRBERMUD_Rec_IPVFO_postx">#REF!</definedName>
    <definedName name="CRBERMUD_Rec_IPVFOu">#REF!</definedName>
    <definedName name="crbermud_rec_p1">#REF!</definedName>
    <definedName name="crbermud_rec_p2">#REF!</definedName>
    <definedName name="CRBERMUD_Rec_Provisions">#REF!</definedName>
    <definedName name="CRBERMUDGBP_Pay_IPVFO">#REF!</definedName>
    <definedName name="CRBERMUDGBP_Pay_Provisions">#REF!</definedName>
    <definedName name="CRBERMUDGBP_Rec_IPVFO">#REF!</definedName>
    <definedName name="CRBERMUDGBP_Rec_Provisions">#REF!</definedName>
    <definedName name="crzbermud_rec_p2">#REF!</definedName>
    <definedName name="crzcbermud_pay_abs">#REF!</definedName>
    <definedName name="CRZCBERMUD_Pay_IPVFO_postu">#REF!</definedName>
    <definedName name="CRZCBERMUD_Pay_IPVFO_postx">#REF!</definedName>
    <definedName name="CRZCBERMUD_Pay_IPVFO_postxu">#REF!</definedName>
    <definedName name="CRZCBERMUD_Pay_IPVFOu">#REF!</definedName>
    <definedName name="crzcbermud_pay_p1">#REF!</definedName>
    <definedName name="crzcbermud_pay_p2">#REF!</definedName>
    <definedName name="CRZCBERMUD_Pay_Provisions">#REF!</definedName>
    <definedName name="crzcbermud_rec_abs">#REF!</definedName>
    <definedName name="CRZCBERMUD_Rec_IPVFO_postu">#REF!</definedName>
    <definedName name="CRZCBERMUD_Rec_IPVFO_postx">#REF!</definedName>
    <definedName name="CRZCBERMUD_Rec_IPVFOu">#REF!</definedName>
    <definedName name="crzcbermud_rec_p1">#REF!</definedName>
    <definedName name="crzcbermud_rec_p2">#REF!</definedName>
    <definedName name="CRZCBERMUD_Rec_Provisions">#REF!</definedName>
    <definedName name="CS_BermOrEuro">[1]Product!$C$10</definedName>
    <definedName name="CS_CALLFREQ">[1]Product!$C$16</definedName>
    <definedName name="CS_COUPFREQ">[1]Product!$C$11</definedName>
    <definedName name="CS_COUPON">[1]Product!$C$8</definedName>
    <definedName name="CS_DELTA">'[1]Calibration &amp; Pricing'!$P$18</definedName>
    <definedName name="CS_FEE">[1]Product!$C$14</definedName>
    <definedName name="CS_FUNDINGSPREAD">[1]Product!$C$9</definedName>
    <definedName name="CS_MATURITY">[1]Product!$C$7</definedName>
    <definedName name="CS_NONCALL">[1]Product!$C$15</definedName>
    <definedName name="CS_NPV">'[1]Calibration &amp; Pricing'!$L$15</definedName>
    <definedName name="CS_STARTDATE">[1]Product!$C$6</definedName>
    <definedName name="CS_VEGA">'[1]Calibration &amp; Pricing'!$N$13</definedName>
    <definedName name="currency">[2]Pricing!$D$21</definedName>
    <definedName name="Data_Point_ID_IRS">#REF!</definedName>
    <definedName name="Date">#REF!</definedName>
    <definedName name="DatedFile">[8]Control!#REF!</definedName>
    <definedName name="DBCopyRange">#REF!</definedName>
    <definedName name="deltaLadderBumps">#REF!</definedName>
    <definedName name="deltaLadderDiffs">#REF!</definedName>
    <definedName name="df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DIGITALS1c">#REF!</definedName>
    <definedName name="DIGITALS2c">#REF!</definedName>
    <definedName name="DownMRP">[1]control!$C$6</definedName>
    <definedName name="EndDate">[2]Pricing!$D$5</definedName>
    <definedName name="endtime">[2]Control!$C$34</definedName>
    <definedName name="engine">[11]Control!#REF!</definedName>
    <definedName name="EONIA_LIBOR_Factor">'[2]FO YC Models'!$AE$3</definedName>
    <definedName name="EUR_ATM_Save">'[2]Save ATM Vols'!$M$50</definedName>
    <definedName name="EUR_ATM_UploadType">'[2]Save ATM Vols'!$M$47</definedName>
    <definedName name="EUR_YC_ID">[2]Control!$C$36</definedName>
    <definedName name="EURATM">'[2]VOL DATA'!$AY$5</definedName>
    <definedName name="EURBasis">'[2]FO YC Models'!$J$36</definedName>
    <definedName name="EURCashAdjustment">'[12]STATIC DATA'!$H$12</definedName>
    <definedName name="EURCashBasis">'[1]STATIC DATA and PTOT'!$C$11</definedName>
    <definedName name="EURCashConventions">'[1]STATIC DATA and PTOT'!$B$10:$C$14</definedName>
    <definedName name="EURCashPayCities">'[12]STATIC DATA'!$H$13</definedName>
    <definedName name="EURCashSpotLag">#REF!</definedName>
    <definedName name="EURCCYLiborDetails">'[1]STATIC DATA and PTOT'!$B$56:$F$59</definedName>
    <definedName name="EURFixedAdjustment">'[1]STATIC DATA and PTOT'!$C$22</definedName>
    <definedName name="EURFixedBasis">'[2]FO YC Models'!$J$50</definedName>
    <definedName name="EURFixedPeriod">'[2]FO YC Models'!$J$48</definedName>
    <definedName name="EURFixingCities">'[2]FO YC Models'!$J$38</definedName>
    <definedName name="EURFundingDetails">'[1]STATIC DATA and PTOT'!$B$34:$C$45</definedName>
    <definedName name="EURfutadj">[5]Controls!$C$26</definedName>
    <definedName name="EURFutureConventions">'[1]STATIC DATA and PTOT'!$B$16:$C$18</definedName>
    <definedName name="EURFutureIndex">'[1]STATIC DATA and PTOT'!$C$27</definedName>
    <definedName name="EURFXIndex">'[1]STATIC DATA and PTOT'!$C$31</definedName>
    <definedName name="EURLiborDetails">'[1]STATIC DATA and PTOT'!$B$49:$F$52</definedName>
    <definedName name="EURLiborList">'[1]STATIC DATA and PTOT'!$C$48:$F$48</definedName>
    <definedName name="EUROPRICE">'[1]Calibration &amp; Pricing'!$L$8</definedName>
    <definedName name="EuroPriceHW">'[1]Calibration &amp; Pricing'!$L$9</definedName>
    <definedName name="EURPayCities">#REF!</definedName>
    <definedName name="EURPaymentCities">'[2]FO YC Models'!$J$51</definedName>
    <definedName name="EURPayTol">[6]control!$C$23</definedName>
    <definedName name="EURPTOTYCM">#REF!</definedName>
    <definedName name="EURRecTol">[6]control!$C$24</definedName>
    <definedName name="EURSABRarbvols">[2]SABR!$AS$8</definedName>
    <definedName name="EURSABRarbvolssd">[10]SABR!#REF!</definedName>
    <definedName name="EURSABRcalcsd">[10]SABR!#REF!</definedName>
    <definedName name="EURSABRInputs">[2]SABR!$A$8</definedName>
    <definedName name="EURSABRparams">[2]SABR!$BZ$8</definedName>
    <definedName name="EURSABRparamssd">[10]SABR!#REF!</definedName>
    <definedName name="EURSABRType">[2]SABR!#REF!</definedName>
    <definedName name="EURSABRvalues">[2]SABR!$CE$9</definedName>
    <definedName name="EURSABRvaluessd">[10]SABR!#REF!</definedName>
    <definedName name="EURSABRvols">[2]SABR!$I$8</definedName>
    <definedName name="EURSABRvolssd">[10]SABR!#REF!</definedName>
    <definedName name="EURSMILE">'[2]VOL DATA'!$AY$15</definedName>
    <definedName name="EURSmileExpiries">[2]Control!$P$4</definedName>
    <definedName name="EURSpotLag">'[2]FO YC Models'!$J$37</definedName>
    <definedName name="EURSummitUp">[2]SABR!$ES$8</definedName>
    <definedName name="EURSummitUpsd">[10]SABR!#REF!</definedName>
    <definedName name="EURSwapConventions">'[1]STATIC DATA and PTOT'!$B$20:$C$23</definedName>
    <definedName name="EURSwapFloatIndex">'[2]FO YC Models'!$J$11</definedName>
    <definedName name="EURSwapFloatingIndex">#REF!</definedName>
    <definedName name="EURTotemStrikes">[2]Control!#REF!</definedName>
    <definedName name="EURYC">'[2]PTOT YC Models'!$I$219</definedName>
    <definedName name="EURYCM">'[13]SINGLE CCY IR MODEL'!$C$17</definedName>
    <definedName name="EURYCvals">'[2]PTOT YC Models'!$I$132</definedName>
    <definedName name="EURZCPayTol">[6]control!$C$25</definedName>
    <definedName name="EURZCRecTol">[6]control!$C$26</definedName>
    <definedName name="ExcelSheetVersion">[8]Control!#REF!</definedName>
    <definedName name="exercise">[2]Pricing!$D$2</definedName>
    <definedName name="ExerciseRollDay">[1]Product!$G$52</definedName>
    <definedName name="ExFreq1">[1]control!$B$12</definedName>
    <definedName name="ExFreq2">[1]control!$B$13</definedName>
    <definedName name="ExFreq3">[1]control!$B$14</definedName>
    <definedName name="EXOTICS">#REF!</definedName>
    <definedName name="EXOTICSc">#REF!</definedName>
    <definedName name="expiries">#REF!</definedName>
    <definedName name="F4_YC_Models">'[2]F4 YC Models'!$C$17:$E$20</definedName>
    <definedName name="FFUND_LIBOR_Factor">'[2]FO YC Models'!$AQ$3</definedName>
    <definedName name="Filter1">#REF!</definedName>
    <definedName name="Filter2">#REF!</definedName>
    <definedName name="five">#REF!</definedName>
    <definedName name="Fixbusdayadj">[2]Pricing!$D$8</definedName>
    <definedName name="FixedPeriod">[2]Pricing!$D$8</definedName>
    <definedName name="FixingCities">[2]Pricing!$D$9</definedName>
    <definedName name="fixinglag">[2]Pricing!$D$11</definedName>
    <definedName name="FixSwapTable">'[1]XML INDICES'!$H$36:$I$38</definedName>
    <definedName name="FloatIndex">[6]control!$F$9:$G$12</definedName>
    <definedName name="floatperiod">[2]Pricing!#REF!</definedName>
    <definedName name="flush">#REF!</definedName>
    <definedName name="FlushCache">'[1]XML INDICES'!$E$7</definedName>
    <definedName name="flushdiva2">[2]Control!$C$9</definedName>
    <definedName name="forward">[2]Pricing!$D$29</definedName>
    <definedName name="FOUP">#REF!</definedName>
    <definedName name="FRA">#REF!</definedName>
    <definedName name="FRAc">#REF!</definedName>
    <definedName name="FundingLegLiborIndex">[13]Product!$G$31</definedName>
    <definedName name="FXPairShift">#REF!</definedName>
    <definedName name="GammaFlag">#REF!</definedName>
    <definedName name="GBP_ATM_Save">'[2]Save ATM Vols'!$AJ$50</definedName>
    <definedName name="GBP_ATM_UploadType">'[2]Save ATM Vols'!$AJ$47</definedName>
    <definedName name="GBP_YC_ID">[2]Control!$C$37</definedName>
    <definedName name="GBPATM">'[2]VOL DATA'!$CS$5</definedName>
    <definedName name="GBPBasis">'[2]FO YC Models'!$N$36</definedName>
    <definedName name="GBPCAPFLOOR">#REF!</definedName>
    <definedName name="GBPCashSpotLag">#REF!</definedName>
    <definedName name="GBPFixedBasis">'[2]FO YC Models'!$N$50</definedName>
    <definedName name="GBPFixedPeriod">'[2]FO YC Models'!$N$48</definedName>
    <definedName name="GBPFixingCities">'[2]FO YC Models'!$N$38</definedName>
    <definedName name="GBPPayCities">#REF!</definedName>
    <definedName name="GBPPaymentCities">'[2]FO YC Models'!$N$51</definedName>
    <definedName name="GBPPTOTYCM">#REF!</definedName>
    <definedName name="GBPSABRarbvols">[2]SABR!$AQ$108</definedName>
    <definedName name="GBPSABRarbvolssd">[10]SABR!#REF!</definedName>
    <definedName name="GBPSABRcalcsd">[10]SABR!#REF!</definedName>
    <definedName name="GBPSABRinputs">[2]SABR!$A$108</definedName>
    <definedName name="GBPSABRparams">[2]SABR!$BV$108</definedName>
    <definedName name="GBPSABRparamssd">[10]SABR!#REF!</definedName>
    <definedName name="GBPSABRvalues">[2]SABR!$CA$109</definedName>
    <definedName name="GBPSABRvaluessd">[10]SABR!#REF!</definedName>
    <definedName name="GBPSABRvols">[2]SABR!$I$108</definedName>
    <definedName name="GBPSABRvolssd">[10]SABR!#REF!</definedName>
    <definedName name="GBPSMILE">'[2]VOL DATA'!$CS$15</definedName>
    <definedName name="GBPSmileExpiries">[2]Control!$O$4</definedName>
    <definedName name="GBPSpotLag">'[2]FO YC Models'!$N$37</definedName>
    <definedName name="GBPSummitUp">[2]SABR!$EK$108</definedName>
    <definedName name="GBPSummitUpsd">[10]SABR!#REF!</definedName>
    <definedName name="GBPSwapFloatIndex">'[2]FO YC Models'!$N$10</definedName>
    <definedName name="GBPSwapFloatingIndex">#REF!</definedName>
    <definedName name="GBPYC">'[2]PTOT YC Models'!$M$219</definedName>
    <definedName name="GBPYCvals">'[2]PTOT YC Models'!$M$132</definedName>
    <definedName name="GenerateRiskRepFlag">#REF!</definedName>
    <definedName name="GenerateUnPaymentValueRepFlag">#REF!</definedName>
    <definedName name="GenerateUnRiskRepFlag">#REF!</definedName>
    <definedName name="GenerateUnValueRepFlag">#REF!</definedName>
    <definedName name="GenerateValueRepFlag">#REF!</definedName>
    <definedName name="GenerateValueRepYesterdayPortfolioFlag">#REF!</definedName>
    <definedName name="GenVols">'[2]Generated Vols'!$B:$H</definedName>
    <definedName name="GoalSeekTarget">'[1]Calibration &amp; Pricing'!$F$1</definedName>
    <definedName name="high">[2]Control!$C$27</definedName>
    <definedName name="HiMRP">[1]control!$C$26</definedName>
    <definedName name="HWPrice">[7]Valuation!#REF!</definedName>
    <definedName name="Impliedvol">[2]Pricing!$D$40</definedName>
    <definedName name="Index">[2]Pricing!$D$23</definedName>
    <definedName name="InsertRange1">#REF!</definedName>
    <definedName name="InsertRange2">#REF!</definedName>
    <definedName name="interp">'[2]Save EUR Skews'!$H$5</definedName>
    <definedName name="IoInt">[1]control!$C$28</definedName>
    <definedName name="IPVUP">#REF!</definedName>
    <definedName name="JPY_ATM_Save">'[2]Save ATM Vols'!$CX$50</definedName>
    <definedName name="JPY_ATM_UploadType">'[2]Save ATM Vols'!$CX$47</definedName>
    <definedName name="JPY_AUDModelLTZeroDeltaVols">'[5]FX Vols'!$AO$86:$AR$86,'[5]FX Vols'!$AO$90:$AR$95</definedName>
    <definedName name="JPY_EURModelLTZeroDeltaVols">'[5]FX Vols'!$BI$86:$BL$86,'[5]FX Vols'!$BI$90:$BL$95</definedName>
    <definedName name="JPY_USDModelLTZeroDeltaVols">'[5]FX Vols'!$U$86:$X$86,'[5]FX Vols'!$U$90:$X$95</definedName>
    <definedName name="JPY_YC_ID">[2]Control!$C$40</definedName>
    <definedName name="JPYATM">'[2]VOL DATA'!$FY$5</definedName>
    <definedName name="JPYBasis">'[2]FO YC Models'!$V$36</definedName>
    <definedName name="JPYCashSpotLag">#REF!</definedName>
    <definedName name="JPYFixedBasis">'[2]FO YC Models'!$V$50</definedName>
    <definedName name="JPYFixedPeriod">'[2]FO YC Models'!$V$48</definedName>
    <definedName name="JPYFixingCities">'[2]FO YC Models'!$V$38</definedName>
    <definedName name="JPYfutadj">[14]Controls!$C$30</definedName>
    <definedName name="JPYPayCities">#REF!</definedName>
    <definedName name="JPYPaymentCIties">'[2]FO YC Models'!$V$51</definedName>
    <definedName name="JPYPTOTYCM">#REF!</definedName>
    <definedName name="JPYSABRarbvols">[2]SABR!$AI$357</definedName>
    <definedName name="JPYSABRarbvolssd">[10]SABR!#REF!</definedName>
    <definedName name="JPYSABRcalcsd">[10]SABR!#REF!</definedName>
    <definedName name="JPYSABRinputs">[2]SABR!$A$357</definedName>
    <definedName name="JPYSABRparams">[2]SABR!$BB$357</definedName>
    <definedName name="JPYSABRparamssd">[10]SABR!#REF!</definedName>
    <definedName name="JPYSABRvalues">[2]SABR!$BG$358</definedName>
    <definedName name="JPYSABRvaluessd">[10]SABR!#REF!</definedName>
    <definedName name="JPYSABRvols">[2]SABR!$I$357</definedName>
    <definedName name="JPYSABRvolssd">[10]SABR!#REF!</definedName>
    <definedName name="JPYSMILE">'[2]VOL DATA'!$FY$15</definedName>
    <definedName name="JPYSmileExpiries">[2]Control!$Q$4</definedName>
    <definedName name="JPYSpotLag">'[2]FO YC Models'!$V$37</definedName>
    <definedName name="JPYSummitUp">[2]SABR!$CS$357</definedName>
    <definedName name="JPYSummitUpsd">[10]SABR!#REF!</definedName>
    <definedName name="JPYSwapFloatIndex">'[2]FO YC Models'!$V$11</definedName>
    <definedName name="JPYSwapFloatingIndex">#REF!</definedName>
    <definedName name="JPYYC">'[2]PTOT YC Models'!$U$219</definedName>
    <definedName name="JPYYCvals">'[2]PTOT YC Models'!$U$132</definedName>
    <definedName name="ladderResultsTrade">#REF!</definedName>
    <definedName name="LoadFO">#REF!</definedName>
    <definedName name="LoadIndicies">[2]Control!$C$6</definedName>
    <definedName name="LoadPortfolioCurrency">#REF!</definedName>
    <definedName name="LoadRiskRepCurrency">#REF!</definedName>
    <definedName name="LoadTrades">#REF!</definedName>
    <definedName name="LoadValueRepCurrency">#REF!</definedName>
    <definedName name="low">[2]Control!$C$28</definedName>
    <definedName name="LowMRP">[1]control!$C$23</definedName>
    <definedName name="MaxPrice">[1]control!$C$9</definedName>
    <definedName name="MeanReversionParameter">'[1]Calibration &amp; Pricing'!$F$8</definedName>
    <definedName name="Min_Max">'[1]Calibration &amp; Pricing'!$G$1</definedName>
    <definedName name="MinSens">[9]control!#REF!</definedName>
    <definedName name="MMOPGBPBERM_Pay_IPVFO">#REF!</definedName>
    <definedName name="MMOPGBPBERM_Pay_Provisions">#REF!</definedName>
    <definedName name="MMOPGBPBERM_Rec_IPVFO">#REF!</definedName>
    <definedName name="MMOPGBPBERM_Rec_Provisions">#REF!</definedName>
    <definedName name="mmwausd_pay_abs">#REF!</definedName>
    <definedName name="MMWAUSD_Pay_IPVFO_postu">#REF!</definedName>
    <definedName name="MMWAUSD_Pay_IPVFO_postx">#REF!</definedName>
    <definedName name="MMWAUSD_Pay_IPVFOu">#REF!</definedName>
    <definedName name="mmwausd_pay_p1">#REF!</definedName>
    <definedName name="mmwausd_pay_p2">#REF!</definedName>
    <definedName name="MMWAUSD_Pay_Provisions">#REF!</definedName>
    <definedName name="mmwausd_re_p1">#REF!</definedName>
    <definedName name="mmwausd_rec_abs">#REF!</definedName>
    <definedName name="MMWAUSD_Rec_IPVFO_postu">#REF!</definedName>
    <definedName name="MMWAUSD_Rec_IPVFO_postx">#REF!</definedName>
    <definedName name="MMWAUSD_Rec_IPVFO_postxu">#REF!</definedName>
    <definedName name="MMWAUSD_Rec_IPVFOu">#REF!</definedName>
    <definedName name="mmwausd_rec_p1">#REF!</definedName>
    <definedName name="mmwausd_rec_p2">#REF!</definedName>
    <definedName name="MMWAUSD_Rec_Provisions">#REF!</definedName>
    <definedName name="MRP">#REF!</definedName>
    <definedName name="MRP_Copy">#REF!</definedName>
    <definedName name="MRP_FO">[6]control!$C$9</definedName>
    <definedName name="MRP_Shift">[6]control!$C$15</definedName>
    <definedName name="MRP_Shift_1">[9]control!#REF!</definedName>
    <definedName name="MRP_Shift_2">[6]control!$C$16</definedName>
    <definedName name="MRP_Shift_3">[9]control!#REF!</definedName>
    <definedName name="MRPIncrement">[1]control!$C$24</definedName>
    <definedName name="NoOut">[1]control!$C$21</definedName>
    <definedName name="normavgzcpay">#REF!</definedName>
    <definedName name="normavgzcrec">#REF!</definedName>
    <definedName name="NoSubIntervals">[1]control!$C$25</definedName>
    <definedName name="notional">[2]Pricing!$D$19</definedName>
    <definedName name="NoTrades">[1]control!$C$8</definedName>
    <definedName name="nthInterval">[1]control!#REF!</definedName>
    <definedName name="nu">[3]CapletCalibration!#REF!</definedName>
    <definedName name="OIS_Libor_Factor">[2]Pricing!$D$39</definedName>
    <definedName name="opzcbermud_pay_p1">#REF!</definedName>
    <definedName name="opzcbermud_pay_p2">#REF!</definedName>
    <definedName name="OPZCBERMUD_Pay_Provisions">#REF!</definedName>
    <definedName name="opzcbermud_rec_abs">#REF!</definedName>
    <definedName name="OPZCBERMUD_Rec_IPVFO_postu">#REF!</definedName>
    <definedName name="OPZCBERMUD_Rec_IPVFO_postx">#REF!</definedName>
    <definedName name="OPZCBERMUD_Rec_IPVFOu">#REF!</definedName>
    <definedName name="opzcbermud_rec_p1">#REF!</definedName>
    <definedName name="opzcbermud_rec_p2">#REF!</definedName>
    <definedName name="OPZCBERMUD_Rec_Provisions">#REF!</definedName>
    <definedName name="OUT_Pay_0">[1]Outlier!$T$65:$AD$74</definedName>
    <definedName name="OUT_Pay_1">[1]Outlier!$T$80:$AD$89</definedName>
    <definedName name="OUT_Pay_2">[1]Outlier!$T$95:$AD$104</definedName>
    <definedName name="OUT_Pay_minus0.5">[1]Outlier!$T$50:$AD$59</definedName>
    <definedName name="OUT_Pay_minus1">[1]Outlier!$T$35:$AD$44</definedName>
    <definedName name="OUT_Pay_minus1.5">[1]Outlier!$T$20:$AD$29</definedName>
    <definedName name="OUT_Pay_minus2">[1]Outlier!$T$5:$AD$14</definedName>
    <definedName name="OUT_Rec_0">[1]Outlier!$D$35:$N$44</definedName>
    <definedName name="OUT_Rec_0.5">[1]Outlier!$D$50:$N$59</definedName>
    <definedName name="OUT_Rec_1">[1]Outlier!$D$65:$N$74</definedName>
    <definedName name="OUT_Rec_2">[1]Outlier!$D$80:$N$89</definedName>
    <definedName name="OUT_Rec_3">[1]Outlier!$D$95:$N$104</definedName>
    <definedName name="OUT_Rec_minus1">[1]Outlier!$D$20:$N$29</definedName>
    <definedName name="OUT_Rec_minus1.5">[1]Outlier!$D$5:$N$14</definedName>
    <definedName name="OUT_ZC_Pay_0">[1]Outlier!$AU$29:$AW$31</definedName>
    <definedName name="OUT_ZC_Pay_1">[1]Outlier!$AU$34:$AW$36</definedName>
    <definedName name="OUT_ZC_Pay_2">[1]Outlier!$AU$39:$AW$41</definedName>
    <definedName name="OUT_ZC_Pay_minus0.5">[1]Outlier!$AU$24:$AW$26</definedName>
    <definedName name="OUT_ZC_Pay_minus1">[1]Outlier!$AU$19:$AW$21</definedName>
    <definedName name="OUT_ZC_Pay_minus1.5">[1]Outlier!$AU$14:$AW$16</definedName>
    <definedName name="OUT_ZC_Pay_minus2">[1]Outlier!$AU$9:$AW$11</definedName>
    <definedName name="OUT_ZC_Rec_0">[1]Outlier!$AO$19:$AQ$21</definedName>
    <definedName name="OUT_ZC_Rec_0.5">[1]Outlier!$AO$24:$AQ$26</definedName>
    <definedName name="OUT_ZC_Rec_1">[1]Outlier!$AO$29:$AQ$31</definedName>
    <definedName name="OUT_ZC_Rec_2">[1]Outlier!$AO$34:$AQ$36</definedName>
    <definedName name="OUT_ZC_Rec_3">[1]Outlier!$AO$39:$AQ$41</definedName>
    <definedName name="OUT_ZC_Rec_minus1">[1]Outlier!$AO$14:$AQ$16</definedName>
    <definedName name="OUT_ZC_Rec_minus1.5">[1]Outlier!$AO$9:$AQ$11</definedName>
    <definedName name="OutSum">#REF!</definedName>
    <definedName name="PathName">#REF!</definedName>
    <definedName name="Pay">#REF!</definedName>
    <definedName name="Pay_Provisions">#REF!</definedName>
    <definedName name="pay_slice1">#REF!</definedName>
    <definedName name="pay_slice2">#REF!</definedName>
    <definedName name="pay_slice3">#REF!</definedName>
    <definedName name="pay_v1">#REF!</definedName>
    <definedName name="pay_v2">#REF!</definedName>
    <definedName name="pay_v3">#REF!</definedName>
    <definedName name="pay_x1">#REF!</definedName>
    <definedName name="pay_x2">#REF!</definedName>
    <definedName name="PayCube">#REF!</definedName>
    <definedName name="Payer_0">#REF!</definedName>
    <definedName name="Payer_0.5">[1]MRP!$T$125:$AD$134</definedName>
    <definedName name="Payer_1">#REF!</definedName>
    <definedName name="Payer_2">#REF!</definedName>
    <definedName name="Payer_3">[1]MRP!$T$110:$AD$119</definedName>
    <definedName name="Payer_minus0.5">#REF!</definedName>
    <definedName name="Payer_minus1">#REF!</definedName>
    <definedName name="Payer_minus1.5">#REF!</definedName>
    <definedName name="Payer_minus2">#REF!</definedName>
    <definedName name="PayerReceiver">#REF!</definedName>
    <definedName name="PayerShift">#REF!</definedName>
    <definedName name="paymentcities">[2]Pricing!$D$14</definedName>
    <definedName name="Period">[2]Pricing!$D$6</definedName>
    <definedName name="Price_Totem_Original">[2]Pricing!$D$37</definedName>
    <definedName name="PriceforImplied">[2]Pricing!$D$38</definedName>
    <definedName name="ProdType">#REF!</definedName>
    <definedName name="PTOTYCModel">[2]Pricing!$D$25</definedName>
    <definedName name="PVs">#REF!</definedName>
    <definedName name="PVType">#REF!</definedName>
    <definedName name="Qry_Service_Specific_Results">#REF!</definedName>
    <definedName name="qryExport">#REF!</definedName>
    <definedName name="QT1strow">[1]control!$E$14</definedName>
    <definedName name="Rec">#REF!</definedName>
    <definedName name="Rec_Provisions">#REF!</definedName>
    <definedName name="rec_slice1">#REF!</definedName>
    <definedName name="rec_slice2">#REF!</definedName>
    <definedName name="rec_slice3">#REF!</definedName>
    <definedName name="rec_v1">#REF!</definedName>
    <definedName name="rec_v2">#REF!</definedName>
    <definedName name="rec_v3">#REF!</definedName>
    <definedName name="rec_x1">#REF!</definedName>
    <definedName name="rec_x2">#REF!</definedName>
    <definedName name="Recalc">[2]Control!$C$5</definedName>
    <definedName name="RecCube">#REF!</definedName>
    <definedName name="Receiver_0">#REF!</definedName>
    <definedName name="Receiver_0.5">#REF!</definedName>
    <definedName name="Receiver_1">#REF!</definedName>
    <definedName name="Receiver_2">#REF!</definedName>
    <definedName name="Receiver_3">#REF!</definedName>
    <definedName name="Receiver_minus1">#REF!</definedName>
    <definedName name="Receiver_minus1.5">#REF!</definedName>
    <definedName name="ReceiverShift">#REF!</definedName>
    <definedName name="RefDate">[3]Curve!$C$6</definedName>
    <definedName name="RelStrike">#REF!</definedName>
    <definedName name="ReportCurrencyList">[11]Control!#REF!</definedName>
    <definedName name="Reports">#REF!</definedName>
    <definedName name="ResultsPath">[1]control!$C$30</definedName>
    <definedName name="rho">[3]CapletCalibration!#REF!</definedName>
    <definedName name="RunType">[2]Control!$C$10</definedName>
    <definedName name="SA1strow">[1]control!$E$13</definedName>
    <definedName name="SaveDataFlag">[5]Controls!#REF!</definedName>
    <definedName name="savefile2">[15]Control!#REF!</definedName>
    <definedName name="savepath2">[15]Control!#REF!</definedName>
    <definedName name="SaveTotemSmile">#REF!</definedName>
    <definedName name="SaveTotemStdSmile">#REF!</definedName>
    <definedName name="ScenarioShift_FX">#REF!</definedName>
    <definedName name="ScenarioShift_YC">#REF!</definedName>
    <definedName name="SelectedTrades">[1]control!$C$15</definedName>
    <definedName name="Sens2">[9]control!#REF!</definedName>
    <definedName name="Shift_AUDYC">#REF!</definedName>
    <definedName name="Shift_JPYYC">#REF!</definedName>
    <definedName name="Shift_USDYC">#REF!</definedName>
    <definedName name="ShiftYCFlag_JPY">#REF!</definedName>
    <definedName name="SIA1c">#REF!</definedName>
    <definedName name="SIA2c">#REF!</definedName>
    <definedName name="SmileVol">[2]Pricing!$D$33</definedName>
    <definedName name="SONIA_LIBOR_Factor">'[2]FO YC Models'!$AK$3</definedName>
    <definedName name="SpreadCEVPV">#REF!</definedName>
    <definedName name="SRMPrice">#REF!</definedName>
    <definedName name="SRMSumPrice">#REF!</definedName>
    <definedName name="StartDate">[2]Pricing!$D$3</definedName>
    <definedName name="starttime">[2]Control!$C$33</definedName>
    <definedName name="Std">#REF!</definedName>
    <definedName name="STD_Pay_0">[1]STD_Price!$T$65:$AD$74</definedName>
    <definedName name="STD_Pay_1">[1]STD_Price!$T$80:$AD$89</definedName>
    <definedName name="STD_Pay_2">[1]STD_Price!$T$95:$AD$104</definedName>
    <definedName name="STD_Pay_minus0.5">[1]STD_Price!$T$50:$AD$59</definedName>
    <definedName name="STD_Pay_minus1">[1]STD_Price!$T$35:$AD$44</definedName>
    <definedName name="STD_Pay_minus1.5">[1]STD_Price!$T$20:$AD$29</definedName>
    <definedName name="STD_Pay_minus2">[1]STD_Price!$T$5:$AD$14</definedName>
    <definedName name="STD_Payer_0">[1]Tot_Sens!$T$5:$AD$14</definedName>
    <definedName name="STD_Payer_1">[1]Tot_Sens!$T$20:$AD$29</definedName>
    <definedName name="STD_Payer_2">[1]Tot_Sens!$T$35:$AD$44</definedName>
    <definedName name="STD_Rec_0">[1]STD_Price!$D$35:$N$44</definedName>
    <definedName name="STD_Rec_0.5">[1]STD_Price!$D$50:$N$59</definedName>
    <definedName name="STD_Rec_1">[1]STD_Price!$D$65:$N$74</definedName>
    <definedName name="STD_Rec_2">[1]STD_Price!$D$80:$N$89</definedName>
    <definedName name="STD_Rec_3">[1]STD_Price!$D$95:$N$104</definedName>
    <definedName name="STD_Rec_minus1">[1]STD_Price!$D$20:$N$30</definedName>
    <definedName name="STD_Rec_minus1.5">[1]STD_Price!$D$5:$N$14</definedName>
    <definedName name="STD_Receiver_0">[1]Tot_Sens!$D$5:$N$14</definedName>
    <definedName name="STD_Receiver_0.5">[1]Tot_Sens!$D$20:$N$29</definedName>
    <definedName name="STD_Receiver_1">[1]Tot_Sens!$D$35:$N$44</definedName>
    <definedName name="STD_Receiver_2">[1]Tot_Sens!$D$50:$N$59</definedName>
    <definedName name="STD_Receiver_3">[1]Tot_Sens!$D$65:$N$74</definedName>
    <definedName name="STD_ZC_Pay_0">[1]STD_Price!$AU$29:$AW$31</definedName>
    <definedName name="STD_ZC_Pay_1">[1]STD_Price!$AU$34:$AW$36</definedName>
    <definedName name="STD_ZC_Pay_2">[1]STD_Price!$AU$39:$AW$41</definedName>
    <definedName name="STD_ZC_Pay_minus0.5">[1]STD_Price!$AU$24:$AW$26</definedName>
    <definedName name="STD_ZC_Pay_minus1">[1]STD_Price!$AU$19:$AW$21</definedName>
    <definedName name="STD_ZC_Pay_minus1.5">[1]STD_Price!$AU$14:$AW$16</definedName>
    <definedName name="STD_ZC_Pay_minus2">[1]STD_Price!$AU$9:$AW$11</definedName>
    <definedName name="STD_ZC_Payer_0">[1]Tot_Sens!$AH$13:$AJ$15</definedName>
    <definedName name="STD_ZC_Rec_0">[1]STD_Price!$AO$19:$AQ$21</definedName>
    <definedName name="STD_ZC_Rec_0.5">[1]STD_Price!$AO$24:$AQ$26</definedName>
    <definedName name="STD_ZC_Rec_1">[1]STD_Price!$AO$29:$AQ$31</definedName>
    <definedName name="STD_ZC_Rec_2">[1]STD_Price!$AO$34:$AQ$36</definedName>
    <definedName name="STD_ZC_Rec_3">[1]STD_Price!$AO$39:$AQ$41</definedName>
    <definedName name="STD_ZC_Rec_minus1">[1]STD_Price!$AO$14:$AQ$16</definedName>
    <definedName name="STD_ZC_Rec_minus1.5">[1]STD_Price!$AO$9:$AQ$11</definedName>
    <definedName name="STD_ZC_Receiver_0">[1]Tot_Sens!$AH$5:$AJ$7</definedName>
    <definedName name="step">[2]Control!$C$29</definedName>
    <definedName name="strike">[2]Pricing!$D$18</definedName>
    <definedName name="STUB">[2]Pricing!$D$7</definedName>
    <definedName name="SubmitValuations">#REF!</definedName>
    <definedName name="SubtractMonths">[1]control!$C$2</definedName>
    <definedName name="SummaryRange">#REF!</definedName>
    <definedName name="Summit_BHEDGc">#REF!</definedName>
    <definedName name="Summit_CF">#REF!</definedName>
    <definedName name="Summit_CFc">#REF!</definedName>
    <definedName name="Summit_CMSc">#REF!</definedName>
    <definedName name="Summit_DIGAc">#REF!</definedName>
    <definedName name="Summit_DIGBc">#REF!</definedName>
    <definedName name="Summit_EX">#REF!</definedName>
    <definedName name="Summit_EXc">#REF!</definedName>
    <definedName name="Summit_FRA">#REF!</definedName>
    <definedName name="Summit_FRAc">#REF!</definedName>
    <definedName name="Summit_SIA1c">#REF!</definedName>
    <definedName name="Summit_SIA2c">#REF!</definedName>
    <definedName name="Summit_SP2">#REF!</definedName>
    <definedName name="Summit_SP2c">#REF!</definedName>
    <definedName name="Summit_SWAP1">#REF!</definedName>
    <definedName name="Summit_SWAP1c">#REF!</definedName>
    <definedName name="Summit_SWAP2">#REF!</definedName>
    <definedName name="Summit_SWAP2c">#REF!</definedName>
    <definedName name="Summit_SWAP3">#REF!</definedName>
    <definedName name="Summit_SWAP3c">#REF!</definedName>
    <definedName name="SummitVolPV">#REF!</definedName>
    <definedName name="sumPay">[6]Pay!$AZ$62</definedName>
    <definedName name="SumRange1">#REF!</definedName>
    <definedName name="SumRange2">#REF!</definedName>
    <definedName name="sumRec">#REF!</definedName>
    <definedName name="sumZC_Pay">#REF!</definedName>
    <definedName name="sumZC_Rec">[6]ZC_Rec!$AZ$22</definedName>
    <definedName name="Surfaceupload">'[2]Save EUR Skews'!$H$3</definedName>
    <definedName name="Swap">[2]Pricing!$D$28</definedName>
    <definedName name="SWAPS1">#REF!</definedName>
    <definedName name="SWAPS1c">#REF!</definedName>
    <definedName name="SWAPS2">#REF!</definedName>
    <definedName name="SWAPS2c">#REF!</definedName>
    <definedName name="SWAPS3">#REF!</definedName>
    <definedName name="SWAPS3c">#REF!</definedName>
    <definedName name="swaptionprice">[2]Pricing!$H$2</definedName>
    <definedName name="SWAPTIONS">#REF!</definedName>
    <definedName name="SWAPTIONSc">#REF!</definedName>
    <definedName name="TemplatePath">[1]control!$C$29</definedName>
    <definedName name="templates">[2]Control!$B$20:$D$24</definedName>
    <definedName name="ten">#REF!</definedName>
    <definedName name="Tenor">[2]Pricing!$D$14</definedName>
    <definedName name="TenorMapping">[2]Control!$J$3:$K$130</definedName>
    <definedName name="tenors">#REF!</definedName>
    <definedName name="Today">[4]config!$C$1</definedName>
    <definedName name="Totemfwd">[2]Pricing!$D$30</definedName>
    <definedName name="TradeCount">#REF!</definedName>
    <definedName name="TradeCounts">#REF!</definedName>
    <definedName name="TradeIter">#REF!</definedName>
    <definedName name="TradeName">#REF!</definedName>
    <definedName name="TradeNo">[7]BermudanFromSchedule!$C$2</definedName>
    <definedName name="Up">'[1]VOL DATA'!$G$5</definedName>
    <definedName name="UploadSurface">[10]Control!$C$12</definedName>
    <definedName name="UploadType">[2]Control!$C$11</definedName>
    <definedName name="UpMRP">[1]control!$C$7</definedName>
    <definedName name="USD_ATM_Save">'[2]Save ATM Vols'!$CB$50</definedName>
    <definedName name="USD_ATM_UploadType">'[2]Save ATM Vols'!$CB$47</definedName>
    <definedName name="USD_YC_ID">[2]Control!$C$39</definedName>
    <definedName name="USDATM">'[2]VOL DATA'!$D$5</definedName>
    <definedName name="USDBasis">'[2]FO YC Models'!$F$36</definedName>
    <definedName name="USDCashConventions">#REF!</definedName>
    <definedName name="USDCashPayCities">#REF!</definedName>
    <definedName name="USDCashSpotLag">#REF!</definedName>
    <definedName name="USDFixedAdjustment">#REF!</definedName>
    <definedName name="USDFixedBasis">'[2]FO YC Models'!$F$50</definedName>
    <definedName name="USDFixedPeriod">'[2]FO YC Models'!$F$48</definedName>
    <definedName name="USDFixingCities">'[2]FO YC Models'!$F$38</definedName>
    <definedName name="USDfutadj">[5]Controls!$C$28</definedName>
    <definedName name="USDFutureConventions">#REF!</definedName>
    <definedName name="USDFutureIndex">#REF!</definedName>
    <definedName name="USDLiborDetails">#REF!</definedName>
    <definedName name="USDLiborList">#REF!</definedName>
    <definedName name="USDPayCities">#REF!</definedName>
    <definedName name="USDPaymentCities">'[2]FO YC Models'!$F$51</definedName>
    <definedName name="USDPTOTFundingDetails">#REF!</definedName>
    <definedName name="USDPTOTfwds">[16]Reuters!#REF!</definedName>
    <definedName name="USDPTOTYCM">#REF!</definedName>
    <definedName name="USDRTCapvols">[16]Reuters!#REF!</definedName>
    <definedName name="USDRTPrices">[2]Reuters_USD!#REF!</definedName>
    <definedName name="USDSABRarbvols">[2]SABR!$AX$280</definedName>
    <definedName name="USDSABRarbvolssd">[10]SABR!#REF!</definedName>
    <definedName name="USDSABRcalcsd">[10]SABR!#REF!</definedName>
    <definedName name="USDSABRinputs">[2]SABR!$A$280</definedName>
    <definedName name="USDSABRparams">[2]SABR!$BX$280</definedName>
    <definedName name="USDSABRparamssd">[10]SABR!#REF!</definedName>
    <definedName name="USDSABRvalues">[2]SABR!$CC$281</definedName>
    <definedName name="USDSABRvaluessd">[10]SABR!#REF!</definedName>
    <definedName name="USDSABRvols">[2]SABR!$I$280</definedName>
    <definedName name="USDSABRvolssd">[10]SABR!#REF!</definedName>
    <definedName name="USDSMILE">'[2]VOL DATA'!$D$14</definedName>
    <definedName name="USDSmileExpiries">[2]Control!$N$4</definedName>
    <definedName name="USDSpotLag">'[2]FO YC Models'!$F$37</definedName>
    <definedName name="USDSummitUp">[2]SABR!$EC$280</definedName>
    <definedName name="USDSummitUpsd">[10]SABR!#REF!</definedName>
    <definedName name="USDSwapConventions">'[2]FO YC Models'!$E$48:$F$53</definedName>
    <definedName name="USDSwapFloatIndex">'[2]FO YC Models'!$F$11</definedName>
    <definedName name="USDSwapFloatingIndex">#REF!</definedName>
    <definedName name="USDVolforPTOT">[2]Reuters_USD!#REF!</definedName>
    <definedName name="USDYC">'[2]PTOT YC Models'!$E$219</definedName>
    <definedName name="USDYCvals">'[2]PTOT YC Models'!$E$132</definedName>
    <definedName name="User">[4]config!$C$5</definedName>
    <definedName name="ValuationDate">#REF!</definedName>
    <definedName name="ValuationSwitch">#REF!</definedName>
    <definedName name="valuedate">[17]Control!$C$3</definedName>
    <definedName name="VDate">#REF!</definedName>
    <definedName name="VolModel">[2]Pricing!$H$23</definedName>
    <definedName name="WghtTol">[6]control!$C$21</definedName>
    <definedName name="wrn.EOD.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Graphs." hidden="1">{"BraGraph",#N/A,FALSE,"Graphs"}</definedName>
    <definedName name="wrn.SpreadData." hidden="1">{"ArgSpreadData",#N/A,FALSE,"ArgData";"BraSpreadData",#N/A,FALSE,"BrazilData";"MexSpreadData",#N/A,FALSE,"MexData";"PolSpreadData",#N/A,FALSE,"PolandData";"VenSpreadData",#N/A,FALSE,"VenData"}</definedName>
    <definedName name="wrn.SpreadGraphs." hidden="1">{"ArgGraph",#N/A,FALSE,"Graphs";"BraGraph",#N/A,FALSE,"Graphs";"MexGraph",#N/A,FALSE,"Graphs";"PolGraph",#N/A,FALSE,"Graphs";"VenGraph",#N/A,FALSE,"Graphs"}</definedName>
    <definedName name="wrn.Test." hidden="1">{"Agraph",#N/A,FALSE,"Graphs"}</definedName>
    <definedName name="XML_T">#REF!</definedName>
    <definedName name="XML_Y">#REF!</definedName>
    <definedName name="YCModel">[2]Pricing!$D$24</definedName>
    <definedName name="YCModelName">#REF!</definedName>
    <definedName name="Yesterday">#REF!</definedName>
    <definedName name="YieldCurve">'[1]STATIC DATA and PTOT'!$I$11</definedName>
    <definedName name="YieldCurveModelID">#REF!</definedName>
    <definedName name="z_BermudanType">[1]MRP!$AI$8</definedName>
    <definedName name="z_MeanReversion">[1]MRP!$AI$14</definedName>
    <definedName name="z_MeanReversion_StartValue">[1]MRP!$AI$17</definedName>
    <definedName name="z_NonCallability">[1]MRP!$AI$10</definedName>
    <definedName name="z_PayerReceiver">[1]MRP!$AI$9</definedName>
    <definedName name="z_RelativeStrike">[1]MRP!$AI$12</definedName>
    <definedName name="z_UnderlyingTenor">[1]MRP!$AI$11</definedName>
    <definedName name="za">'[1]STATIC DATA and PTOT'!$M$12:$M$57</definedName>
    <definedName name="ZC_MRP_Copy">#REF!</definedName>
    <definedName name="ZC_Pay_Provisions">#REF!</definedName>
    <definedName name="ZC_Payer_0">#REF!</definedName>
    <definedName name="ZC_Payer_0.5">[1]MRP!$BB$123:$BD$125</definedName>
    <definedName name="ZC_Payer_1">#REF!</definedName>
    <definedName name="ZC_Payer_2">#REF!</definedName>
    <definedName name="ZC_Payer_3">[1]MRP!$BB$109:$BD$111</definedName>
    <definedName name="ZC_Payer_minus0.5">#REF!</definedName>
    <definedName name="ZC_Payer_minus1">#REF!</definedName>
    <definedName name="ZC_Payer_minus1.5">#REF!</definedName>
    <definedName name="ZC_Payer_minus2">#REF!</definedName>
    <definedName name="ZC_Rec_Provisions">#REF!</definedName>
    <definedName name="ZC_Receiver_0">#REF!</definedName>
    <definedName name="ZC_Receiver_0.5">#REF!</definedName>
    <definedName name="ZC_Receiver_1">#REF!</definedName>
    <definedName name="ZC_Receiver_2">#REF!</definedName>
    <definedName name="ZC_Receiver_3">#REF!</definedName>
    <definedName name="ZC_Receiver_minus1">#REF!</definedName>
    <definedName name="ZC_Receiver_minus1.5">#REF!</definedName>
    <definedName name="ZC_Shift">[6]control!$C$18</definedName>
    <definedName name="ZC_Shift_2">[6]control!$C$19</definedName>
    <definedName name="ZCPayerShift">#REF!</definedName>
    <definedName name="ZCPayTol">#REF!</definedName>
    <definedName name="ZCReceiverShift">#REF!</definedName>
    <definedName name="ZCRecTol">#REF!</definedName>
    <definedName name="zcsumpay">#REF!</definedName>
    <definedName name="zcsumrec">#REF!</definedName>
  </definedNames>
  <calcPr calcId="145621" calcOnSave="0"/>
</workbook>
</file>

<file path=xl/calcChain.xml><?xml version="1.0" encoding="utf-8"?>
<calcChain xmlns="http://schemas.openxmlformats.org/spreadsheetml/2006/main">
  <c r="P92" i="37" l="1"/>
  <c r="L92" i="37"/>
  <c r="H92" i="37"/>
  <c r="Q91" i="37"/>
  <c r="M91" i="37"/>
  <c r="I91" i="37"/>
  <c r="R90" i="37"/>
  <c r="N90" i="37"/>
  <c r="J90" i="37"/>
  <c r="F90" i="37"/>
  <c r="O89" i="37"/>
  <c r="K89" i="37"/>
  <c r="G89" i="37"/>
  <c r="Q88" i="37"/>
  <c r="M88" i="37"/>
  <c r="I88" i="37"/>
  <c r="O87" i="37"/>
  <c r="K87" i="37"/>
  <c r="G87" i="37"/>
  <c r="R73" i="37"/>
  <c r="R92" i="37" s="1"/>
  <c r="Q73" i="37"/>
  <c r="Q92" i="37" s="1"/>
  <c r="P73" i="37"/>
  <c r="O73" i="37"/>
  <c r="O92" i="37" s="1"/>
  <c r="N73" i="37"/>
  <c r="N92" i="37" s="1"/>
  <c r="M73" i="37"/>
  <c r="M92" i="37" s="1"/>
  <c r="L73" i="37"/>
  <c r="K73" i="37"/>
  <c r="K92" i="37" s="1"/>
  <c r="J73" i="37"/>
  <c r="J92" i="37" s="1"/>
  <c r="I73" i="37"/>
  <c r="I92" i="37" s="1"/>
  <c r="H73" i="37"/>
  <c r="G73" i="37"/>
  <c r="G92" i="37" s="1"/>
  <c r="F73" i="37"/>
  <c r="F92" i="37" s="1"/>
  <c r="R72" i="37"/>
  <c r="R91" i="37" s="1"/>
  <c r="Q72" i="37"/>
  <c r="P72" i="37"/>
  <c r="P91" i="37" s="1"/>
  <c r="O72" i="37"/>
  <c r="O91" i="37" s="1"/>
  <c r="N72" i="37"/>
  <c r="N91" i="37" s="1"/>
  <c r="M72" i="37"/>
  <c r="L72" i="37"/>
  <c r="L91" i="37" s="1"/>
  <c r="K72" i="37"/>
  <c r="K91" i="37" s="1"/>
  <c r="J72" i="37"/>
  <c r="J91" i="37" s="1"/>
  <c r="I72" i="37"/>
  <c r="H72" i="37"/>
  <c r="H91" i="37" s="1"/>
  <c r="G72" i="37"/>
  <c r="G91" i="37" s="1"/>
  <c r="F72" i="37"/>
  <c r="F91" i="37" s="1"/>
  <c r="R71" i="37"/>
  <c r="Q71" i="37"/>
  <c r="Q90" i="37" s="1"/>
  <c r="P71" i="37"/>
  <c r="P90" i="37" s="1"/>
  <c r="O71" i="37"/>
  <c r="O90" i="37" s="1"/>
  <c r="N71" i="37"/>
  <c r="M71" i="37"/>
  <c r="M90" i="37" s="1"/>
  <c r="L71" i="37"/>
  <c r="L90" i="37" s="1"/>
  <c r="K71" i="37"/>
  <c r="K90" i="37" s="1"/>
  <c r="J71" i="37"/>
  <c r="I71" i="37"/>
  <c r="I90" i="37" s="1"/>
  <c r="H71" i="37"/>
  <c r="H90" i="37" s="1"/>
  <c r="G71" i="37"/>
  <c r="G90" i="37" s="1"/>
  <c r="F71" i="37"/>
  <c r="R70" i="37"/>
  <c r="R89" i="37" s="1"/>
  <c r="Q70" i="37"/>
  <c r="Q89" i="37" s="1"/>
  <c r="P70" i="37"/>
  <c r="P89" i="37" s="1"/>
  <c r="O70" i="37"/>
  <c r="N70" i="37"/>
  <c r="N89" i="37" s="1"/>
  <c r="M70" i="37"/>
  <c r="M89" i="37" s="1"/>
  <c r="L70" i="37"/>
  <c r="L89" i="37" s="1"/>
  <c r="K70" i="37"/>
  <c r="J70" i="37"/>
  <c r="J89" i="37" s="1"/>
  <c r="I70" i="37"/>
  <c r="I89" i="37" s="1"/>
  <c r="H70" i="37"/>
  <c r="H89" i="37" s="1"/>
  <c r="G70" i="37"/>
  <c r="F70" i="37"/>
  <c r="F89" i="37" s="1"/>
  <c r="R69" i="37"/>
  <c r="R88" i="37" s="1"/>
  <c r="Q69" i="37"/>
  <c r="P69" i="37"/>
  <c r="P88" i="37" s="1"/>
  <c r="O69" i="37"/>
  <c r="O88" i="37" s="1"/>
  <c r="N69" i="37"/>
  <c r="N88" i="37" s="1"/>
  <c r="M69" i="37"/>
  <c r="L69" i="37"/>
  <c r="L88" i="37" s="1"/>
  <c r="K69" i="37"/>
  <c r="K88" i="37" s="1"/>
  <c r="J69" i="37"/>
  <c r="J88" i="37" s="1"/>
  <c r="I69" i="37"/>
  <c r="H69" i="37"/>
  <c r="H88" i="37" s="1"/>
  <c r="G69" i="37"/>
  <c r="G88" i="37" s="1"/>
  <c r="F69" i="37"/>
  <c r="F88" i="37" s="1"/>
  <c r="R68" i="37"/>
  <c r="R87" i="37" s="1"/>
  <c r="Q68" i="37"/>
  <c r="Q87" i="37" s="1"/>
  <c r="P68" i="37"/>
  <c r="P87" i="37" s="1"/>
  <c r="O68" i="37"/>
  <c r="N68" i="37"/>
  <c r="N87" i="37" s="1"/>
  <c r="M68" i="37"/>
  <c r="M87" i="37" s="1"/>
  <c r="L68" i="37"/>
  <c r="L87" i="37" s="1"/>
  <c r="K68" i="37"/>
  <c r="J68" i="37"/>
  <c r="J87" i="37" s="1"/>
  <c r="I68" i="37"/>
  <c r="I87" i="37" s="1"/>
  <c r="H68" i="37"/>
  <c r="H87" i="37" s="1"/>
  <c r="G68" i="37"/>
  <c r="F68" i="37"/>
  <c r="F87" i="37" s="1"/>
  <c r="R67" i="37"/>
  <c r="R86" i="37" s="1"/>
  <c r="Q67" i="37"/>
  <c r="Q86" i="37" s="1"/>
  <c r="P67" i="37"/>
  <c r="P86" i="37" s="1"/>
  <c r="O67" i="37"/>
  <c r="O86" i="37" s="1"/>
  <c r="N67" i="37"/>
  <c r="N86" i="37" s="1"/>
  <c r="M67" i="37"/>
  <c r="M86" i="37" s="1"/>
  <c r="L67" i="37"/>
  <c r="L86" i="37" s="1"/>
  <c r="K67" i="37"/>
  <c r="K86" i="37" s="1"/>
  <c r="J67" i="37"/>
  <c r="J86" i="37" s="1"/>
  <c r="I67" i="37"/>
  <c r="I86" i="37" s="1"/>
  <c r="H67" i="37"/>
  <c r="H86" i="37" s="1"/>
  <c r="G67" i="37"/>
  <c r="G86" i="37" s="1"/>
  <c r="F67" i="37"/>
  <c r="F86" i="37" s="1"/>
  <c r="R66" i="37"/>
  <c r="R85" i="37" s="1"/>
  <c r="Q66" i="37"/>
  <c r="Q85" i="37" s="1"/>
  <c r="P66" i="37"/>
  <c r="P85" i="37" s="1"/>
  <c r="O66" i="37"/>
  <c r="O85" i="37" s="1"/>
  <c r="N66" i="37"/>
  <c r="N85" i="37" s="1"/>
  <c r="M66" i="37"/>
  <c r="M85" i="37" s="1"/>
  <c r="L66" i="37"/>
  <c r="L85" i="37" s="1"/>
  <c r="K66" i="37"/>
  <c r="K85" i="37" s="1"/>
  <c r="J66" i="37"/>
  <c r="J85" i="37" s="1"/>
  <c r="I66" i="37"/>
  <c r="I85" i="37" s="1"/>
  <c r="H66" i="37"/>
  <c r="H85" i="37" s="1"/>
  <c r="G66" i="37"/>
  <c r="G85" i="37" s="1"/>
  <c r="F66" i="37"/>
  <c r="F85" i="37" s="1"/>
  <c r="R65" i="37"/>
  <c r="R84" i="37" s="1"/>
  <c r="Q65" i="37"/>
  <c r="Q84" i="37" s="1"/>
  <c r="P65" i="37"/>
  <c r="P84" i="37" s="1"/>
  <c r="O65" i="37"/>
  <c r="O84" i="37" s="1"/>
  <c r="N65" i="37"/>
  <c r="N84" i="37" s="1"/>
  <c r="M65" i="37"/>
  <c r="M84" i="37" s="1"/>
  <c r="L65" i="37"/>
  <c r="L84" i="37" s="1"/>
  <c r="K65" i="37"/>
  <c r="K84" i="37" s="1"/>
  <c r="J65" i="37"/>
  <c r="J84" i="37" s="1"/>
  <c r="I65" i="37"/>
  <c r="I84" i="37" s="1"/>
  <c r="H65" i="37"/>
  <c r="H84" i="37" s="1"/>
  <c r="G65" i="37"/>
  <c r="G84" i="37" s="1"/>
  <c r="F65" i="37"/>
  <c r="F84" i="37" s="1"/>
  <c r="R64" i="37"/>
  <c r="R83" i="37" s="1"/>
  <c r="Q64" i="37"/>
  <c r="Q83" i="37" s="1"/>
  <c r="P64" i="37"/>
  <c r="P83" i="37" s="1"/>
  <c r="O64" i="37"/>
  <c r="O83" i="37" s="1"/>
  <c r="N64" i="37"/>
  <c r="N83" i="37" s="1"/>
  <c r="M64" i="37"/>
  <c r="M83" i="37" s="1"/>
  <c r="L64" i="37"/>
  <c r="L83" i="37" s="1"/>
  <c r="K64" i="37"/>
  <c r="K83" i="37" s="1"/>
  <c r="J64" i="37"/>
  <c r="J83" i="37" s="1"/>
  <c r="I64" i="37"/>
  <c r="I83" i="37" s="1"/>
  <c r="H64" i="37"/>
  <c r="H83" i="37" s="1"/>
  <c r="G64" i="37"/>
  <c r="G83" i="37" s="1"/>
  <c r="F64" i="37"/>
  <c r="F83" i="37" s="1"/>
  <c r="R63" i="37"/>
  <c r="R82" i="37" s="1"/>
  <c r="Q63" i="37"/>
  <c r="Q82" i="37" s="1"/>
  <c r="P63" i="37"/>
  <c r="P82" i="37" s="1"/>
  <c r="O63" i="37"/>
  <c r="O82" i="37" s="1"/>
  <c r="N63" i="37"/>
  <c r="N82" i="37" s="1"/>
  <c r="M63" i="37"/>
  <c r="M82" i="37" s="1"/>
  <c r="L63" i="37"/>
  <c r="L82" i="37" s="1"/>
  <c r="K63" i="37"/>
  <c r="K82" i="37" s="1"/>
  <c r="J63" i="37"/>
  <c r="J82" i="37" s="1"/>
  <c r="I63" i="37"/>
  <c r="I82" i="37" s="1"/>
  <c r="H63" i="37"/>
  <c r="H82" i="37" s="1"/>
  <c r="G63" i="37"/>
  <c r="G82" i="37" s="1"/>
  <c r="F63" i="37"/>
  <c r="F82" i="37" s="1"/>
  <c r="R62" i="37"/>
  <c r="R81" i="37" s="1"/>
  <c r="Q62" i="37"/>
  <c r="Q81" i="37" s="1"/>
  <c r="P62" i="37"/>
  <c r="P81" i="37" s="1"/>
  <c r="O62" i="37"/>
  <c r="O81" i="37" s="1"/>
  <c r="N62" i="37"/>
  <c r="N81" i="37" s="1"/>
  <c r="M62" i="37"/>
  <c r="M81" i="37" s="1"/>
  <c r="L62" i="37"/>
  <c r="L81" i="37" s="1"/>
  <c r="K62" i="37"/>
  <c r="K81" i="37" s="1"/>
  <c r="J62" i="37"/>
  <c r="J81" i="37" s="1"/>
  <c r="I62" i="37"/>
  <c r="I81" i="37" s="1"/>
  <c r="H62" i="37"/>
  <c r="H81" i="37" s="1"/>
  <c r="G62" i="37"/>
  <c r="G81" i="37" s="1"/>
  <c r="F62" i="37"/>
  <c r="F81" i="37" s="1"/>
  <c r="R61" i="37"/>
  <c r="R80" i="37" s="1"/>
  <c r="Q61" i="37"/>
  <c r="Q80" i="37" s="1"/>
  <c r="P61" i="37"/>
  <c r="P80" i="37" s="1"/>
  <c r="O61" i="37"/>
  <c r="O80" i="37" s="1"/>
  <c r="N61" i="37"/>
  <c r="N80" i="37" s="1"/>
  <c r="M61" i="37"/>
  <c r="M80" i="37" s="1"/>
  <c r="L61" i="37"/>
  <c r="L80" i="37" s="1"/>
  <c r="K61" i="37"/>
  <c r="K80" i="37" s="1"/>
  <c r="J61" i="37"/>
  <c r="J80" i="37" s="1"/>
  <c r="I61" i="37"/>
  <c r="I80" i="37" s="1"/>
  <c r="H61" i="37"/>
  <c r="H80" i="37" s="1"/>
  <c r="G61" i="37"/>
  <c r="G80" i="37" s="1"/>
  <c r="F61" i="37"/>
  <c r="F80" i="37" s="1"/>
  <c r="R60" i="37"/>
  <c r="R79" i="37" s="1"/>
  <c r="Q60" i="37"/>
  <c r="Q79" i="37" s="1"/>
  <c r="P60" i="37"/>
  <c r="P79" i="37" s="1"/>
  <c r="O60" i="37"/>
  <c r="O79" i="37" s="1"/>
  <c r="N60" i="37"/>
  <c r="N79" i="37" s="1"/>
  <c r="M60" i="37"/>
  <c r="M79" i="37" s="1"/>
  <c r="L60" i="37"/>
  <c r="L79" i="37" s="1"/>
  <c r="K60" i="37"/>
  <c r="K79" i="37" s="1"/>
  <c r="J60" i="37"/>
  <c r="J79" i="37" s="1"/>
  <c r="I60" i="37"/>
  <c r="I79" i="37" s="1"/>
  <c r="H60" i="37"/>
  <c r="H79" i="37" s="1"/>
  <c r="G60" i="37"/>
  <c r="G79" i="37" s="1"/>
  <c r="F60" i="37"/>
  <c r="F79" i="37" s="1"/>
  <c r="R59" i="37"/>
  <c r="R78" i="37" s="1"/>
  <c r="Q59" i="37"/>
  <c r="Q78" i="37" s="1"/>
  <c r="P59" i="37"/>
  <c r="P78" i="37" s="1"/>
  <c r="O59" i="37"/>
  <c r="O78" i="37" s="1"/>
  <c r="N59" i="37"/>
  <c r="N78" i="37" s="1"/>
  <c r="M59" i="37"/>
  <c r="M78" i="37" s="1"/>
  <c r="L59" i="37"/>
  <c r="L78" i="37" s="1"/>
  <c r="K59" i="37"/>
  <c r="K78" i="37" s="1"/>
  <c r="J59" i="37"/>
  <c r="J78" i="37" s="1"/>
  <c r="I59" i="37"/>
  <c r="I78" i="37" s="1"/>
  <c r="H59" i="37"/>
  <c r="H78" i="37" s="1"/>
  <c r="G59" i="37"/>
  <c r="G78" i="37" s="1"/>
  <c r="F59" i="37"/>
  <c r="F78" i="37" s="1"/>
  <c r="R58" i="37"/>
  <c r="R77" i="37" s="1"/>
  <c r="Q58" i="37"/>
  <c r="Q77" i="37" s="1"/>
  <c r="P58" i="37"/>
  <c r="P77" i="37" s="1"/>
  <c r="O58" i="37"/>
  <c r="O77" i="37" s="1"/>
  <c r="N58" i="37"/>
  <c r="N77" i="37" s="1"/>
  <c r="M58" i="37"/>
  <c r="M77" i="37" s="1"/>
  <c r="L58" i="37"/>
  <c r="L77" i="37" s="1"/>
  <c r="K58" i="37"/>
  <c r="K77" i="37" s="1"/>
  <c r="J58" i="37"/>
  <c r="J77" i="37" s="1"/>
  <c r="I58" i="37"/>
  <c r="I77" i="37" s="1"/>
  <c r="H58" i="37"/>
  <c r="H77" i="37" s="1"/>
  <c r="G58" i="37"/>
  <c r="G77" i="37" s="1"/>
  <c r="F58" i="37"/>
  <c r="F77" i="37" s="1"/>
  <c r="D111" i="37"/>
  <c r="D107" i="37"/>
  <c r="D103" i="37"/>
  <c r="D99" i="37"/>
  <c r="D126" i="1"/>
  <c r="D64" i="1"/>
  <c r="D106" i="37"/>
  <c r="D102" i="37"/>
  <c r="D97" i="37"/>
  <c r="O18" i="1"/>
  <c r="D110" i="37"/>
  <c r="D109" i="37"/>
  <c r="D105" i="37"/>
  <c r="D101" i="37"/>
  <c r="D98" i="37"/>
  <c r="D14" i="1"/>
  <c r="D108" i="37"/>
  <c r="D104" i="37"/>
  <c r="D100" i="37"/>
  <c r="D96" i="37"/>
  <c r="D12" i="1"/>
  <c r="C5" i="1"/>
  <c r="D3" i="38" a="1"/>
  <c r="D3" i="38" l="1"/>
  <c r="K114" i="1"/>
  <c r="K110" i="1"/>
  <c r="K106" i="1"/>
  <c r="K102" i="1"/>
  <c r="K98" i="1"/>
  <c r="K92" i="1"/>
  <c r="K89" i="1"/>
  <c r="K95" i="1"/>
  <c r="K94" i="1"/>
  <c r="K93" i="1"/>
  <c r="K91" i="1"/>
  <c r="K87" i="1"/>
  <c r="K84" i="1"/>
  <c r="K80" i="1"/>
  <c r="K90" i="1"/>
  <c r="K83" i="1"/>
  <c r="K79" i="1"/>
  <c r="K78" i="1"/>
  <c r="K77" i="1"/>
  <c r="K76" i="1"/>
  <c r="K75" i="1"/>
  <c r="K74" i="1"/>
  <c r="K73" i="1"/>
  <c r="K72" i="1"/>
  <c r="K71" i="1"/>
  <c r="K69" i="1"/>
  <c r="K68" i="1"/>
  <c r="K113" i="1"/>
  <c r="K112" i="1"/>
  <c r="K111" i="1"/>
  <c r="K109" i="1"/>
  <c r="K108" i="1"/>
  <c r="K107" i="1"/>
  <c r="K105" i="1"/>
  <c r="K104" i="1"/>
  <c r="K103" i="1"/>
  <c r="K101" i="1"/>
  <c r="K100" i="1"/>
  <c r="K99" i="1"/>
  <c r="K97" i="1"/>
  <c r="K88" i="1"/>
  <c r="K86" i="1"/>
  <c r="K82" i="1"/>
  <c r="K96" i="1"/>
  <c r="K70" i="1"/>
  <c r="K85" i="1"/>
  <c r="K81" i="1"/>
  <c r="K55" i="1"/>
  <c r="K51" i="1"/>
  <c r="K47" i="1"/>
  <c r="K43" i="1"/>
  <c r="K42" i="1"/>
  <c r="K38" i="1"/>
  <c r="K37" i="1"/>
  <c r="K36" i="1"/>
  <c r="K35" i="1"/>
  <c r="K41" i="1"/>
  <c r="K56" i="1"/>
  <c r="K52" i="1"/>
  <c r="K48" i="1"/>
  <c r="K44" i="1"/>
  <c r="K39" i="1"/>
  <c r="K34" i="1"/>
  <c r="K45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54" i="1"/>
  <c r="K46" i="1"/>
  <c r="K53" i="1"/>
  <c r="K49" i="1"/>
  <c r="K40" i="1"/>
  <c r="K50" i="1"/>
  <c r="K164" i="1"/>
  <c r="K161" i="1"/>
  <c r="K155" i="1"/>
  <c r="K163" i="1"/>
  <c r="K160" i="1"/>
  <c r="K157" i="1"/>
  <c r="K154" i="1"/>
  <c r="K151" i="1"/>
  <c r="K148" i="1"/>
  <c r="K145" i="1"/>
  <c r="K162" i="1"/>
  <c r="K159" i="1"/>
  <c r="K165" i="1"/>
  <c r="K156" i="1"/>
  <c r="K152" i="1"/>
  <c r="K141" i="1"/>
  <c r="K137" i="1"/>
  <c r="K133" i="1"/>
  <c r="K153" i="1"/>
  <c r="K149" i="1"/>
  <c r="K142" i="1"/>
  <c r="K138" i="1"/>
  <c r="K134" i="1"/>
  <c r="K158" i="1"/>
  <c r="K150" i="1"/>
  <c r="K147" i="1"/>
  <c r="K146" i="1"/>
  <c r="K144" i="1"/>
  <c r="K143" i="1"/>
  <c r="K139" i="1"/>
  <c r="K135" i="1"/>
  <c r="K130" i="1"/>
  <c r="K140" i="1"/>
  <c r="K132" i="1"/>
  <c r="K136" i="1"/>
  <c r="K131" i="1"/>
  <c r="P18" i="1"/>
  <c r="O71" i="1"/>
  <c r="O41" i="1"/>
  <c r="O25" i="1"/>
  <c r="O134" i="1"/>
  <c r="O47" i="1"/>
  <c r="O32" i="1"/>
  <c r="O53" i="1"/>
  <c r="O131" i="1"/>
  <c r="O43" i="1"/>
  <c r="O31" i="1"/>
  <c r="O49" i="1"/>
  <c r="O132" i="1"/>
  <c r="O42" i="1"/>
  <c r="O30" i="1"/>
  <c r="O40" i="1"/>
  <c r="O130" i="1"/>
  <c r="O33" i="1"/>
  <c r="O56" i="1"/>
  <c r="O73" i="1"/>
  <c r="O142" i="1"/>
  <c r="O138" i="1"/>
  <c r="O70" i="1"/>
  <c r="O44" i="1"/>
  <c r="O21" i="1"/>
  <c r="O78" i="1"/>
  <c r="O37" i="1"/>
  <c r="O28" i="1"/>
  <c r="O141" i="1"/>
  <c r="O77" i="1"/>
  <c r="O36" i="1"/>
  <c r="O27" i="1"/>
  <c r="O137" i="1"/>
  <c r="O76" i="1"/>
  <c r="O35" i="1"/>
  <c r="O26" i="1"/>
  <c r="O133" i="1"/>
  <c r="O46" i="1"/>
  <c r="O24" i="1"/>
  <c r="O52" i="1"/>
  <c r="O72" i="1"/>
  <c r="O22" i="1"/>
  <c r="O75" i="1"/>
  <c r="O38" i="1"/>
  <c r="O29" i="1"/>
  <c r="O50" i="1"/>
  <c r="O69" i="1"/>
  <c r="O39" i="1"/>
  <c r="O20" i="1"/>
  <c r="O135" i="1"/>
  <c r="O68" i="1"/>
  <c r="O34" i="1"/>
  <c r="O19" i="1"/>
  <c r="O139" i="1"/>
  <c r="O55" i="1"/>
  <c r="O45" i="1"/>
  <c r="O54" i="1"/>
  <c r="O136" i="1"/>
  <c r="O51" i="1"/>
  <c r="O74" i="1"/>
  <c r="O140" i="1"/>
  <c r="O23" i="1"/>
  <c r="O48" i="1"/>
  <c r="P130" i="1"/>
  <c r="S16" i="1"/>
  <c r="N144" i="1" l="1"/>
  <c r="N146" i="1"/>
  <c r="N148" i="1"/>
  <c r="N150" i="1"/>
  <c r="N152" i="1"/>
  <c r="N154" i="1"/>
  <c r="N156" i="1"/>
  <c r="N158" i="1"/>
  <c r="N160" i="1"/>
  <c r="N162" i="1"/>
  <c r="N164" i="1"/>
  <c r="N151" i="1"/>
  <c r="N157" i="1"/>
  <c r="N163" i="1"/>
  <c r="N147" i="1"/>
  <c r="N155" i="1"/>
  <c r="N161" i="1"/>
  <c r="N165" i="1"/>
  <c r="N143" i="1"/>
  <c r="N145" i="1"/>
  <c r="N149" i="1"/>
  <c r="N153" i="1"/>
  <c r="N159" i="1"/>
  <c r="O144" i="1"/>
  <c r="O152" i="1"/>
  <c r="O160" i="1"/>
  <c r="O157" i="1"/>
  <c r="O161" i="1"/>
  <c r="O149" i="1"/>
  <c r="P23" i="1"/>
  <c r="P136" i="1"/>
  <c r="P139" i="1"/>
  <c r="P135" i="1"/>
  <c r="P50" i="1"/>
  <c r="P22" i="1"/>
  <c r="P46" i="1"/>
  <c r="P76" i="1"/>
  <c r="P77" i="1"/>
  <c r="P78" i="1"/>
  <c r="P138" i="1"/>
  <c r="P33" i="1"/>
  <c r="P132" i="1"/>
  <c r="P131" i="1"/>
  <c r="P134" i="1"/>
  <c r="O146" i="1"/>
  <c r="O154" i="1"/>
  <c r="O162" i="1"/>
  <c r="O163" i="1"/>
  <c r="O165" i="1"/>
  <c r="O153" i="1"/>
  <c r="P140" i="1"/>
  <c r="P54" i="1"/>
  <c r="P19" i="1"/>
  <c r="P20" i="1"/>
  <c r="P29" i="1"/>
  <c r="P72" i="1"/>
  <c r="P133" i="1"/>
  <c r="P137" i="1"/>
  <c r="P141" i="1"/>
  <c r="P21" i="1"/>
  <c r="P142" i="1"/>
  <c r="P40" i="1"/>
  <c r="P49" i="1"/>
  <c r="P53" i="1"/>
  <c r="P25" i="1"/>
  <c r="O148" i="1"/>
  <c r="O156" i="1"/>
  <c r="O164" i="1"/>
  <c r="O147" i="1"/>
  <c r="O143" i="1"/>
  <c r="O159" i="1"/>
  <c r="P74" i="1"/>
  <c r="P45" i="1"/>
  <c r="P34" i="1"/>
  <c r="P39" i="1"/>
  <c r="P38" i="1"/>
  <c r="P52" i="1"/>
  <c r="P26" i="1"/>
  <c r="P27" i="1"/>
  <c r="P28" i="1"/>
  <c r="P44" i="1"/>
  <c r="P73" i="1"/>
  <c r="P30" i="1"/>
  <c r="P31" i="1"/>
  <c r="P32" i="1"/>
  <c r="P41" i="1"/>
  <c r="P51" i="1"/>
  <c r="P75" i="1"/>
  <c r="P37" i="1"/>
  <c r="P43" i="1"/>
  <c r="O158" i="1"/>
  <c r="P48" i="1"/>
  <c r="P36" i="1"/>
  <c r="P55" i="1"/>
  <c r="P24" i="1"/>
  <c r="P70" i="1"/>
  <c r="P47" i="1"/>
  <c r="O151" i="1"/>
  <c r="O155" i="1"/>
  <c r="P69" i="1"/>
  <c r="P68" i="1"/>
  <c r="P35" i="1"/>
  <c r="P56" i="1"/>
  <c r="P71" i="1"/>
  <c r="O150" i="1"/>
  <c r="O145" i="1"/>
  <c r="P42" i="1"/>
  <c r="N79" i="1" l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S130" i="1"/>
  <c r="O80" i="1"/>
  <c r="O82" i="1"/>
  <c r="O84" i="1"/>
  <c r="O86" i="1"/>
  <c r="O88" i="1"/>
  <c r="O90" i="1"/>
  <c r="O92" i="1"/>
  <c r="O94" i="1"/>
  <c r="O96" i="1"/>
  <c r="O98" i="1"/>
  <c r="O100" i="1"/>
  <c r="O102" i="1"/>
  <c r="O104" i="1"/>
  <c r="O106" i="1"/>
  <c r="O108" i="1"/>
  <c r="O110" i="1"/>
  <c r="O112" i="1"/>
  <c r="O114" i="1"/>
  <c r="O79" i="1"/>
  <c r="O81" i="1"/>
  <c r="O83" i="1"/>
  <c r="O85" i="1"/>
  <c r="O87" i="1"/>
  <c r="O89" i="1"/>
  <c r="O91" i="1"/>
  <c r="O93" i="1"/>
  <c r="O95" i="1"/>
  <c r="O97" i="1"/>
  <c r="O99" i="1"/>
  <c r="O101" i="1"/>
  <c r="O103" i="1"/>
  <c r="O105" i="1"/>
  <c r="O107" i="1"/>
  <c r="O109" i="1"/>
  <c r="O111" i="1"/>
  <c r="O113" i="1"/>
  <c r="S69" i="1" s="1"/>
  <c r="S70" i="1"/>
  <c r="S95" i="1"/>
  <c r="S156" i="1"/>
  <c r="S161" i="1"/>
  <c r="S131" i="1"/>
  <c r="V130" i="1" a="1"/>
  <c r="U69" i="1" a="1"/>
  <c r="U90" i="1" l="1"/>
  <c r="U79" i="1"/>
  <c r="U77" i="1"/>
  <c r="U78" i="1"/>
  <c r="U76" i="1"/>
  <c r="U92" i="1"/>
  <c r="U89" i="1"/>
  <c r="U70" i="1"/>
  <c r="U98" i="1"/>
  <c r="U87" i="1"/>
  <c r="U83" i="1"/>
  <c r="U86" i="1"/>
  <c r="U80" i="1"/>
  <c r="U96" i="1"/>
  <c r="U93" i="1"/>
  <c r="U75" i="1"/>
  <c r="U69" i="1"/>
  <c r="U95" i="1"/>
  <c r="U91" i="1"/>
  <c r="U94" i="1"/>
  <c r="U84" i="1"/>
  <c r="U81" i="1"/>
  <c r="U97" i="1"/>
  <c r="U82" i="1"/>
  <c r="U74" i="1"/>
  <c r="U71" i="1"/>
  <c r="U73" i="1"/>
  <c r="U72" i="1"/>
  <c r="U88" i="1"/>
  <c r="U85" i="1"/>
  <c r="V146" i="1"/>
  <c r="V131" i="1"/>
  <c r="V153" i="1"/>
  <c r="V143" i="1"/>
  <c r="V134" i="1"/>
  <c r="V155" i="1"/>
  <c r="V144" i="1"/>
  <c r="V135" i="1"/>
  <c r="V137" i="1"/>
  <c r="V158" i="1"/>
  <c r="V149" i="1"/>
  <c r="V139" i="1"/>
  <c r="V132" i="1"/>
  <c r="V148" i="1"/>
  <c r="V130" i="1"/>
  <c r="V157" i="1"/>
  <c r="V142" i="1"/>
  <c r="V133" i="1"/>
  <c r="V154" i="1"/>
  <c r="V145" i="1"/>
  <c r="V136" i="1"/>
  <c r="V152" i="1"/>
  <c r="V147" i="1"/>
  <c r="V140" i="1"/>
  <c r="V141" i="1"/>
  <c r="V138" i="1"/>
  <c r="V156" i="1"/>
  <c r="V151" i="1"/>
  <c r="V159" i="1"/>
  <c r="V150" i="1"/>
  <c r="S90" i="1"/>
  <c r="S151" i="1"/>
  <c r="S37" i="1"/>
  <c r="S86" i="1"/>
  <c r="V17" i="1" a="1"/>
  <c r="U17" i="1" a="1"/>
  <c r="S17" i="1"/>
  <c r="P114" i="1"/>
  <c r="P79" i="1"/>
  <c r="P88" i="1"/>
  <c r="P153" i="1"/>
  <c r="P92" i="1"/>
  <c r="P105" i="1"/>
  <c r="P163" i="1"/>
  <c r="P143" i="1"/>
  <c r="P90" i="1"/>
  <c r="P82" i="1"/>
  <c r="P148" i="1"/>
  <c r="P102" i="1"/>
  <c r="P113" i="1"/>
  <c r="P96" i="1"/>
  <c r="P159" i="1"/>
  <c r="S33" i="1"/>
  <c r="P144" i="1"/>
  <c r="P149" i="1"/>
  <c r="P164" i="1"/>
  <c r="P103" i="1"/>
  <c r="U130" i="1" a="1"/>
  <c r="V69" i="1" a="1"/>
  <c r="S42" i="1"/>
  <c r="P98" i="1"/>
  <c r="P112" i="1"/>
  <c r="P155" i="1"/>
  <c r="P158" i="1"/>
  <c r="P93" i="1"/>
  <c r="P100" i="1"/>
  <c r="P151" i="1"/>
  <c r="P106" i="1"/>
  <c r="P109" i="1"/>
  <c r="P81" i="1"/>
  <c r="P162" i="1"/>
  <c r="P95" i="1"/>
  <c r="P108" i="1"/>
  <c r="P161" i="1"/>
  <c r="P156" i="1"/>
  <c r="P107" i="1"/>
  <c r="P154" i="1"/>
  <c r="P80" i="1"/>
  <c r="P89" i="1"/>
  <c r="P165" i="1"/>
  <c r="P157" i="1"/>
  <c r="S147" i="1"/>
  <c r="P94" i="1"/>
  <c r="P86" i="1"/>
  <c r="P104" i="1"/>
  <c r="P87" i="1"/>
  <c r="P146" i="1"/>
  <c r="S34" i="1"/>
  <c r="P84" i="1"/>
  <c r="P101" i="1"/>
  <c r="P152" i="1"/>
  <c r="P110" i="1"/>
  <c r="P111" i="1"/>
  <c r="P85" i="1"/>
  <c r="P91" i="1"/>
  <c r="P83" i="1"/>
  <c r="P99" i="1"/>
  <c r="P97" i="1"/>
  <c r="P145" i="1"/>
  <c r="P150" i="1"/>
  <c r="P147" i="1"/>
  <c r="P160" i="1"/>
  <c r="S96" i="1"/>
  <c r="E97" i="37"/>
  <c r="S87" i="1"/>
  <c r="E98" i="37"/>
  <c r="E96" i="37"/>
  <c r="E111" i="37"/>
  <c r="E99" i="37"/>
  <c r="E107" i="37"/>
  <c r="E103" i="37"/>
  <c r="E110" i="37"/>
  <c r="E106" i="37"/>
  <c r="E102" i="37"/>
  <c r="S157" i="1"/>
  <c r="E109" i="37"/>
  <c r="E105" i="37"/>
  <c r="E101" i="37"/>
  <c r="S148" i="1"/>
  <c r="D21" i="38"/>
  <c r="E108" i="37"/>
  <c r="E104" i="37"/>
  <c r="E100" i="37"/>
  <c r="N97" i="37"/>
  <c r="Y97" i="37"/>
  <c r="Z97" i="37"/>
  <c r="K97" i="37"/>
  <c r="O97" i="37"/>
  <c r="X97" i="37"/>
  <c r="AE97" i="37"/>
  <c r="J97" i="37"/>
  <c r="H97" i="37"/>
  <c r="AC97" i="37"/>
  <c r="I97" i="37"/>
  <c r="AD97" i="37"/>
  <c r="F97" i="37"/>
  <c r="AG97" i="37"/>
  <c r="AH97" i="37"/>
  <c r="AA97" i="37"/>
  <c r="L97" i="37"/>
  <c r="M97" i="37"/>
  <c r="AB97" i="37"/>
  <c r="W97" i="37"/>
  <c r="AF97" i="37"/>
  <c r="P97" i="37"/>
  <c r="G97" i="37"/>
  <c r="Q97" i="37"/>
  <c r="Y98" i="37"/>
  <c r="AB98" i="37"/>
  <c r="K98" i="37"/>
  <c r="AG98" i="37"/>
  <c r="AI98" i="37"/>
  <c r="M98" i="37"/>
  <c r="F98" i="37"/>
  <c r="H98" i="37"/>
  <c r="AD98" i="37"/>
  <c r="J98" i="37"/>
  <c r="AH98" i="37"/>
  <c r="O98" i="37"/>
  <c r="W98" i="37"/>
  <c r="I98" i="37"/>
  <c r="N98" i="37"/>
  <c r="AF98" i="37"/>
  <c r="X98" i="37"/>
  <c r="AA98" i="37"/>
  <c r="L98" i="37"/>
  <c r="Q98" i="37"/>
  <c r="P98" i="37"/>
  <c r="Z98" i="37"/>
  <c r="R98" i="37"/>
  <c r="G98" i="37"/>
  <c r="AC98" i="37"/>
  <c r="AE98" i="37"/>
  <c r="L96" i="37"/>
  <c r="F96" i="37"/>
  <c r="M96" i="37"/>
  <c r="AB96" i="37"/>
  <c r="AD96" i="37"/>
  <c r="Y96" i="37"/>
  <c r="J96" i="37"/>
  <c r="G96" i="37"/>
  <c r="I96" i="37"/>
  <c r="AC96" i="37"/>
  <c r="W96" i="37"/>
  <c r="K96" i="37"/>
  <c r="H96" i="37"/>
  <c r="Z96" i="37"/>
  <c r="AA96" i="37"/>
  <c r="X96" i="37"/>
  <c r="M111" i="37"/>
  <c r="AB111" i="37"/>
  <c r="F111" i="37"/>
  <c r="AD111" i="37"/>
  <c r="Q111" i="37"/>
  <c r="G111" i="37"/>
  <c r="AA111" i="37"/>
  <c r="L111" i="37"/>
  <c r="AF111" i="37"/>
  <c r="Z111" i="37"/>
  <c r="W111" i="37"/>
  <c r="J111" i="37"/>
  <c r="K111" i="37"/>
  <c r="P111" i="37"/>
  <c r="N111" i="37"/>
  <c r="AG111" i="37"/>
  <c r="H111" i="37"/>
  <c r="AH111" i="37"/>
  <c r="Y111" i="37"/>
  <c r="AE111" i="37"/>
  <c r="R111" i="37"/>
  <c r="I111" i="37"/>
  <c r="AC111" i="37"/>
  <c r="O111" i="37"/>
  <c r="AI111" i="37"/>
  <c r="X111" i="37"/>
  <c r="X99" i="37"/>
  <c r="AC99" i="37"/>
  <c r="O99" i="37"/>
  <c r="I99" i="37"/>
  <c r="AH99" i="37"/>
  <c r="AI99" i="37"/>
  <c r="Z99" i="37"/>
  <c r="AD99" i="37"/>
  <c r="M99" i="37"/>
  <c r="AG99" i="37"/>
  <c r="W99" i="37"/>
  <c r="H99" i="37"/>
  <c r="AB99" i="37"/>
  <c r="F99" i="37"/>
  <c r="J99" i="37"/>
  <c r="Q99" i="37"/>
  <c r="G99" i="37"/>
  <c r="AA99" i="37"/>
  <c r="L99" i="37"/>
  <c r="AF99" i="37"/>
  <c r="R99" i="37"/>
  <c r="N99" i="37"/>
  <c r="Y99" i="37"/>
  <c r="K99" i="37"/>
  <c r="AE99" i="37"/>
  <c r="P99" i="37"/>
  <c r="AC107" i="37"/>
  <c r="X107" i="37"/>
  <c r="O107" i="37"/>
  <c r="I107" i="37"/>
  <c r="R107" i="37"/>
  <c r="AI107" i="37"/>
  <c r="Z107" i="37"/>
  <c r="AD107" i="37"/>
  <c r="M107" i="37"/>
  <c r="AG107" i="37"/>
  <c r="W107" i="37"/>
  <c r="H107" i="37"/>
  <c r="AB107" i="37"/>
  <c r="F107" i="37"/>
  <c r="J107" i="37"/>
  <c r="Q107" i="37"/>
  <c r="G107" i="37"/>
  <c r="AA107" i="37"/>
  <c r="L107" i="37"/>
  <c r="AF107" i="37"/>
  <c r="AH107" i="37"/>
  <c r="N107" i="37"/>
  <c r="Y107" i="37"/>
  <c r="K107" i="37"/>
  <c r="AE107" i="37"/>
  <c r="P107" i="37"/>
  <c r="R103" i="37"/>
  <c r="AI103" i="37"/>
  <c r="O103" i="37"/>
  <c r="I103" i="37"/>
  <c r="X103" i="37"/>
  <c r="AC103" i="37"/>
  <c r="Z103" i="37"/>
  <c r="N103" i="37"/>
  <c r="M103" i="37"/>
  <c r="AG103" i="37"/>
  <c r="W103" i="37"/>
  <c r="H103" i="37"/>
  <c r="AB103" i="37"/>
  <c r="F103" i="37"/>
  <c r="AD103" i="37"/>
  <c r="Q103" i="37"/>
  <c r="G103" i="37"/>
  <c r="AA103" i="37"/>
  <c r="L103" i="37"/>
  <c r="AF103" i="37"/>
  <c r="AH103" i="37"/>
  <c r="J103" i="37"/>
  <c r="Y103" i="37"/>
  <c r="K103" i="37"/>
  <c r="AE103" i="37"/>
  <c r="P103" i="37"/>
  <c r="L110" i="37"/>
  <c r="Q110" i="37"/>
  <c r="AF110" i="37"/>
  <c r="F110" i="37"/>
  <c r="AH110" i="37"/>
  <c r="G110" i="37"/>
  <c r="J110" i="37"/>
  <c r="AA110" i="37"/>
  <c r="N110" i="37"/>
  <c r="AD110" i="37"/>
  <c r="Y110" i="37"/>
  <c r="K110" i="37"/>
  <c r="AE110" i="37"/>
  <c r="P110" i="37"/>
  <c r="I110" i="37"/>
  <c r="AC110" i="37"/>
  <c r="O110" i="37"/>
  <c r="AI110" i="37"/>
  <c r="X110" i="37"/>
  <c r="R110" i="37"/>
  <c r="Z110" i="37"/>
  <c r="M110" i="37"/>
  <c r="AG110" i="37"/>
  <c r="W110" i="37"/>
  <c r="H110" i="37"/>
  <c r="AB110" i="37"/>
  <c r="G106" i="37"/>
  <c r="AD106" i="37"/>
  <c r="AA106" i="37"/>
  <c r="Z106" i="37"/>
  <c r="L106" i="37"/>
  <c r="Q106" i="37"/>
  <c r="AF106" i="37"/>
  <c r="AH106" i="37"/>
  <c r="F106" i="37"/>
  <c r="Y106" i="37"/>
  <c r="K106" i="37"/>
  <c r="AE106" i="37"/>
  <c r="P106" i="37"/>
  <c r="N106" i="37"/>
  <c r="I106" i="37"/>
  <c r="AC106" i="37"/>
  <c r="O106" i="37"/>
  <c r="AI106" i="37"/>
  <c r="X106" i="37"/>
  <c r="R106" i="37"/>
  <c r="J106" i="37"/>
  <c r="M106" i="37"/>
  <c r="AG106" i="37"/>
  <c r="W106" i="37"/>
  <c r="H106" i="37"/>
  <c r="AB106" i="37"/>
  <c r="L102" i="37"/>
  <c r="Q102" i="37"/>
  <c r="AF102" i="37"/>
  <c r="G102" i="37"/>
  <c r="F102" i="37"/>
  <c r="J102" i="37"/>
  <c r="AA102" i="37"/>
  <c r="AH102" i="37"/>
  <c r="AD102" i="37"/>
  <c r="Y102" i="37"/>
  <c r="K102" i="37"/>
  <c r="AE102" i="37"/>
  <c r="P102" i="37"/>
  <c r="N102" i="37"/>
  <c r="I102" i="37"/>
  <c r="AC102" i="37"/>
  <c r="O102" i="37"/>
  <c r="AI102" i="37"/>
  <c r="X102" i="37"/>
  <c r="R102" i="37"/>
  <c r="Z102" i="37"/>
  <c r="M102" i="37"/>
  <c r="AG102" i="37"/>
  <c r="W102" i="37"/>
  <c r="H102" i="37"/>
  <c r="AB102" i="37"/>
  <c r="O109" i="37"/>
  <c r="AD109" i="37"/>
  <c r="AI109" i="37"/>
  <c r="AC109" i="37"/>
  <c r="I109" i="37"/>
  <c r="X109" i="37"/>
  <c r="AH109" i="37"/>
  <c r="J109" i="37"/>
  <c r="M109" i="37"/>
  <c r="AG109" i="37"/>
  <c r="W109" i="37"/>
  <c r="H109" i="37"/>
  <c r="AB109" i="37"/>
  <c r="N109" i="37"/>
  <c r="R109" i="37"/>
  <c r="Q109" i="37"/>
  <c r="G109" i="37"/>
  <c r="AA109" i="37"/>
  <c r="L109" i="37"/>
  <c r="AF109" i="37"/>
  <c r="Z109" i="37"/>
  <c r="F109" i="37"/>
  <c r="Y109" i="37"/>
  <c r="K109" i="37"/>
  <c r="AE109" i="37"/>
  <c r="P109" i="37"/>
  <c r="I105" i="37"/>
  <c r="X105" i="37"/>
  <c r="AI105" i="37"/>
  <c r="AC105" i="37"/>
  <c r="AD105" i="37"/>
  <c r="O105" i="37"/>
  <c r="AH105" i="37"/>
  <c r="J105" i="37"/>
  <c r="M105" i="37"/>
  <c r="AG105" i="37"/>
  <c r="W105" i="37"/>
  <c r="H105" i="37"/>
  <c r="AB105" i="37"/>
  <c r="N105" i="37"/>
  <c r="R105" i="37"/>
  <c r="Q105" i="37"/>
  <c r="G105" i="37"/>
  <c r="AA105" i="37"/>
  <c r="L105" i="37"/>
  <c r="AF105" i="37"/>
  <c r="F105" i="37"/>
  <c r="Z105" i="37"/>
  <c r="Y105" i="37"/>
  <c r="K105" i="37"/>
  <c r="AE105" i="37"/>
  <c r="P105" i="37"/>
  <c r="O101" i="37"/>
  <c r="AC101" i="37"/>
  <c r="J101" i="37"/>
  <c r="AI101" i="37"/>
  <c r="I101" i="37"/>
  <c r="X101" i="37"/>
  <c r="AH101" i="37"/>
  <c r="Z101" i="37"/>
  <c r="M101" i="37"/>
  <c r="AG101" i="37"/>
  <c r="W101" i="37"/>
  <c r="H101" i="37"/>
  <c r="AB101" i="37"/>
  <c r="N101" i="37"/>
  <c r="R101" i="37"/>
  <c r="Q101" i="37"/>
  <c r="G101" i="37"/>
  <c r="AA101" i="37"/>
  <c r="L101" i="37"/>
  <c r="AF101" i="37"/>
  <c r="AD101" i="37"/>
  <c r="F101" i="37"/>
  <c r="Y101" i="37"/>
  <c r="K101" i="37"/>
  <c r="AE101" i="37"/>
  <c r="P101" i="37"/>
  <c r="AA108" i="37"/>
  <c r="AH108" i="37"/>
  <c r="L108" i="37"/>
  <c r="J108" i="37"/>
  <c r="Q108" i="37"/>
  <c r="AF108" i="37"/>
  <c r="G108" i="37"/>
  <c r="Z108" i="37"/>
  <c r="N108" i="37"/>
  <c r="Y108" i="37"/>
  <c r="K108" i="37"/>
  <c r="AE108" i="37"/>
  <c r="P108" i="37"/>
  <c r="F108" i="37"/>
  <c r="I108" i="37"/>
  <c r="AC108" i="37"/>
  <c r="O108" i="37"/>
  <c r="AI108" i="37"/>
  <c r="X108" i="37"/>
  <c r="AD108" i="37"/>
  <c r="R108" i="37"/>
  <c r="M108" i="37"/>
  <c r="AG108" i="37"/>
  <c r="W108" i="37"/>
  <c r="H108" i="37"/>
  <c r="AB108" i="37"/>
  <c r="AF104" i="37"/>
  <c r="G104" i="37"/>
  <c r="J104" i="37"/>
  <c r="AA104" i="37"/>
  <c r="Q104" i="37"/>
  <c r="AH104" i="37"/>
  <c r="L104" i="37"/>
  <c r="Z104" i="37"/>
  <c r="N104" i="37"/>
  <c r="Y104" i="37"/>
  <c r="K104" i="37"/>
  <c r="AE104" i="37"/>
  <c r="P104" i="37"/>
  <c r="F104" i="37"/>
  <c r="I104" i="37"/>
  <c r="AC104" i="37"/>
  <c r="O104" i="37"/>
  <c r="AI104" i="37"/>
  <c r="X104" i="37"/>
  <c r="AD104" i="37"/>
  <c r="R104" i="37"/>
  <c r="M104" i="37"/>
  <c r="AG104" i="37"/>
  <c r="W104" i="37"/>
  <c r="H104" i="37"/>
  <c r="AB104" i="37"/>
  <c r="AA100" i="37"/>
  <c r="AH100" i="37"/>
  <c r="L100" i="37"/>
  <c r="Q100" i="37"/>
  <c r="AF100" i="37"/>
  <c r="J100" i="37"/>
  <c r="G100" i="37"/>
  <c r="R100" i="37"/>
  <c r="N100" i="37"/>
  <c r="Y100" i="37"/>
  <c r="K100" i="37"/>
  <c r="AE100" i="37"/>
  <c r="P100" i="37"/>
  <c r="Z100" i="37"/>
  <c r="I100" i="37"/>
  <c r="AC100" i="37"/>
  <c r="O100" i="37"/>
  <c r="AI100" i="37"/>
  <c r="X100" i="37"/>
  <c r="AD100" i="37"/>
  <c r="F100" i="37"/>
  <c r="M100" i="37"/>
  <c r="AG100" i="37"/>
  <c r="W100" i="37"/>
  <c r="H100" i="37"/>
  <c r="AB100" i="37"/>
  <c r="V91" i="1" l="1"/>
  <c r="V96" i="1"/>
  <c r="V71" i="1"/>
  <c r="V69" i="1"/>
  <c r="V85" i="1"/>
  <c r="V70" i="1"/>
  <c r="V86" i="1"/>
  <c r="V80" i="1"/>
  <c r="V72" i="1"/>
  <c r="V76" i="1"/>
  <c r="V79" i="1"/>
  <c r="V73" i="1"/>
  <c r="V89" i="1"/>
  <c r="V74" i="1"/>
  <c r="V90" i="1"/>
  <c r="V75" i="1"/>
  <c r="V84" i="1"/>
  <c r="V87" i="1"/>
  <c r="V77" i="1"/>
  <c r="V93" i="1"/>
  <c r="V78" i="1"/>
  <c r="V94" i="1"/>
  <c r="V83" i="1"/>
  <c r="V88" i="1"/>
  <c r="V92" i="1"/>
  <c r="V95" i="1"/>
  <c r="V81" i="1"/>
  <c r="V97" i="1"/>
  <c r="V82" i="1"/>
  <c r="V98" i="1"/>
  <c r="U134" i="1"/>
  <c r="U155" i="1"/>
  <c r="U138" i="1"/>
  <c r="U159" i="1"/>
  <c r="U158" i="1"/>
  <c r="U133" i="1"/>
  <c r="U136" i="1"/>
  <c r="U137" i="1"/>
  <c r="U150" i="1"/>
  <c r="U148" i="1"/>
  <c r="U154" i="1"/>
  <c r="U156" i="1"/>
  <c r="U131" i="1"/>
  <c r="U149" i="1"/>
  <c r="U135" i="1"/>
  <c r="U153" i="1"/>
  <c r="U144" i="1"/>
  <c r="U141" i="1"/>
  <c r="U152" i="1"/>
  <c r="U145" i="1"/>
  <c r="U147" i="1"/>
  <c r="U130" i="1"/>
  <c r="U151" i="1"/>
  <c r="U157" i="1"/>
  <c r="U146" i="1"/>
  <c r="U143" i="1"/>
  <c r="U140" i="1"/>
  <c r="U139" i="1"/>
  <c r="U132" i="1"/>
  <c r="U142" i="1"/>
  <c r="U31" i="1"/>
  <c r="U47" i="1"/>
  <c r="U28" i="1"/>
  <c r="U44" i="1"/>
  <c r="U25" i="1"/>
  <c r="U41" i="1"/>
  <c r="U22" i="1"/>
  <c r="U38" i="1"/>
  <c r="U36" i="1"/>
  <c r="U30" i="1"/>
  <c r="U19" i="1"/>
  <c r="U35" i="1"/>
  <c r="U51" i="1"/>
  <c r="U32" i="1"/>
  <c r="U48" i="1"/>
  <c r="U29" i="1"/>
  <c r="U45" i="1"/>
  <c r="U26" i="1"/>
  <c r="U42" i="1"/>
  <c r="U49" i="1"/>
  <c r="U23" i="1"/>
  <c r="U39" i="1"/>
  <c r="U20" i="1"/>
  <c r="U17" i="1"/>
  <c r="U33" i="1"/>
  <c r="U46" i="1"/>
  <c r="U27" i="1"/>
  <c r="U43" i="1"/>
  <c r="U24" i="1"/>
  <c r="U40" i="1"/>
  <c r="U21" i="1"/>
  <c r="U37" i="1"/>
  <c r="U18" i="1"/>
  <c r="U34" i="1"/>
  <c r="U50" i="1"/>
  <c r="V31" i="1"/>
  <c r="V47" i="1"/>
  <c r="V28" i="1"/>
  <c r="V44" i="1"/>
  <c r="V25" i="1"/>
  <c r="V41" i="1"/>
  <c r="V22" i="1"/>
  <c r="V38" i="1"/>
  <c r="V19" i="1"/>
  <c r="V35" i="1"/>
  <c r="V51" i="1"/>
  <c r="V32" i="1"/>
  <c r="V48" i="1"/>
  <c r="V29" i="1"/>
  <c r="V45" i="1"/>
  <c r="V26" i="1"/>
  <c r="V42" i="1"/>
  <c r="V23" i="1"/>
  <c r="V39" i="1"/>
  <c r="V20" i="1"/>
  <c r="V36" i="1"/>
  <c r="V17" i="1"/>
  <c r="V33" i="1"/>
  <c r="V49" i="1"/>
  <c r="V30" i="1"/>
  <c r="V46" i="1"/>
  <c r="V27" i="1"/>
  <c r="V43" i="1"/>
  <c r="V24" i="1"/>
  <c r="V40" i="1"/>
  <c r="V21" i="1"/>
  <c r="V37" i="1"/>
  <c r="V18" i="1"/>
  <c r="V34" i="1"/>
  <c r="V50" i="1"/>
  <c r="H119" i="37"/>
  <c r="I119" i="37"/>
  <c r="R119" i="37"/>
  <c r="L119" i="37"/>
  <c r="O123" i="37"/>
  <c r="K123" i="37"/>
  <c r="J123" i="37"/>
  <c r="R127" i="37"/>
  <c r="P127" i="37"/>
  <c r="Q127" i="37"/>
  <c r="K120" i="37"/>
  <c r="Q120" i="37"/>
  <c r="M120" i="37"/>
  <c r="P124" i="37"/>
  <c r="G124" i="37"/>
  <c r="H124" i="37"/>
  <c r="I124" i="37"/>
  <c r="L128" i="37"/>
  <c r="N128" i="37"/>
  <c r="I128" i="37"/>
  <c r="R121" i="37"/>
  <c r="P121" i="37"/>
  <c r="G121" i="37"/>
  <c r="M125" i="37"/>
  <c r="I125" i="37"/>
  <c r="F125" i="37"/>
  <c r="H129" i="37"/>
  <c r="I129" i="37"/>
  <c r="J129" i="37"/>
  <c r="L129" i="37"/>
  <c r="L122" i="37"/>
  <c r="H122" i="37"/>
  <c r="O122" i="37"/>
  <c r="N126" i="37"/>
  <c r="J126" i="37"/>
  <c r="R126" i="37"/>
  <c r="K118" i="37"/>
  <c r="G118" i="37"/>
  <c r="H118" i="37"/>
  <c r="O130" i="37"/>
  <c r="N130" i="37"/>
  <c r="L130" i="37"/>
  <c r="M130" i="37"/>
  <c r="G115" i="37"/>
  <c r="L115" i="37"/>
  <c r="Q117" i="37"/>
  <c r="O117" i="37"/>
  <c r="M117" i="37"/>
  <c r="P116" i="37"/>
  <c r="I116" i="37"/>
  <c r="K116" i="37"/>
  <c r="M119" i="37"/>
  <c r="P119" i="37"/>
  <c r="G119" i="37"/>
  <c r="H123" i="37"/>
  <c r="I123" i="37"/>
  <c r="N123" i="37"/>
  <c r="G123" i="37"/>
  <c r="O127" i="37"/>
  <c r="K127" i="37"/>
  <c r="J127" i="37"/>
  <c r="F120" i="37"/>
  <c r="R120" i="37"/>
  <c r="I120" i="37"/>
  <c r="K124" i="37"/>
  <c r="Q124" i="37"/>
  <c r="M124" i="37"/>
  <c r="P128" i="37"/>
  <c r="G128" i="37"/>
  <c r="H128" i="37"/>
  <c r="O128" i="37"/>
  <c r="O121" i="37"/>
  <c r="K121" i="37"/>
  <c r="Q121" i="37"/>
  <c r="J125" i="37"/>
  <c r="N125" i="37"/>
  <c r="Q125" i="37"/>
  <c r="M129" i="37"/>
  <c r="P129" i="37"/>
  <c r="G129" i="37"/>
  <c r="P122" i="37"/>
  <c r="G122" i="37"/>
  <c r="M122" i="37"/>
  <c r="R122" i="37"/>
  <c r="L126" i="37"/>
  <c r="F126" i="37"/>
  <c r="I126" i="37"/>
  <c r="N118" i="37"/>
  <c r="Q118" i="37"/>
  <c r="M118" i="37"/>
  <c r="I130" i="37"/>
  <c r="P130" i="37"/>
  <c r="G130" i="37"/>
  <c r="H115" i="37"/>
  <c r="J115" i="37"/>
  <c r="G117" i="37"/>
  <c r="L117" i="37"/>
  <c r="J117" i="37"/>
  <c r="K117" i="37"/>
  <c r="M116" i="37"/>
  <c r="H116" i="37"/>
  <c r="N116" i="37"/>
  <c r="F119" i="37"/>
  <c r="K119" i="37"/>
  <c r="J119" i="37"/>
  <c r="M123" i="37"/>
  <c r="F123" i="37"/>
  <c r="L123" i="37"/>
  <c r="H127" i="37"/>
  <c r="I127" i="37"/>
  <c r="N127" i="37"/>
  <c r="L127" i="37"/>
  <c r="L120" i="37"/>
  <c r="N120" i="37"/>
  <c r="J120" i="37"/>
  <c r="F124" i="37"/>
  <c r="R124" i="37"/>
  <c r="J124" i="37"/>
  <c r="K128" i="37"/>
  <c r="Q128" i="37"/>
  <c r="M128" i="37"/>
  <c r="H121" i="37"/>
  <c r="I121" i="37"/>
  <c r="J121" i="37"/>
  <c r="L121" i="37"/>
  <c r="R125" i="37"/>
  <c r="P125" i="37"/>
  <c r="L125" i="37"/>
  <c r="R129" i="37"/>
  <c r="K129" i="37"/>
  <c r="F129" i="37"/>
  <c r="K122" i="37"/>
  <c r="Q122" i="37"/>
  <c r="N122" i="37"/>
  <c r="P126" i="37"/>
  <c r="G126" i="37"/>
  <c r="H126" i="37"/>
  <c r="O126" i="37"/>
  <c r="R118" i="37"/>
  <c r="J118" i="37"/>
  <c r="I118" i="37"/>
  <c r="R130" i="37"/>
  <c r="K130" i="37"/>
  <c r="Q130" i="37"/>
  <c r="K115" i="37"/>
  <c r="M115" i="37"/>
  <c r="R117" i="37"/>
  <c r="N117" i="37"/>
  <c r="H117" i="37"/>
  <c r="Q116" i="37"/>
  <c r="L116" i="37"/>
  <c r="J116" i="37"/>
  <c r="D20" i="38"/>
  <c r="O119" i="37"/>
  <c r="P123" i="37"/>
  <c r="G127" i="37"/>
  <c r="O120" i="37"/>
  <c r="F128" i="37"/>
  <c r="N121" i="37"/>
  <c r="K125" i="37"/>
  <c r="Q129" i="37"/>
  <c r="K126" i="37"/>
  <c r="L118" i="37"/>
  <c r="J130" i="37"/>
  <c r="P117" i="37"/>
  <c r="F116" i="37"/>
  <c r="N119" i="37"/>
  <c r="Q123" i="37"/>
  <c r="P120" i="37"/>
  <c r="L124" i="37"/>
  <c r="R128" i="37"/>
  <c r="F121" i="37"/>
  <c r="G125" i="37"/>
  <c r="J122" i="37"/>
  <c r="Q126" i="37"/>
  <c r="F118" i="37"/>
  <c r="F130" i="37"/>
  <c r="I117" i="37"/>
  <c r="O116" i="37"/>
  <c r="F36" i="38" a="1"/>
  <c r="F64" i="38" a="1"/>
  <c r="F33" i="38" a="1"/>
  <c r="F38" i="38" a="1"/>
  <c r="F61" i="38" a="1"/>
  <c r="F77" i="38" a="1"/>
  <c r="F42" i="38" a="1"/>
  <c r="F27" i="38" a="1"/>
  <c r="F56" i="38" a="1"/>
  <c r="F23" i="38" a="1"/>
  <c r="F45" i="38" a="1"/>
  <c r="F57" i="38" a="1"/>
  <c r="F73" i="38" a="1"/>
  <c r="F34" i="38" a="1"/>
  <c r="F50" i="38" a="1"/>
  <c r="F66" i="38" a="1"/>
  <c r="F25" i="38" a="1"/>
  <c r="Q119" i="37"/>
  <c r="M127" i="37"/>
  <c r="G120" i="37"/>
  <c r="N124" i="37"/>
  <c r="J128" i="37"/>
  <c r="H125" i="37"/>
  <c r="O129" i="37"/>
  <c r="F122" i="37"/>
  <c r="M126" i="37"/>
  <c r="O118" i="37"/>
  <c r="I115" i="37"/>
  <c r="F117" i="37"/>
  <c r="C22" i="38" a="1"/>
  <c r="R123" i="37"/>
  <c r="M121" i="37"/>
  <c r="P118" i="37"/>
  <c r="F80" i="38" a="1"/>
  <c r="F29" i="38" a="1"/>
  <c r="F26" i="38" a="1"/>
  <c r="F46" i="38" a="1"/>
  <c r="F35" i="38" a="1"/>
  <c r="F67" i="38" a="1"/>
  <c r="F52" i="38" a="1"/>
  <c r="F28" i="38" a="1"/>
  <c r="F37" i="38" a="1"/>
  <c r="F43" i="38" a="1"/>
  <c r="F30" i="38" a="1"/>
  <c r="F79" i="38" a="1"/>
  <c r="F78" i="38" a="1"/>
  <c r="I122" i="37"/>
  <c r="F41" i="38" a="1"/>
  <c r="F49" i="38" a="1"/>
  <c r="F75" i="38" a="1"/>
  <c r="F127" i="37"/>
  <c r="O125" i="37"/>
  <c r="H130" i="37"/>
  <c r="F48" i="38" a="1"/>
  <c r="F69" i="38" a="1"/>
  <c r="F72" i="38" a="1"/>
  <c r="F24" i="38" a="1"/>
  <c r="F59" i="38" a="1"/>
  <c r="F54" i="38" a="1"/>
  <c r="F31" i="38" a="1"/>
  <c r="F60" i="38" a="1"/>
  <c r="G116" i="37"/>
  <c r="F58" i="38" a="1"/>
  <c r="H120" i="37"/>
  <c r="N129" i="37"/>
  <c r="F115" i="37"/>
  <c r="F53" i="38" a="1"/>
  <c r="F44" i="38" a="1"/>
  <c r="F65" i="38" a="1"/>
  <c r="F74" i="38" a="1"/>
  <c r="F51" i="38" a="1"/>
  <c r="F22" i="38" a="1"/>
  <c r="F40" i="38" a="1"/>
  <c r="F68" i="38" a="1"/>
  <c r="F63" i="38" a="1"/>
  <c r="F39" i="38" a="1"/>
  <c r="F55" i="38" a="1"/>
  <c r="F21" i="38" a="1"/>
  <c r="F76" i="38" a="1"/>
  <c r="F62" i="38" a="1"/>
  <c r="F32" i="38" a="1"/>
  <c r="O124" i="37"/>
  <c r="F47" i="38" a="1"/>
  <c r="F71" i="38" a="1"/>
  <c r="F70" i="38" a="1"/>
  <c r="AH121" i="37"/>
  <c r="Y130" i="37"/>
  <c r="AI129" i="37"/>
  <c r="Y126" i="37"/>
  <c r="AA124" i="37"/>
  <c r="AB122" i="37"/>
  <c r="AG119" i="37"/>
  <c r="AB118" i="37"/>
  <c r="AD127" i="37"/>
  <c r="AH130" i="37"/>
  <c r="AH125" i="37"/>
  <c r="AB116" i="37"/>
  <c r="Z121" i="37"/>
  <c r="AD121" i="37"/>
  <c r="AE130" i="37"/>
  <c r="W129" i="37"/>
  <c r="AC128" i="37"/>
  <c r="AF128" i="37"/>
  <c r="X127" i="37"/>
  <c r="AE126" i="37"/>
  <c r="W125" i="37"/>
  <c r="AC124" i="37"/>
  <c r="AF124" i="37"/>
  <c r="X123" i="37"/>
  <c r="AE122" i="37"/>
  <c r="W121" i="37"/>
  <c r="AC120" i="37"/>
  <c r="AF120" i="37"/>
  <c r="X119" i="37"/>
  <c r="AE118" i="37"/>
  <c r="X116" i="37"/>
  <c r="AH117" i="37"/>
  <c r="AB115" i="37"/>
  <c r="AD125" i="37"/>
  <c r="AE116" i="37"/>
  <c r="AA128" i="37"/>
  <c r="AB126" i="37"/>
  <c r="AG123" i="37"/>
  <c r="AI121" i="37"/>
  <c r="Y118" i="37"/>
  <c r="AH116" i="37"/>
  <c r="Z122" i="37"/>
  <c r="AH122" i="37"/>
  <c r="AD120" i="37"/>
  <c r="AD126" i="37"/>
  <c r="AA116" i="37"/>
  <c r="AC130" i="37"/>
  <c r="AF130" i="37"/>
  <c r="X129" i="37"/>
  <c r="AE128" i="37"/>
  <c r="W127" i="37"/>
  <c r="AC126" i="37"/>
  <c r="AF126" i="37"/>
  <c r="X125" i="37"/>
  <c r="AE124" i="37"/>
  <c r="W123" i="37"/>
  <c r="AC122" i="37"/>
  <c r="AF122" i="37"/>
  <c r="X121" i="37"/>
  <c r="AE120" i="37"/>
  <c r="W119" i="37"/>
  <c r="AC118" i="37"/>
  <c r="AF118" i="37"/>
  <c r="Y117" i="37"/>
  <c r="AE117" i="37"/>
  <c r="AD123" i="37"/>
  <c r="AH127" i="37"/>
  <c r="AB130" i="37"/>
  <c r="AG127" i="37"/>
  <c r="AI125" i="37"/>
  <c r="Y122" i="37"/>
  <c r="AA120" i="37"/>
  <c r="AC117" i="37"/>
  <c r="AH128" i="37"/>
  <c r="Z118" i="37"/>
  <c r="Z127" i="37"/>
  <c r="AH118" i="37"/>
  <c r="AD122" i="37"/>
  <c r="Z124" i="37"/>
  <c r="AA130" i="37"/>
  <c r="AG129" i="37"/>
  <c r="Y128" i="37"/>
  <c r="AB128" i="37"/>
  <c r="AI127" i="37"/>
  <c r="AA126" i="37"/>
  <c r="AG125" i="37"/>
  <c r="Y124" i="37"/>
  <c r="AB124" i="37"/>
  <c r="AI123" i="37"/>
  <c r="AA122" i="37"/>
  <c r="AG121" i="37"/>
  <c r="Y120" i="37"/>
  <c r="AB120" i="37"/>
  <c r="AI119" i="37"/>
  <c r="AA118" i="37"/>
  <c r="AG116" i="37"/>
  <c r="AB117" i="37"/>
  <c r="Z115" i="37"/>
  <c r="AG117" i="37"/>
  <c r="AI117" i="37"/>
  <c r="Z126" i="37"/>
  <c r="AH120" i="37"/>
  <c r="Z128" i="37"/>
  <c r="AH129" i="37"/>
  <c r="AD124" i="37"/>
  <c r="Z119" i="37"/>
  <c r="AD130" i="37"/>
  <c r="Z125" i="37"/>
  <c r="AH119" i="37"/>
  <c r="W116" i="37"/>
  <c r="AF116" i="37"/>
  <c r="AG130" i="37"/>
  <c r="AI130" i="37"/>
  <c r="Y129" i="37"/>
  <c r="AA129" i="37"/>
  <c r="AB129" i="37"/>
  <c r="AG128" i="37"/>
  <c r="AI128" i="37"/>
  <c r="Y127" i="37"/>
  <c r="AA127" i="37"/>
  <c r="AB127" i="37"/>
  <c r="AG126" i="37"/>
  <c r="AI126" i="37"/>
  <c r="Y125" i="37"/>
  <c r="AA125" i="37"/>
  <c r="AB125" i="37"/>
  <c r="AG124" i="37"/>
  <c r="AI124" i="37"/>
  <c r="Y123" i="37"/>
  <c r="AA123" i="37"/>
  <c r="AB123" i="37"/>
  <c r="AG122" i="37"/>
  <c r="AI122" i="37"/>
  <c r="Y121" i="37"/>
  <c r="AA121" i="37"/>
  <c r="AB121" i="37"/>
  <c r="AG120" i="37"/>
  <c r="AI120" i="37"/>
  <c r="Y119" i="37"/>
  <c r="AA119" i="37"/>
  <c r="AB119" i="37"/>
  <c r="AG118" i="37"/>
  <c r="AI118" i="37"/>
  <c r="Y116" i="37"/>
  <c r="Z116" i="37"/>
  <c r="AD117" i="37"/>
  <c r="AF117" i="37"/>
  <c r="W117" i="37"/>
  <c r="Y115" i="37"/>
  <c r="AA115" i="37"/>
  <c r="W115" i="37"/>
  <c r="Z130" i="37"/>
  <c r="AH124" i="37"/>
  <c r="AD119" i="37"/>
  <c r="AH126" i="37"/>
  <c r="AD128" i="37"/>
  <c r="Z123" i="37"/>
  <c r="Z120" i="37"/>
  <c r="Z129" i="37"/>
  <c r="AH123" i="37"/>
  <c r="AD118" i="37"/>
  <c r="AD129" i="37"/>
  <c r="AD115" i="37"/>
  <c r="W130" i="37"/>
  <c r="X130" i="37"/>
  <c r="AC129" i="37"/>
  <c r="AE129" i="37"/>
  <c r="AF129" i="37"/>
  <c r="W128" i="37"/>
  <c r="X128" i="37"/>
  <c r="AC127" i="37"/>
  <c r="AE127" i="37"/>
  <c r="AF127" i="37"/>
  <c r="W126" i="37"/>
  <c r="X126" i="37"/>
  <c r="AC125" i="37"/>
  <c r="AE125" i="37"/>
  <c r="AF125" i="37"/>
  <c r="W124" i="37"/>
  <c r="X124" i="37"/>
  <c r="AC123" i="37"/>
  <c r="AE123" i="37"/>
  <c r="AF123" i="37"/>
  <c r="W122" i="37"/>
  <c r="X122" i="37"/>
  <c r="AC121" i="37"/>
  <c r="AE121" i="37"/>
  <c r="AF121" i="37"/>
  <c r="W120" i="37"/>
  <c r="X120" i="37"/>
  <c r="AC119" i="37"/>
  <c r="AE119" i="37"/>
  <c r="AF119" i="37"/>
  <c r="W118" i="37"/>
  <c r="X118" i="37"/>
  <c r="AC116" i="37"/>
  <c r="AD116" i="37"/>
  <c r="Z117" i="37"/>
  <c r="X117" i="37"/>
  <c r="AA117" i="37"/>
  <c r="AC115" i="37"/>
  <c r="X115" i="37"/>
  <c r="X134" i="37" l="1"/>
  <c r="AC134" i="37"/>
  <c r="AA136" i="37"/>
  <c r="X136" i="37"/>
  <c r="Z136" i="37"/>
  <c r="AD135" i="37"/>
  <c r="AC135" i="37"/>
  <c r="X137" i="37"/>
  <c r="W137" i="37"/>
  <c r="AF138" i="37"/>
  <c r="AE138" i="37"/>
  <c r="AC138" i="37"/>
  <c r="X139" i="37"/>
  <c r="W139" i="37"/>
  <c r="AF140" i="37"/>
  <c r="AE140" i="37"/>
  <c r="AC140" i="37"/>
  <c r="X141" i="37"/>
  <c r="W141" i="37"/>
  <c r="AF142" i="37"/>
  <c r="AE142" i="37"/>
  <c r="AC142" i="37"/>
  <c r="X143" i="37"/>
  <c r="W143" i="37"/>
  <c r="AF144" i="37"/>
  <c r="AE144" i="37"/>
  <c r="AC144" i="37"/>
  <c r="X145" i="37"/>
  <c r="W145" i="37"/>
  <c r="AF146" i="37"/>
  <c r="AE146" i="37"/>
  <c r="AC146" i="37"/>
  <c r="X147" i="37"/>
  <c r="W147" i="37"/>
  <c r="AF148" i="37"/>
  <c r="AE148" i="37"/>
  <c r="AC148" i="37"/>
  <c r="X149" i="37"/>
  <c r="W149" i="37"/>
  <c r="AD134" i="37"/>
  <c r="AD148" i="37"/>
  <c r="AD137" i="37"/>
  <c r="AH142" i="37"/>
  <c r="Z148" i="37"/>
  <c r="Z139" i="37"/>
  <c r="Z142" i="37"/>
  <c r="AD147" i="37"/>
  <c r="AH145" i="37"/>
  <c r="AD138" i="37"/>
  <c r="AH143" i="37"/>
  <c r="Z149" i="37"/>
  <c r="W134" i="37"/>
  <c r="AA134" i="37"/>
  <c r="Y134" i="37"/>
  <c r="W136" i="37"/>
  <c r="AF136" i="37"/>
  <c r="AD136" i="37"/>
  <c r="Z135" i="37"/>
  <c r="Y135" i="37"/>
  <c r="AI137" i="37"/>
  <c r="AG137" i="37"/>
  <c r="AB138" i="37"/>
  <c r="AA138" i="37"/>
  <c r="Y138" i="37"/>
  <c r="AI139" i="37"/>
  <c r="AG139" i="37"/>
  <c r="AB140" i="37"/>
  <c r="AA140" i="37"/>
  <c r="Y140" i="37"/>
  <c r="AI141" i="37"/>
  <c r="AG141" i="37"/>
  <c r="AB142" i="37"/>
  <c r="AA142" i="37"/>
  <c r="Y142" i="37"/>
  <c r="AI143" i="37"/>
  <c r="AG143" i="37"/>
  <c r="AB144" i="37"/>
  <c r="AA144" i="37"/>
  <c r="Y144" i="37"/>
  <c r="AI145" i="37"/>
  <c r="AG145" i="37"/>
  <c r="AB146" i="37"/>
  <c r="AA146" i="37"/>
  <c r="Y146" i="37"/>
  <c r="AI147" i="37"/>
  <c r="AG147" i="37"/>
  <c r="AB148" i="37"/>
  <c r="AA148" i="37"/>
  <c r="Y148" i="37"/>
  <c r="AI149" i="37"/>
  <c r="AG149" i="37"/>
  <c r="AF135" i="37"/>
  <c r="W135" i="37"/>
  <c r="AH138" i="37"/>
  <c r="Z144" i="37"/>
  <c r="AD149" i="37"/>
  <c r="Z138" i="37"/>
  <c r="AD143" i="37"/>
  <c r="AH148" i="37"/>
  <c r="Z147" i="37"/>
  <c r="AH139" i="37"/>
  <c r="Z145" i="37"/>
  <c r="AI136" i="37"/>
  <c r="AG136" i="37"/>
  <c r="Z134" i="37"/>
  <c r="AB136" i="37"/>
  <c r="AG135" i="37"/>
  <c r="AA137" i="37"/>
  <c r="AI138" i="37"/>
  <c r="AB139" i="37"/>
  <c r="Y139" i="37"/>
  <c r="AG140" i="37"/>
  <c r="AA141" i="37"/>
  <c r="AI142" i="37"/>
  <c r="AB143" i="37"/>
  <c r="Y143" i="37"/>
  <c r="AG144" i="37"/>
  <c r="AA145" i="37"/>
  <c r="AI146" i="37"/>
  <c r="AB147" i="37"/>
  <c r="Y147" i="37"/>
  <c r="AG148" i="37"/>
  <c r="AA149" i="37"/>
  <c r="Z143" i="37"/>
  <c r="AD141" i="37"/>
  <c r="AH137" i="37"/>
  <c r="Z146" i="37"/>
  <c r="Z137" i="37"/>
  <c r="AH147" i="37"/>
  <c r="AC136" i="37"/>
  <c r="AA139" i="37"/>
  <c r="Y141" i="37"/>
  <c r="AI144" i="37"/>
  <c r="AG146" i="37"/>
  <c r="AB149" i="37"/>
  <c r="AH146" i="37"/>
  <c r="AD142" i="37"/>
  <c r="AE136" i="37"/>
  <c r="Y136" i="37"/>
  <c r="AF137" i="37"/>
  <c r="AC137" i="37"/>
  <c r="W138" i="37"/>
  <c r="AE139" i="37"/>
  <c r="X140" i="37"/>
  <c r="AF141" i="37"/>
  <c r="AC141" i="37"/>
  <c r="W142" i="37"/>
  <c r="AE143" i="37"/>
  <c r="X144" i="37"/>
  <c r="AF145" i="37"/>
  <c r="AC145" i="37"/>
  <c r="W146" i="37"/>
  <c r="AE147" i="37"/>
  <c r="X148" i="37"/>
  <c r="AF149" i="37"/>
  <c r="AC149" i="37"/>
  <c r="AA135" i="37"/>
  <c r="AD145" i="37"/>
  <c r="AD139" i="37"/>
  <c r="AH141" i="37"/>
  <c r="Z141" i="37"/>
  <c r="AH135" i="37"/>
  <c r="Y137" i="37"/>
  <c r="AI140" i="37"/>
  <c r="AG142" i="37"/>
  <c r="AB145" i="37"/>
  <c r="AA147" i="37"/>
  <c r="AE135" i="37"/>
  <c r="AD144" i="37"/>
  <c r="AB134" i="37"/>
  <c r="AH136" i="37"/>
  <c r="X135" i="37"/>
  <c r="AE137" i="37"/>
  <c r="X138" i="37"/>
  <c r="AF139" i="37"/>
  <c r="AC139" i="37"/>
  <c r="W140" i="37"/>
  <c r="AE141" i="37"/>
  <c r="X142" i="37"/>
  <c r="AF143" i="37"/>
  <c r="AC143" i="37"/>
  <c r="W144" i="37"/>
  <c r="AE145" i="37"/>
  <c r="X146" i="37"/>
  <c r="AF147" i="37"/>
  <c r="AC147" i="37"/>
  <c r="W148" i="37"/>
  <c r="AE149" i="37"/>
  <c r="AD140" i="37"/>
  <c r="Z140" i="37"/>
  <c r="AB135" i="37"/>
  <c r="AH144" i="37"/>
  <c r="AH149" i="37"/>
  <c r="AD146" i="37"/>
  <c r="AB137" i="37"/>
  <c r="AG138" i="37"/>
  <c r="AB141" i="37"/>
  <c r="AA143" i="37"/>
  <c r="Y145" i="37"/>
  <c r="AI148" i="37"/>
  <c r="Y149" i="37"/>
  <c r="AH140" i="37"/>
  <c r="Q70" i="38"/>
  <c r="I70" i="38"/>
  <c r="G70" i="38"/>
  <c r="K70" i="38"/>
  <c r="R70" i="38"/>
  <c r="P70" i="38"/>
  <c r="H70" i="38"/>
  <c r="M70" i="38"/>
  <c r="O70" i="38"/>
  <c r="J70" i="38"/>
  <c r="F70" i="38"/>
  <c r="N70" i="38"/>
  <c r="L70" i="38"/>
  <c r="G71" i="38"/>
  <c r="L71" i="38"/>
  <c r="H71" i="38"/>
  <c r="F71" i="38"/>
  <c r="M71" i="38"/>
  <c r="R71" i="38"/>
  <c r="K71" i="38"/>
  <c r="I71" i="38"/>
  <c r="N71" i="38"/>
  <c r="Q71" i="38"/>
  <c r="J71" i="38"/>
  <c r="O71" i="38"/>
  <c r="P71" i="38"/>
  <c r="P47" i="38"/>
  <c r="J47" i="38"/>
  <c r="G47" i="38"/>
  <c r="M47" i="38"/>
  <c r="N47" i="38"/>
  <c r="O47" i="38"/>
  <c r="I47" i="38"/>
  <c r="H47" i="38"/>
  <c r="Q47" i="38"/>
  <c r="K47" i="38"/>
  <c r="L47" i="38"/>
  <c r="R47" i="38"/>
  <c r="F47" i="38"/>
  <c r="O143" i="37"/>
  <c r="L32" i="38"/>
  <c r="H32" i="38"/>
  <c r="M32" i="38"/>
  <c r="I32" i="38"/>
  <c r="R32" i="38"/>
  <c r="K32" i="38"/>
  <c r="J32" i="38"/>
  <c r="P32" i="38"/>
  <c r="N32" i="38"/>
  <c r="F32" i="38"/>
  <c r="Q32" i="38"/>
  <c r="O32" i="38"/>
  <c r="G32" i="38"/>
  <c r="J62" i="38"/>
  <c r="I62" i="38"/>
  <c r="Q62" i="38"/>
  <c r="R62" i="38"/>
  <c r="F62" i="38"/>
  <c r="M62" i="38"/>
  <c r="P62" i="38"/>
  <c r="O62" i="38"/>
  <c r="K62" i="38"/>
  <c r="L62" i="38"/>
  <c r="H62" i="38"/>
  <c r="N62" i="38"/>
  <c r="G62" i="38"/>
  <c r="I76" i="38"/>
  <c r="F76" i="38"/>
  <c r="N76" i="38"/>
  <c r="J76" i="38"/>
  <c r="R76" i="38"/>
  <c r="Q76" i="38"/>
  <c r="L76" i="38"/>
  <c r="M76" i="38"/>
  <c r="K76" i="38"/>
  <c r="H76" i="38"/>
  <c r="O76" i="38"/>
  <c r="P76" i="38"/>
  <c r="G76" i="38"/>
  <c r="I21" i="38"/>
  <c r="J21" i="38"/>
  <c r="L21" i="38"/>
  <c r="N21" i="38"/>
  <c r="M21" i="38"/>
  <c r="O21" i="38"/>
  <c r="P21" i="38"/>
  <c r="H21" i="38"/>
  <c r="G21" i="38"/>
  <c r="K21" i="38"/>
  <c r="R21" i="38"/>
  <c r="F21" i="38"/>
  <c r="Q21" i="38"/>
  <c r="M55" i="38"/>
  <c r="P55" i="38"/>
  <c r="Q55" i="38"/>
  <c r="L55" i="38"/>
  <c r="F55" i="38"/>
  <c r="N55" i="38"/>
  <c r="H55" i="38"/>
  <c r="J55" i="38"/>
  <c r="R55" i="38"/>
  <c r="G55" i="38"/>
  <c r="I55" i="38"/>
  <c r="K55" i="38"/>
  <c r="O55" i="38"/>
  <c r="N39" i="38"/>
  <c r="J39" i="38"/>
  <c r="G39" i="38"/>
  <c r="L39" i="38"/>
  <c r="K39" i="38"/>
  <c r="O39" i="38"/>
  <c r="F39" i="38"/>
  <c r="Q39" i="38"/>
  <c r="P39" i="38"/>
  <c r="H39" i="38"/>
  <c r="M39" i="38"/>
  <c r="I39" i="38"/>
  <c r="R39" i="38"/>
  <c r="K63" i="38"/>
  <c r="Q63" i="38"/>
  <c r="H63" i="38"/>
  <c r="G63" i="38"/>
  <c r="P63" i="38"/>
  <c r="M63" i="38"/>
  <c r="F63" i="38"/>
  <c r="R63" i="38"/>
  <c r="J63" i="38"/>
  <c r="L63" i="38"/>
  <c r="N63" i="38"/>
  <c r="O63" i="38"/>
  <c r="I63" i="38"/>
  <c r="O68" i="38"/>
  <c r="M68" i="38"/>
  <c r="I68" i="38"/>
  <c r="J68" i="38"/>
  <c r="N68" i="38"/>
  <c r="L68" i="38"/>
  <c r="F68" i="38"/>
  <c r="G68" i="38"/>
  <c r="K68" i="38"/>
  <c r="Q68" i="38"/>
  <c r="P68" i="38"/>
  <c r="H68" i="38"/>
  <c r="R68" i="38"/>
  <c r="J40" i="38"/>
  <c r="L40" i="38"/>
  <c r="Q40" i="38"/>
  <c r="M40" i="38"/>
  <c r="R40" i="38"/>
  <c r="G40" i="38"/>
  <c r="I40" i="38"/>
  <c r="F40" i="38"/>
  <c r="H40" i="38"/>
  <c r="P40" i="38"/>
  <c r="O40" i="38"/>
  <c r="N40" i="38"/>
  <c r="K40" i="38"/>
  <c r="I22" i="38"/>
  <c r="R22" i="38"/>
  <c r="G22" i="38"/>
  <c r="J22" i="38"/>
  <c r="M22" i="38"/>
  <c r="P22" i="38"/>
  <c r="K22" i="38"/>
  <c r="H22" i="38"/>
  <c r="Q22" i="38"/>
  <c r="F22" i="38"/>
  <c r="N22" i="38"/>
  <c r="L22" i="38"/>
  <c r="O22" i="38"/>
  <c r="K51" i="38"/>
  <c r="P51" i="38"/>
  <c r="M51" i="38"/>
  <c r="Q51" i="38"/>
  <c r="F51" i="38"/>
  <c r="O51" i="38"/>
  <c r="I51" i="38"/>
  <c r="H51" i="38"/>
  <c r="R51" i="38"/>
  <c r="G51" i="38"/>
  <c r="J51" i="38"/>
  <c r="L51" i="38"/>
  <c r="N51" i="38"/>
  <c r="J74" i="38"/>
  <c r="N74" i="38"/>
  <c r="L74" i="38"/>
  <c r="O74" i="38"/>
  <c r="M74" i="38"/>
  <c r="I74" i="38"/>
  <c r="R74" i="38"/>
  <c r="G74" i="38"/>
  <c r="P74" i="38"/>
  <c r="Q74" i="38"/>
  <c r="K74" i="38"/>
  <c r="H74" i="38"/>
  <c r="F74" i="38"/>
  <c r="K65" i="38"/>
  <c r="Q65" i="38"/>
  <c r="G65" i="38"/>
  <c r="P65" i="38"/>
  <c r="H65" i="38"/>
  <c r="M65" i="38"/>
  <c r="J65" i="38"/>
  <c r="N65" i="38"/>
  <c r="O65" i="38"/>
  <c r="I65" i="38"/>
  <c r="F65" i="38"/>
  <c r="L65" i="38"/>
  <c r="R65" i="38"/>
  <c r="Q44" i="38"/>
  <c r="K44" i="38"/>
  <c r="F44" i="38"/>
  <c r="H44" i="38"/>
  <c r="P44" i="38"/>
  <c r="O44" i="38"/>
  <c r="I44" i="38"/>
  <c r="M44" i="38"/>
  <c r="J44" i="38"/>
  <c r="G44" i="38"/>
  <c r="R44" i="38"/>
  <c r="N44" i="38"/>
  <c r="L44" i="38"/>
  <c r="P53" i="38"/>
  <c r="G53" i="38"/>
  <c r="L53" i="38"/>
  <c r="K53" i="38"/>
  <c r="R53" i="38"/>
  <c r="O53" i="38"/>
  <c r="Q53" i="38"/>
  <c r="M53" i="38"/>
  <c r="F53" i="38"/>
  <c r="H53" i="38"/>
  <c r="J53" i="38"/>
  <c r="N53" i="38"/>
  <c r="I53" i="38"/>
  <c r="F134" i="37"/>
  <c r="N148" i="37"/>
  <c r="H139" i="37"/>
  <c r="H58" i="38"/>
  <c r="N58" i="38"/>
  <c r="J58" i="38"/>
  <c r="M58" i="38"/>
  <c r="O58" i="38"/>
  <c r="G58" i="38"/>
  <c r="K58" i="38"/>
  <c r="L58" i="38"/>
  <c r="P58" i="38"/>
  <c r="F58" i="38"/>
  <c r="R58" i="38"/>
  <c r="I58" i="38"/>
  <c r="Q58" i="38"/>
  <c r="G135" i="37"/>
  <c r="J60" i="38"/>
  <c r="O60" i="38"/>
  <c r="L60" i="38"/>
  <c r="Q60" i="38"/>
  <c r="I60" i="38"/>
  <c r="F60" i="38"/>
  <c r="H60" i="38"/>
  <c r="K60" i="38"/>
  <c r="M60" i="38"/>
  <c r="R60" i="38"/>
  <c r="N60" i="38"/>
  <c r="P60" i="38"/>
  <c r="G60" i="38"/>
  <c r="G31" i="38"/>
  <c r="H31" i="38"/>
  <c r="M31" i="38"/>
  <c r="F31" i="38"/>
  <c r="R31" i="38"/>
  <c r="Q31" i="38"/>
  <c r="L31" i="38"/>
  <c r="K31" i="38"/>
  <c r="I31" i="38"/>
  <c r="P31" i="38"/>
  <c r="O31" i="38"/>
  <c r="N31" i="38"/>
  <c r="J31" i="38"/>
  <c r="G54" i="38"/>
  <c r="H54" i="38"/>
  <c r="N54" i="38"/>
  <c r="L54" i="38"/>
  <c r="R54" i="38"/>
  <c r="J54" i="38"/>
  <c r="M54" i="38"/>
  <c r="P54" i="38"/>
  <c r="I54" i="38"/>
  <c r="K54" i="38"/>
  <c r="O54" i="38"/>
  <c r="F54" i="38"/>
  <c r="Q54" i="38"/>
  <c r="P59" i="38"/>
  <c r="M59" i="38"/>
  <c r="G59" i="38"/>
  <c r="L59" i="38"/>
  <c r="H59" i="38"/>
  <c r="O59" i="38"/>
  <c r="J59" i="38"/>
  <c r="I59" i="38"/>
  <c r="K59" i="38"/>
  <c r="F59" i="38"/>
  <c r="R59" i="38"/>
  <c r="Q59" i="38"/>
  <c r="N59" i="38"/>
  <c r="M24" i="38"/>
  <c r="L24" i="38"/>
  <c r="J24" i="38"/>
  <c r="Q24" i="38"/>
  <c r="O24" i="38"/>
  <c r="N24" i="38"/>
  <c r="F24" i="38"/>
  <c r="K24" i="38"/>
  <c r="G24" i="38"/>
  <c r="I24" i="38"/>
  <c r="P24" i="38"/>
  <c r="H24" i="38"/>
  <c r="R24" i="38"/>
  <c r="I72" i="38"/>
  <c r="K72" i="38"/>
  <c r="L72" i="38"/>
  <c r="O72" i="38"/>
  <c r="F72" i="38"/>
  <c r="J72" i="38"/>
  <c r="N72" i="38"/>
  <c r="G72" i="38"/>
  <c r="H72" i="38"/>
  <c r="P72" i="38"/>
  <c r="M72" i="38"/>
  <c r="Q72" i="38"/>
  <c r="R72" i="38"/>
  <c r="N69" i="38"/>
  <c r="J69" i="38"/>
  <c r="R69" i="38"/>
  <c r="P69" i="38"/>
  <c r="H69" i="38"/>
  <c r="K69" i="38"/>
  <c r="L69" i="38"/>
  <c r="G69" i="38"/>
  <c r="I69" i="38"/>
  <c r="M69" i="38"/>
  <c r="O69" i="38"/>
  <c r="F69" i="38"/>
  <c r="Q69" i="38"/>
  <c r="M48" i="38"/>
  <c r="J48" i="38"/>
  <c r="G48" i="38"/>
  <c r="Q48" i="38"/>
  <c r="L48" i="38"/>
  <c r="I48" i="38"/>
  <c r="R48" i="38"/>
  <c r="K48" i="38"/>
  <c r="P48" i="38"/>
  <c r="F48" i="38"/>
  <c r="N48" i="38"/>
  <c r="H48" i="38"/>
  <c r="O48" i="38"/>
  <c r="H149" i="37"/>
  <c r="O144" i="37"/>
  <c r="F146" i="37"/>
  <c r="L75" i="38"/>
  <c r="Q75" i="38"/>
  <c r="I75" i="38"/>
  <c r="P75" i="38"/>
  <c r="R75" i="38"/>
  <c r="K75" i="38"/>
  <c r="H75" i="38"/>
  <c r="O75" i="38"/>
  <c r="F75" i="38"/>
  <c r="N75" i="38"/>
  <c r="M75" i="38"/>
  <c r="G75" i="38"/>
  <c r="J75" i="38"/>
  <c r="Q49" i="38"/>
  <c r="K49" i="38"/>
  <c r="H49" i="38"/>
  <c r="R49" i="38"/>
  <c r="G49" i="38"/>
  <c r="I49" i="38"/>
  <c r="N49" i="38"/>
  <c r="J49" i="38"/>
  <c r="M49" i="38"/>
  <c r="O49" i="38"/>
  <c r="F49" i="38"/>
  <c r="L49" i="38"/>
  <c r="P49" i="38"/>
  <c r="G41" i="38"/>
  <c r="M41" i="38"/>
  <c r="L41" i="38"/>
  <c r="I41" i="38"/>
  <c r="N41" i="38"/>
  <c r="P41" i="38"/>
  <c r="K41" i="38"/>
  <c r="R41" i="38"/>
  <c r="Q41" i="38"/>
  <c r="H41" i="38"/>
  <c r="F41" i="38"/>
  <c r="O41" i="38"/>
  <c r="J41" i="38"/>
  <c r="I141" i="37"/>
  <c r="G78" i="38"/>
  <c r="L78" i="38"/>
  <c r="M78" i="38"/>
  <c r="K78" i="38"/>
  <c r="J78" i="38"/>
  <c r="H78" i="38"/>
  <c r="O78" i="38"/>
  <c r="I78" i="38"/>
  <c r="Q78" i="38"/>
  <c r="N78" i="38"/>
  <c r="P78" i="38"/>
  <c r="R78" i="38"/>
  <c r="F78" i="38"/>
  <c r="O79" i="38"/>
  <c r="P79" i="38"/>
  <c r="J79" i="38"/>
  <c r="K79" i="38"/>
  <c r="N79" i="38"/>
  <c r="F79" i="38"/>
  <c r="I79" i="38"/>
  <c r="G79" i="38"/>
  <c r="H79" i="38"/>
  <c r="R79" i="38"/>
  <c r="L79" i="38"/>
  <c r="Q79" i="38"/>
  <c r="M79" i="38"/>
  <c r="O30" i="38"/>
  <c r="L30" i="38"/>
  <c r="Q30" i="38"/>
  <c r="N30" i="38"/>
  <c r="P30" i="38"/>
  <c r="F30" i="38"/>
  <c r="R30" i="38"/>
  <c r="I30" i="38"/>
  <c r="M30" i="38"/>
  <c r="G30" i="38"/>
  <c r="J30" i="38"/>
  <c r="H30" i="38"/>
  <c r="K30" i="38"/>
  <c r="G43" i="38"/>
  <c r="H43" i="38"/>
  <c r="O43" i="38"/>
  <c r="Q43" i="38"/>
  <c r="M43" i="38"/>
  <c r="P43" i="38"/>
  <c r="I43" i="38"/>
  <c r="N43" i="38"/>
  <c r="F43" i="38"/>
  <c r="J43" i="38"/>
  <c r="R43" i="38"/>
  <c r="K43" i="38"/>
  <c r="L43" i="38"/>
  <c r="H37" i="38"/>
  <c r="P37" i="38"/>
  <c r="L37" i="38"/>
  <c r="G37" i="38"/>
  <c r="Q37" i="38"/>
  <c r="M37" i="38"/>
  <c r="O37" i="38"/>
  <c r="F37" i="38"/>
  <c r="J37" i="38"/>
  <c r="N37" i="38"/>
  <c r="I37" i="38"/>
  <c r="K37" i="38"/>
  <c r="R37" i="38"/>
  <c r="F28" i="38"/>
  <c r="Q28" i="38"/>
  <c r="R28" i="38"/>
  <c r="L28" i="38"/>
  <c r="O28" i="38"/>
  <c r="I28" i="38"/>
  <c r="G28" i="38"/>
  <c r="H28" i="38"/>
  <c r="N28" i="38"/>
  <c r="K28" i="38"/>
  <c r="P28" i="38"/>
  <c r="M28" i="38"/>
  <c r="J28" i="38"/>
  <c r="I52" i="38"/>
  <c r="M52" i="38"/>
  <c r="L52" i="38"/>
  <c r="K52" i="38"/>
  <c r="Q52" i="38"/>
  <c r="F52" i="38"/>
  <c r="H52" i="38"/>
  <c r="P52" i="38"/>
  <c r="O52" i="38"/>
  <c r="N52" i="38"/>
  <c r="G52" i="38"/>
  <c r="R52" i="38"/>
  <c r="J52" i="38"/>
  <c r="Q67" i="38"/>
  <c r="L67" i="38"/>
  <c r="J67" i="38"/>
  <c r="P67" i="38"/>
  <c r="O67" i="38"/>
  <c r="K67" i="38"/>
  <c r="F67" i="38"/>
  <c r="R67" i="38"/>
  <c r="G67" i="38"/>
  <c r="N67" i="38"/>
  <c r="H67" i="38"/>
  <c r="M67" i="38"/>
  <c r="I67" i="38"/>
  <c r="K35" i="38"/>
  <c r="J35" i="38"/>
  <c r="P35" i="38"/>
  <c r="G35" i="38"/>
  <c r="I35" i="38"/>
  <c r="N35" i="38"/>
  <c r="R35" i="38"/>
  <c r="O35" i="38"/>
  <c r="Q35" i="38"/>
  <c r="H35" i="38"/>
  <c r="F35" i="38"/>
  <c r="L35" i="38"/>
  <c r="M35" i="38"/>
  <c r="G46" i="38"/>
  <c r="M46" i="38"/>
  <c r="L46" i="38"/>
  <c r="R46" i="38"/>
  <c r="H46" i="38"/>
  <c r="O46" i="38"/>
  <c r="J46" i="38"/>
  <c r="I46" i="38"/>
  <c r="Q46" i="38"/>
  <c r="N46" i="38"/>
  <c r="F46" i="38"/>
  <c r="P46" i="38"/>
  <c r="K46" i="38"/>
  <c r="H26" i="38"/>
  <c r="J26" i="38"/>
  <c r="R26" i="38"/>
  <c r="N26" i="38"/>
  <c r="Q26" i="38"/>
  <c r="P26" i="38"/>
  <c r="G26" i="38"/>
  <c r="K26" i="38"/>
  <c r="M26" i="38"/>
  <c r="F26" i="38"/>
  <c r="O26" i="38"/>
  <c r="L26" i="38"/>
  <c r="I26" i="38"/>
  <c r="L29" i="38"/>
  <c r="I29" i="38"/>
  <c r="N29" i="38"/>
  <c r="R29" i="38"/>
  <c r="M29" i="38"/>
  <c r="G29" i="38"/>
  <c r="P29" i="38"/>
  <c r="O29" i="38"/>
  <c r="H29" i="38"/>
  <c r="J29" i="38"/>
  <c r="F29" i="38"/>
  <c r="Q29" i="38"/>
  <c r="K29" i="38"/>
  <c r="H80" i="38"/>
  <c r="L80" i="38"/>
  <c r="O80" i="38"/>
  <c r="M80" i="38"/>
  <c r="N80" i="38"/>
  <c r="K80" i="38"/>
  <c r="R80" i="38"/>
  <c r="F80" i="38"/>
  <c r="I80" i="38"/>
  <c r="Q80" i="38"/>
  <c r="G80" i="38"/>
  <c r="J80" i="38"/>
  <c r="P80" i="38"/>
  <c r="P137" i="37"/>
  <c r="M140" i="37"/>
  <c r="R142" i="37"/>
  <c r="C66" i="38"/>
  <c r="C45" i="38"/>
  <c r="C80" i="38"/>
  <c r="C50" i="38"/>
  <c r="C78" i="38"/>
  <c r="C71" i="38"/>
  <c r="C22" i="38"/>
  <c r="C73" i="38"/>
  <c r="C51" i="38"/>
  <c r="C42" i="38"/>
  <c r="C23" i="38"/>
  <c r="C62" i="38"/>
  <c r="C54" i="38"/>
  <c r="C27" i="38"/>
  <c r="C37" i="38"/>
  <c r="C60" i="38"/>
  <c r="C44" i="38"/>
  <c r="C43" i="38"/>
  <c r="C46" i="38"/>
  <c r="C24" i="38"/>
  <c r="C74" i="38"/>
  <c r="C76" i="38"/>
  <c r="C57" i="38"/>
  <c r="C64" i="38"/>
  <c r="C26" i="38"/>
  <c r="C30" i="38"/>
  <c r="C49" i="38"/>
  <c r="C48" i="38"/>
  <c r="C70" i="38"/>
  <c r="C47" i="38"/>
  <c r="C69" i="38"/>
  <c r="C79" i="38"/>
  <c r="C28" i="38"/>
  <c r="C55" i="38"/>
  <c r="C38" i="38"/>
  <c r="C72" i="38"/>
  <c r="C53" i="38"/>
  <c r="C36" i="38"/>
  <c r="C33" i="38"/>
  <c r="C31" i="38"/>
  <c r="C67" i="38"/>
  <c r="C32" i="38"/>
  <c r="C29" i="38"/>
  <c r="C61" i="38"/>
  <c r="C35" i="38"/>
  <c r="C59" i="38"/>
  <c r="C75" i="38"/>
  <c r="C40" i="38"/>
  <c r="C77" i="38"/>
  <c r="C63" i="38"/>
  <c r="C58" i="38"/>
  <c r="C68" i="38"/>
  <c r="C56" i="38"/>
  <c r="C34" i="38"/>
  <c r="C41" i="38"/>
  <c r="C39" i="38"/>
  <c r="C52" i="38"/>
  <c r="C25" i="38"/>
  <c r="C65" i="38"/>
  <c r="F136" i="37"/>
  <c r="I134" i="37"/>
  <c r="O137" i="37"/>
  <c r="M145" i="37"/>
  <c r="F141" i="37"/>
  <c r="O148" i="37"/>
  <c r="H144" i="37"/>
  <c r="J147" i="37"/>
  <c r="N143" i="37"/>
  <c r="G139" i="37"/>
  <c r="M146" i="37"/>
  <c r="Q138" i="37"/>
  <c r="I25" i="38"/>
  <c r="M25" i="38"/>
  <c r="H25" i="38"/>
  <c r="J25" i="38"/>
  <c r="L25" i="38"/>
  <c r="K25" i="38"/>
  <c r="O25" i="38"/>
  <c r="N25" i="38"/>
  <c r="G25" i="38"/>
  <c r="P25" i="38"/>
  <c r="Q25" i="38"/>
  <c r="R25" i="38"/>
  <c r="F25" i="38"/>
  <c r="J66" i="38"/>
  <c r="I66" i="38"/>
  <c r="M66" i="38"/>
  <c r="F66" i="38"/>
  <c r="Q66" i="38"/>
  <c r="O66" i="38"/>
  <c r="H66" i="38"/>
  <c r="G66" i="38"/>
  <c r="N66" i="38"/>
  <c r="L66" i="38"/>
  <c r="P66" i="38"/>
  <c r="R66" i="38"/>
  <c r="K66" i="38"/>
  <c r="K50" i="38"/>
  <c r="M50" i="38"/>
  <c r="Q50" i="38"/>
  <c r="L50" i="38"/>
  <c r="R50" i="38"/>
  <c r="O50" i="38"/>
  <c r="I50" i="38"/>
  <c r="G50" i="38"/>
  <c r="H50" i="38"/>
  <c r="F50" i="38"/>
  <c r="N50" i="38"/>
  <c r="J50" i="38"/>
  <c r="P50" i="38"/>
  <c r="P34" i="38"/>
  <c r="G34" i="38"/>
  <c r="Q34" i="38"/>
  <c r="R34" i="38"/>
  <c r="N34" i="38"/>
  <c r="M34" i="38"/>
  <c r="F34" i="38"/>
  <c r="J34" i="38"/>
  <c r="O34" i="38"/>
  <c r="I34" i="38"/>
  <c r="H34" i="38"/>
  <c r="K34" i="38"/>
  <c r="L34" i="38"/>
  <c r="Q73" i="38"/>
  <c r="R73" i="38"/>
  <c r="M73" i="38"/>
  <c r="H73" i="38"/>
  <c r="L73" i="38"/>
  <c r="J73" i="38"/>
  <c r="P73" i="38"/>
  <c r="G73" i="38"/>
  <c r="O73" i="38"/>
  <c r="K73" i="38"/>
  <c r="F73" i="38"/>
  <c r="I73" i="38"/>
  <c r="N73" i="38"/>
  <c r="Q57" i="38"/>
  <c r="R57" i="38"/>
  <c r="J57" i="38"/>
  <c r="I57" i="38"/>
  <c r="F57" i="38"/>
  <c r="G57" i="38"/>
  <c r="M57" i="38"/>
  <c r="P57" i="38"/>
  <c r="N57" i="38"/>
  <c r="K57" i="38"/>
  <c r="O57" i="38"/>
  <c r="L57" i="38"/>
  <c r="H57" i="38"/>
  <c r="P45" i="38"/>
  <c r="Q45" i="38"/>
  <c r="K45" i="38"/>
  <c r="L45" i="38"/>
  <c r="J45" i="38"/>
  <c r="M45" i="38"/>
  <c r="H45" i="38"/>
  <c r="F45" i="38"/>
  <c r="G45" i="38"/>
  <c r="I45" i="38"/>
  <c r="N45" i="38"/>
  <c r="R45" i="38"/>
  <c r="O45" i="38"/>
  <c r="G23" i="38"/>
  <c r="K23" i="38"/>
  <c r="L23" i="38"/>
  <c r="I23" i="38"/>
  <c r="F23" i="38"/>
  <c r="H23" i="38"/>
  <c r="N23" i="38"/>
  <c r="P23" i="38"/>
  <c r="R23" i="38"/>
  <c r="M23" i="38"/>
  <c r="J23" i="38"/>
  <c r="Q23" i="38"/>
  <c r="O23" i="38"/>
  <c r="O56" i="38"/>
  <c r="N56" i="38"/>
  <c r="H56" i="38"/>
  <c r="P56" i="38"/>
  <c r="K56" i="38"/>
  <c r="L56" i="38"/>
  <c r="Q56" i="38"/>
  <c r="M56" i="38"/>
  <c r="J56" i="38"/>
  <c r="I56" i="38"/>
  <c r="R56" i="38"/>
  <c r="G56" i="38"/>
  <c r="F56" i="38"/>
  <c r="I27" i="38"/>
  <c r="P27" i="38"/>
  <c r="M27" i="38"/>
  <c r="F27" i="38"/>
  <c r="J27" i="38"/>
  <c r="R27" i="38"/>
  <c r="H27" i="38"/>
  <c r="L27" i="38"/>
  <c r="G27" i="38"/>
  <c r="N27" i="38"/>
  <c r="K27" i="38"/>
  <c r="Q27" i="38"/>
  <c r="O27" i="38"/>
  <c r="M42" i="38"/>
  <c r="N42" i="38"/>
  <c r="O42" i="38"/>
  <c r="I42" i="38"/>
  <c r="Q42" i="38"/>
  <c r="R42" i="38"/>
  <c r="K42" i="38"/>
  <c r="L42" i="38"/>
  <c r="H42" i="38"/>
  <c r="G42" i="38"/>
  <c r="F42" i="38"/>
  <c r="P42" i="38"/>
  <c r="J42" i="38"/>
  <c r="O77" i="38"/>
  <c r="L77" i="38"/>
  <c r="R77" i="38"/>
  <c r="P77" i="38"/>
  <c r="H77" i="38"/>
  <c r="Q77" i="38"/>
  <c r="M77" i="38"/>
  <c r="I77" i="38"/>
  <c r="K77" i="38"/>
  <c r="J77" i="38"/>
  <c r="N77" i="38"/>
  <c r="F77" i="38"/>
  <c r="G77" i="38"/>
  <c r="R61" i="38"/>
  <c r="G61" i="38"/>
  <c r="J61" i="38"/>
  <c r="N61" i="38"/>
  <c r="M61" i="38"/>
  <c r="I61" i="38"/>
  <c r="H61" i="38"/>
  <c r="P61" i="38"/>
  <c r="F61" i="38"/>
  <c r="L61" i="38"/>
  <c r="K61" i="38"/>
  <c r="O61" i="38"/>
  <c r="Q61" i="38"/>
  <c r="J38" i="38"/>
  <c r="R38" i="38"/>
  <c r="L38" i="38"/>
  <c r="Q38" i="38"/>
  <c r="H38" i="38"/>
  <c r="M38" i="38"/>
  <c r="P38" i="38"/>
  <c r="F38" i="38"/>
  <c r="K38" i="38"/>
  <c r="O38" i="38"/>
  <c r="G38" i="38"/>
  <c r="N38" i="38"/>
  <c r="I38" i="38"/>
  <c r="I33" i="38"/>
  <c r="J33" i="38"/>
  <c r="G33" i="38"/>
  <c r="Q33" i="38"/>
  <c r="R33" i="38"/>
  <c r="K33" i="38"/>
  <c r="M33" i="38"/>
  <c r="L33" i="38"/>
  <c r="H33" i="38"/>
  <c r="O33" i="38"/>
  <c r="N33" i="38"/>
  <c r="F33" i="38"/>
  <c r="P33" i="38"/>
  <c r="G64" i="38"/>
  <c r="F64" i="38"/>
  <c r="R64" i="38"/>
  <c r="I64" i="38"/>
  <c r="O64" i="38"/>
  <c r="Q64" i="38"/>
  <c r="J64" i="38"/>
  <c r="N64" i="38"/>
  <c r="P64" i="38"/>
  <c r="K64" i="38"/>
  <c r="H64" i="38"/>
  <c r="M64" i="38"/>
  <c r="L64" i="38"/>
  <c r="R36" i="38"/>
  <c r="N36" i="38"/>
  <c r="L36" i="38"/>
  <c r="I36" i="38"/>
  <c r="J36" i="38"/>
  <c r="K36" i="38"/>
  <c r="H36" i="38"/>
  <c r="Q36" i="38"/>
  <c r="G36" i="38"/>
  <c r="P36" i="38"/>
  <c r="F36" i="38"/>
  <c r="M36" i="38"/>
  <c r="O36" i="38"/>
  <c r="O135" i="37"/>
  <c r="I136" i="37"/>
  <c r="F149" i="37"/>
  <c r="F137" i="37"/>
  <c r="Q145" i="37"/>
  <c r="J141" i="37"/>
  <c r="G144" i="37"/>
  <c r="F140" i="37"/>
  <c r="R147" i="37"/>
  <c r="L143" i="37"/>
  <c r="P139" i="37"/>
  <c r="Q142" i="37"/>
  <c r="N138" i="37"/>
  <c r="F135" i="37"/>
  <c r="P136" i="37"/>
  <c r="J149" i="37"/>
  <c r="L137" i="37"/>
  <c r="K145" i="37"/>
  <c r="Q148" i="37"/>
  <c r="K144" i="37"/>
  <c r="N140" i="37"/>
  <c r="F147" i="37"/>
  <c r="O139" i="37"/>
  <c r="G146" i="37"/>
  <c r="P142" i="37"/>
  <c r="O138" i="37"/>
  <c r="J135" i="37"/>
  <c r="L135" i="37"/>
  <c r="Q135" i="37"/>
  <c r="H136" i="37"/>
  <c r="N136" i="37"/>
  <c r="R136" i="37"/>
  <c r="M134" i="37"/>
  <c r="K134" i="37"/>
  <c r="Q149" i="37"/>
  <c r="K149" i="37"/>
  <c r="R149" i="37"/>
  <c r="I137" i="37"/>
  <c r="J137" i="37"/>
  <c r="R137" i="37"/>
  <c r="O145" i="37"/>
  <c r="H145" i="37"/>
  <c r="G145" i="37"/>
  <c r="P145" i="37"/>
  <c r="N141" i="37"/>
  <c r="Q141" i="37"/>
  <c r="K141" i="37"/>
  <c r="F148" i="37"/>
  <c r="K148" i="37"/>
  <c r="R148" i="37"/>
  <c r="L144" i="37"/>
  <c r="P144" i="37"/>
  <c r="R144" i="37"/>
  <c r="L140" i="37"/>
  <c r="J140" i="37"/>
  <c r="I140" i="37"/>
  <c r="H140" i="37"/>
  <c r="M147" i="37"/>
  <c r="Q147" i="37"/>
  <c r="K147" i="37"/>
  <c r="J143" i="37"/>
  <c r="R143" i="37"/>
  <c r="F143" i="37"/>
  <c r="J139" i="37"/>
  <c r="N139" i="37"/>
  <c r="L139" i="37"/>
  <c r="L146" i="37"/>
  <c r="N146" i="37"/>
  <c r="I146" i="37"/>
  <c r="H146" i="37"/>
  <c r="L142" i="37"/>
  <c r="F142" i="37"/>
  <c r="M142" i="37"/>
  <c r="J138" i="37"/>
  <c r="K138" i="37"/>
  <c r="F138" i="37"/>
  <c r="N135" i="37"/>
  <c r="H135" i="37"/>
  <c r="M135" i="37"/>
  <c r="K136" i="37"/>
  <c r="J136" i="37"/>
  <c r="L136" i="37"/>
  <c r="G136" i="37"/>
  <c r="J134" i="37"/>
  <c r="H134" i="37"/>
  <c r="G149" i="37"/>
  <c r="P149" i="37"/>
  <c r="I149" i="37"/>
  <c r="M137" i="37"/>
  <c r="Q137" i="37"/>
  <c r="N137" i="37"/>
  <c r="I145" i="37"/>
  <c r="F145" i="37"/>
  <c r="L145" i="37"/>
  <c r="R141" i="37"/>
  <c r="M141" i="37"/>
  <c r="G141" i="37"/>
  <c r="P141" i="37"/>
  <c r="G148" i="37"/>
  <c r="P148" i="37"/>
  <c r="M148" i="37"/>
  <c r="Q144" i="37"/>
  <c r="N144" i="37"/>
  <c r="J144" i="37"/>
  <c r="Q140" i="37"/>
  <c r="K140" i="37"/>
  <c r="O140" i="37"/>
  <c r="O147" i="37"/>
  <c r="H147" i="37"/>
  <c r="G147" i="37"/>
  <c r="P147" i="37"/>
  <c r="M143" i="37"/>
  <c r="Q143" i="37"/>
  <c r="K143" i="37"/>
  <c r="I139" i="37"/>
  <c r="R139" i="37"/>
  <c r="F139" i="37"/>
  <c r="J146" i="37"/>
  <c r="K146" i="37"/>
  <c r="O146" i="37"/>
  <c r="G142" i="37"/>
  <c r="N142" i="37"/>
  <c r="I142" i="37"/>
  <c r="H142" i="37"/>
  <c r="G138" i="37"/>
  <c r="P138" i="37"/>
  <c r="M138" i="37"/>
  <c r="K135" i="37"/>
  <c r="I135" i="37"/>
  <c r="P135" i="37"/>
  <c r="M136" i="37"/>
  <c r="O136" i="37"/>
  <c r="Q136" i="37"/>
  <c r="L134" i="37"/>
  <c r="G134" i="37"/>
  <c r="M149" i="37"/>
  <c r="L149" i="37"/>
  <c r="N149" i="37"/>
  <c r="O149" i="37"/>
  <c r="H137" i="37"/>
  <c r="G137" i="37"/>
  <c r="K137" i="37"/>
  <c r="R145" i="37"/>
  <c r="J145" i="37"/>
  <c r="N145" i="37"/>
  <c r="O141" i="37"/>
  <c r="H141" i="37"/>
  <c r="L141" i="37"/>
  <c r="L148" i="37"/>
  <c r="J148" i="37"/>
  <c r="I148" i="37"/>
  <c r="H148" i="37"/>
  <c r="F144" i="37"/>
  <c r="I144" i="37"/>
  <c r="M144" i="37"/>
  <c r="G140" i="37"/>
  <c r="P140" i="37"/>
  <c r="R140" i="37"/>
  <c r="I147" i="37"/>
  <c r="N147" i="37"/>
  <c r="L147" i="37"/>
  <c r="I143" i="37"/>
  <c r="H143" i="37"/>
  <c r="G143" i="37"/>
  <c r="P143" i="37"/>
  <c r="M139" i="37"/>
  <c r="Q139" i="37"/>
  <c r="K139" i="37"/>
  <c r="Q146" i="37"/>
  <c r="P146" i="37"/>
  <c r="R146" i="37"/>
  <c r="J142" i="37"/>
  <c r="K142" i="37"/>
  <c r="O142" i="37"/>
  <c r="L138" i="37"/>
  <c r="R138" i="37"/>
  <c r="I138" i="37"/>
  <c r="H138" i="37"/>
  <c r="S50" i="38"/>
  <c r="S73" i="38"/>
  <c r="S62" i="38"/>
  <c r="S60" i="38"/>
  <c r="S24" i="38"/>
  <c r="S64" i="38"/>
  <c r="S48" i="38"/>
  <c r="S79" i="38"/>
  <c r="S72" i="38"/>
  <c r="S31" i="38"/>
  <c r="S61" i="38"/>
  <c r="S40" i="38"/>
  <c r="S68" i="38"/>
  <c r="S39" i="38"/>
  <c r="S46" i="38"/>
  <c r="S38" i="38"/>
  <c r="S75" i="38"/>
  <c r="S41" i="38"/>
  <c r="S66" i="38"/>
  <c r="S78" i="38"/>
  <c r="S51" i="38"/>
  <c r="S54" i="38"/>
  <c r="S44" i="38"/>
  <c r="S74" i="38"/>
  <c r="S26" i="38"/>
  <c r="S70" i="38"/>
  <c r="S28" i="38"/>
  <c r="S53" i="38"/>
  <c r="S67" i="38"/>
  <c r="S35" i="38" a="1"/>
  <c r="S77" i="38"/>
  <c r="S56" i="38"/>
  <c r="S52" i="38"/>
  <c r="S22" i="38"/>
  <c r="S57" i="38"/>
  <c r="S29" i="38"/>
  <c r="S45" i="38"/>
  <c r="S71" i="38"/>
  <c r="S42" i="38"/>
  <c r="S27" i="38"/>
  <c r="S43" i="38"/>
  <c r="S76" i="38"/>
  <c r="S30" i="38"/>
  <c r="S47" i="38"/>
  <c r="S55" i="38"/>
  <c r="S36" i="38"/>
  <c r="S32" i="38"/>
  <c r="S59" i="38"/>
  <c r="S63" i="38"/>
  <c r="S34" i="38"/>
  <c r="S25" i="38"/>
  <c r="S80" i="38"/>
  <c r="S23" i="38"/>
  <c r="S37" i="38"/>
  <c r="S49" i="38"/>
  <c r="S69" i="38"/>
  <c r="S33" i="38"/>
  <c r="S58" i="38"/>
  <c r="S65" i="38"/>
  <c r="S35" i="38" l="1"/>
  <c r="E65" i="38"/>
  <c r="E58" i="38"/>
  <c r="E33" i="38"/>
  <c r="E69" i="38"/>
  <c r="E49" i="38"/>
  <c r="E37" i="38"/>
  <c r="E23" i="38"/>
  <c r="E80" i="38"/>
  <c r="E25" i="38"/>
  <c r="E34" i="38"/>
  <c r="E63" i="38"/>
  <c r="E59" i="38"/>
  <c r="E32" i="38"/>
  <c r="E36" i="38"/>
  <c r="E55" i="38"/>
  <c r="E47" i="38"/>
  <c r="E30" i="38"/>
  <c r="E76" i="38"/>
  <c r="E43" i="38"/>
  <c r="E27" i="38"/>
  <c r="E42" i="38"/>
  <c r="E71" i="38"/>
  <c r="E45" i="38"/>
  <c r="E29" i="38"/>
  <c r="E57" i="38"/>
  <c r="E22" i="38"/>
  <c r="E52" i="38"/>
  <c r="E56" i="38"/>
  <c r="E77" i="38"/>
  <c r="E35" i="38"/>
  <c r="E67" i="38"/>
  <c r="E53" i="38"/>
  <c r="E28" i="38"/>
  <c r="E70" i="38"/>
  <c r="E26" i="38"/>
  <c r="E74" i="38"/>
  <c r="E44" i="38"/>
  <c r="E54" i="38"/>
  <c r="E51" i="38"/>
  <c r="E78" i="38"/>
  <c r="E66" i="38"/>
  <c r="E41" i="38"/>
  <c r="E75" i="38"/>
  <c r="E38" i="38"/>
  <c r="E46" i="38"/>
  <c r="E39" i="38"/>
  <c r="E68" i="38"/>
  <c r="E40" i="38"/>
  <c r="E61" i="38"/>
  <c r="E31" i="38"/>
  <c r="E72" i="38"/>
  <c r="E79" i="38"/>
  <c r="E48" i="38"/>
  <c r="E64" i="38"/>
  <c r="E24" i="38"/>
  <c r="E60" i="38"/>
  <c r="E62" i="38"/>
  <c r="E73" i="38"/>
  <c r="E50" i="38"/>
</calcChain>
</file>

<file path=xl/comments1.xml><?xml version="1.0" encoding="utf-8"?>
<comments xmlns="http://schemas.openxmlformats.org/spreadsheetml/2006/main">
  <authors>
    <author>Ferdinando Ametrano</author>
  </authors>
  <commentList>
    <comment ref="C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8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8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H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8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9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2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6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7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5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5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5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5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5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80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30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G130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H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36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40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41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</commentList>
</comments>
</file>

<file path=xl/sharedStrings.xml><?xml version="1.0" encoding="utf-8"?>
<sst xmlns="http://schemas.openxmlformats.org/spreadsheetml/2006/main" count="1061" uniqueCount="171">
  <si>
    <t>Clear Repository</t>
  </si>
  <si>
    <t>Eval.Date</t>
  </si>
  <si>
    <t>RateHelpers</t>
  </si>
  <si>
    <t>BootstrapIndex</t>
  </si>
  <si>
    <t>ObjectID</t>
  </si>
  <si>
    <t>Quote</t>
  </si>
  <si>
    <t>Period</t>
  </si>
  <si>
    <t>FixingDays</t>
  </si>
  <si>
    <t>Calendar</t>
  </si>
  <si>
    <t>Convention</t>
  </si>
  <si>
    <t>EndofMonth</t>
  </si>
  <si>
    <t>DayCounter</t>
  </si>
  <si>
    <t>Deposits</t>
  </si>
  <si>
    <t>Error</t>
  </si>
  <si>
    <t>Tenor</t>
  </si>
  <si>
    <t>FL Feq.</t>
  </si>
  <si>
    <t>FL Convention</t>
  </si>
  <si>
    <t>FL DCC</t>
  </si>
  <si>
    <t>IBOR Index</t>
  </si>
  <si>
    <t>Spread</t>
  </si>
  <si>
    <t>FW Start</t>
  </si>
  <si>
    <t>BSDiscountCurve</t>
  </si>
  <si>
    <t>Swaps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</si>
  <si>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</si>
  <si>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</si>
  <si>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</si>
  <si>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</si>
  <si>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</si>
  <si>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</si>
  <si>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</si>
  <si>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</si>
  <si>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</si>
  <si>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</si>
  <si>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</si>
  <si>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</si>
  <si>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</si>
  <si>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</si>
  <si>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Dates</t>
  </si>
  <si>
    <t>6M</t>
  </si>
  <si>
    <t>TARGET</t>
  </si>
  <si>
    <t>Modified Following</t>
  </si>
  <si>
    <t>Actual/360</t>
  </si>
  <si>
    <t>Target</t>
  </si>
  <si>
    <t>Annual</t>
  </si>
  <si>
    <t>30/360 (Bond Basis)</t>
  </si>
  <si>
    <t>0D</t>
  </si>
  <si>
    <t>3M</t>
  </si>
  <si>
    <t>18M</t>
  </si>
  <si>
    <t>12Y</t>
  </si>
  <si>
    <t>Yield Curve Stripping</t>
  </si>
  <si>
    <t>SwapEngine</t>
  </si>
  <si>
    <t>6M-EUR-Swap-Curve</t>
  </si>
  <si>
    <t>NDays (advance)</t>
  </si>
  <si>
    <t>DCC</t>
  </si>
  <si>
    <t>Actual/365 (Fixed)</t>
  </si>
  <si>
    <t>Jumps</t>
  </si>
  <si>
    <t>JumpDates</t>
  </si>
  <si>
    <t>Accuracy</t>
  </si>
  <si>
    <t>Permanent</t>
  </si>
  <si>
    <t>Traits</t>
  </si>
  <si>
    <t>ZeroYield</t>
  </si>
  <si>
    <t>Trigger</t>
  </si>
  <si>
    <t>Interpolator</t>
  </si>
  <si>
    <t>Linear</t>
  </si>
  <si>
    <t>OverWrite</t>
  </si>
  <si>
    <t>Resulting Curve</t>
  </si>
  <si>
    <t>Values</t>
  </si>
  <si>
    <t>Euribor-Index</t>
  </si>
  <si>
    <t>6M-Euribor</t>
  </si>
  <si>
    <t>FwdCurve</t>
  </si>
  <si>
    <t>1D</t>
  </si>
  <si>
    <t>EUR 6M Curve</t>
  </si>
  <si>
    <t>EUR 3M Curve</t>
  </si>
  <si>
    <t>3M-EUR-Swap-Curve</t>
  </si>
  <si>
    <t>3M-Euribor</t>
  </si>
  <si>
    <t>EUR OIS Curve</t>
  </si>
  <si>
    <t>EONIA-Curve</t>
  </si>
  <si>
    <t>Eonia</t>
  </si>
  <si>
    <t>Eonia-Index</t>
  </si>
  <si>
    <t>Swap Index</t>
  </si>
  <si>
    <t>ATM</t>
  </si>
  <si>
    <t>3m</t>
  </si>
  <si>
    <t>6m</t>
  </si>
  <si>
    <t>1m</t>
  </si>
  <si>
    <t>2m</t>
  </si>
  <si>
    <t>4m</t>
  </si>
  <si>
    <t>5m</t>
  </si>
  <si>
    <t>7m</t>
  </si>
  <si>
    <t>8m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</si>
  <si>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</si>
  <si>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</si>
  <si>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</si>
  <si>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</si>
  <si>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</si>
  <si>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</si>
  <si>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</si>
  <si>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</si>
  <si>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</si>
  <si>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</si>
  <si>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</si>
  <si>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11y</t>
  </si>
  <si>
    <t>12y</t>
  </si>
  <si>
    <t>20y</t>
  </si>
  <si>
    <t>25y</t>
  </si>
  <si>
    <t>30y</t>
  </si>
  <si>
    <t>35y</t>
  </si>
  <si>
    <t>10M</t>
  </si>
  <si>
    <t>11M</t>
  </si>
  <si>
    <t>11Y</t>
  </si>
  <si>
    <t>=ohRepositoryDeleteAllObjects(TRUE)</t>
  </si>
  <si>
    <t>Adapter</t>
  </si>
  <si>
    <t>1w</t>
  </si>
  <si>
    <t>Schedule</t>
  </si>
  <si>
    <t>IborLeg</t>
  </si>
  <si>
    <t>9m</t>
  </si>
  <si>
    <t>10m</t>
  </si>
  <si>
    <t>11m</t>
  </si>
  <si>
    <t>15m</t>
  </si>
  <si>
    <t>18m</t>
  </si>
  <si>
    <t>21m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</si>
  <si>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</si>
  <si>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</si>
  <si>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</si>
  <si>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</si>
  <si>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</si>
  <si>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</si>
  <si>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</si>
  <si>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</si>
  <si>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</si>
  <si>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</si>
  <si>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</si>
  <si>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</si>
  <si>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</si>
  <si>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</si>
  <si>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</si>
  <si>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</si>
  <si>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2w</t>
  </si>
  <si>
    <t>3w</t>
  </si>
  <si>
    <t>15M</t>
  </si>
  <si>
    <t>21M</t>
  </si>
  <si>
    <t>40Y</t>
  </si>
  <si>
    <t>50Y</t>
  </si>
  <si>
    <t>EUR_6M_CAP_SP</t>
  </si>
  <si>
    <t>STK</t>
  </si>
  <si>
    <t/>
  </si>
  <si>
    <t>EUR_6M_FLR_SP</t>
  </si>
  <si>
    <t>0.25</t>
  </si>
  <si>
    <t>0.50</t>
  </si>
  <si>
    <t>1.00</t>
  </si>
  <si>
    <t>1.50</t>
  </si>
  <si>
    <t>2.00</t>
  </si>
  <si>
    <t>3.00</t>
  </si>
  <si>
    <t>5.00</t>
  </si>
  <si>
    <t>EUR_CAPFLR_NV</t>
  </si>
  <si>
    <t>-0.5</t>
  </si>
  <si>
    <t>-0.25</t>
  </si>
  <si>
    <t>-0.13</t>
  </si>
  <si>
    <t>0.00</t>
  </si>
  <si>
    <t>0.13</t>
  </si>
  <si>
    <t>10.0</t>
  </si>
  <si>
    <t>12m</t>
  </si>
  <si>
    <t>Instrument</t>
  </si>
  <si>
    <t>Spot Premium</t>
  </si>
  <si>
    <t>QL CapFloor</t>
  </si>
  <si>
    <t>QL Premium</t>
  </si>
  <si>
    <t>[Mkt - Mdl]</t>
  </si>
  <si>
    <t>QL Cap Surface</t>
  </si>
  <si>
    <t>QL Caplets</t>
  </si>
  <si>
    <t>Term(Y)</t>
  </si>
  <si>
    <t>Forward</t>
  </si>
  <si>
    <t>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</si>
</sst>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164" formatCode="0.0000%"/>
    <numFmt numFmtId="165" formatCode="0.000%"/>
    <numFmt numFmtId="166" formatCode="#,##0.0000"/>
    <numFmt numFmtId="167" formatCode="0.0000"/>
    <numFmt numFmtId="168" formatCode="&quot;\&quot;#,##0.00;[Red]&quot;\&quot;\-#,##0.00"/>
    <numFmt numFmtId="169" formatCode="0.0000000000000%"/>
    <numFmt numFmtId="170" formatCode="0\ 00\ 000\ 000"/>
    <numFmt numFmtId="171" formatCode="_-* #,##0\ _B_F_-;\-* #,##0\ _B_F_-;_-* &quot;-&quot;\ _B_F_-;_-@_-"/>
    <numFmt numFmtId="172" formatCode="_-* #,##0.00_-;\-* #,##0.00_-;_-* &quot;-&quot;??_-;_-@_-"/>
    <numFmt numFmtId="173" formatCode="_(&quot;$&quot;* #,##0.00_);_(&quot;$&quot;* \(#,##0.00\);_(&quot;$&quot;* &quot;-&quot;??_);_(@_)"/>
    <numFmt numFmtId="174" formatCode="dd\-mmm\-yy_)"/>
    <numFmt numFmtId="175" formatCode="dd\ mmmyy\ hh:mm"/>
    <numFmt numFmtId="176" formatCode="_-[$€-2]* #,##0.00_-;\-[$€-2]* #,##0.00_-;_-[$€-2]* &quot;-&quot;??_-"/>
    <numFmt numFmtId="177" formatCode="0.00000000"/>
    <numFmt numFmtId="178" formatCode="_-* #,##0\ _F_-;\-* #,##0\ _F_-;_-* &quot;-&quot;\ _F_-;_-@_-"/>
    <numFmt numFmtId="179" formatCode="_-* #,##0.00\ _F_-;\-* #,##0.00\ _F_-;_-* &quot;-&quot;??\ _F_-;_-@_-"/>
    <numFmt numFmtId="180" formatCode="_-* #,##0\ &quot;F&quot;_-;\-* #,##0\ &quot;F&quot;_-;_-* &quot;-&quot;\ &quot;F&quot;_-;_-@_-"/>
    <numFmt numFmtId="181" formatCode="_-* #,##0.00\ &quot;F&quot;_-;\-* #,##0.00\ &quot;F&quot;_-;_-* &quot;-&quot;??\ &quot;F&quot;_-;_-@_-"/>
    <numFmt numFmtId="182" formatCode="0.000000%"/>
    <numFmt numFmtId="183" formatCode="0.0&quot; X EBITDA&quot;"/>
    <numFmt numFmtId="184" formatCode="0.00_)"/>
    <numFmt numFmtId="185" formatCode="[Blue]#,##0;[Red]\-#,##0"/>
    <numFmt numFmtId="186" formatCode="\+#,##0.00;\-#,##0.00"/>
    <numFmt numFmtId="187" formatCode="#,##0&quot;  &quot;"/>
    <numFmt numFmtId="188" formatCode="#,##0.0;\-#,##0.0"/>
    <numFmt numFmtId="189" formatCode="&quot;\&quot;#,##0;[Red]&quot;\&quot;\-#,##0"/>
    <numFmt numFmtId="190" formatCode="#,##0.0"/>
  </numFmts>
  <fonts count="127"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8"/>
      <color indexed="56"/>
      <name val="Cambria"/>
      <family val="2"/>
    </font>
    <font>
      <b/>
      <sz val="10"/>
      <name val="Arial"/>
      <family val="2"/>
    </font>
    <font>
      <b/>
      <sz val="10"/>
      <color indexed="20"/>
      <name val="Arial"/>
      <family val="2"/>
    </font>
    <font>
      <sz val="10"/>
      <color indexed="8"/>
      <name val="Arial"/>
      <family val="2"/>
    </font>
    <font>
      <b/>
      <sz val="10"/>
      <color indexed="36"/>
      <name val="Arial"/>
      <family val="2"/>
    </font>
    <font>
      <b/>
      <sz val="10"/>
      <color indexed="8"/>
      <name val="Arial"/>
      <family val="2"/>
    </font>
    <font>
      <sz val="10"/>
      <color indexed="17"/>
      <name val="Arial"/>
      <family val="2"/>
    </font>
    <font>
      <sz val="10"/>
      <color indexed="36"/>
      <name val="Arial"/>
      <family val="2"/>
    </font>
    <font>
      <sz val="10"/>
      <color indexed="12"/>
      <name val="Arial"/>
      <family val="2"/>
    </font>
    <font>
      <sz val="10"/>
      <color indexed="20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0"/>
      <color rgb="FF00B050"/>
      <name val="Arial"/>
      <family val="2"/>
    </font>
    <font>
      <sz val="10"/>
      <color rgb="FF0070C0"/>
      <name val="Arial"/>
      <family val="2"/>
    </font>
    <font>
      <sz val="10"/>
      <color rgb="FF7030A0"/>
      <name val="Arial"/>
      <family val="2"/>
    </font>
    <font>
      <b/>
      <sz val="10"/>
      <color rgb="FF7030A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Courier"/>
      <family val="3"/>
    </font>
    <font>
      <b/>
      <sz val="11"/>
      <name val="Arial"/>
      <family val="2"/>
    </font>
    <font>
      <sz val="11"/>
      <name val="MS P????"/>
      <family val="3"/>
    </font>
    <font>
      <sz val="10"/>
      <color indexed="9"/>
      <name val="Arial"/>
      <family val="2"/>
    </font>
    <font>
      <sz val="10"/>
      <color indexed="10"/>
      <name val="Helv"/>
    </font>
    <font>
      <sz val="10"/>
      <name val="MS Sans Serif"/>
      <family val="2"/>
    </font>
    <font>
      <b/>
      <sz val="10"/>
      <color indexed="63"/>
      <name val="Arial"/>
      <family val="2"/>
    </font>
    <font>
      <sz val="9"/>
      <name val="Times New Roman"/>
      <family val="1"/>
    </font>
    <font>
      <sz val="10"/>
      <color indexed="10"/>
      <name val="MS Sans Serif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b/>
      <sz val="10"/>
      <color indexed="52"/>
      <name val="Arial"/>
      <family val="2"/>
    </font>
    <font>
      <sz val="10"/>
      <color indexed="56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9"/>
      <color indexed="12"/>
      <name val="Tahoma"/>
      <family val="2"/>
    </font>
    <font>
      <sz val="10"/>
      <name val="Times New Roman"/>
      <family val="1"/>
    </font>
    <font>
      <sz val="8"/>
      <name val="Palatino"/>
      <family val="1"/>
    </font>
    <font>
      <sz val="12"/>
      <color indexed="8"/>
      <name val="Courier"/>
      <family val="3"/>
    </font>
    <font>
      <sz val="10"/>
      <name val="Helv"/>
    </font>
    <font>
      <sz val="8"/>
      <name val="Arial MT"/>
    </font>
    <font>
      <b/>
      <sz val="9"/>
      <name val="Tahoma"/>
      <family val="2"/>
    </font>
    <font>
      <sz val="10"/>
      <color indexed="62"/>
      <name val="Arial"/>
      <family val="2"/>
    </font>
    <font>
      <i/>
      <sz val="10"/>
      <color indexed="23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7"/>
      <name val="Palatino"/>
      <family val="1"/>
    </font>
    <font>
      <b/>
      <sz val="9"/>
      <color indexed="23"/>
      <name val="Arial"/>
      <family val="2"/>
    </font>
    <font>
      <b/>
      <sz val="9"/>
      <color indexed="42"/>
      <name val="Tahoma"/>
      <family val="2"/>
    </font>
    <font>
      <b/>
      <sz val="12"/>
      <name val="Arial"/>
      <family val="2"/>
    </font>
    <font>
      <b/>
      <sz val="10"/>
      <color indexed="8"/>
      <name val="MS Sans Serif"/>
      <family val="2"/>
    </font>
    <font>
      <b/>
      <sz val="10"/>
      <color indexed="22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0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b/>
      <sz val="9"/>
      <color indexed="63"/>
      <name val="Tahoma"/>
      <family val="2"/>
    </font>
    <font>
      <sz val="8"/>
      <name val="Helv"/>
    </font>
    <font>
      <b/>
      <sz val="12"/>
      <color indexed="20"/>
      <name val="Tahoma"/>
      <family val="2"/>
    </font>
    <font>
      <sz val="12"/>
      <name val="Arial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9"/>
      <color indexed="52"/>
      <name val="Arial"/>
      <family val="2"/>
    </font>
    <font>
      <b/>
      <sz val="9"/>
      <color indexed="16"/>
      <name val="Verdana"/>
      <family val="2"/>
    </font>
    <font>
      <sz val="10"/>
      <color indexed="16"/>
      <name val="Helvetica-Black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0"/>
      <color indexed="17"/>
      <name val="MS Sans Serif"/>
      <family val="2"/>
    </font>
    <font>
      <b/>
      <sz val="12"/>
      <name val="Helv"/>
    </font>
    <font>
      <sz val="8"/>
      <color indexed="18"/>
      <name val="Helvetica"/>
      <family val="2"/>
    </font>
    <font>
      <sz val="8.5"/>
      <color indexed="8"/>
      <name val="MS Sans Serif"/>
      <family val="2"/>
    </font>
    <font>
      <b/>
      <sz val="8"/>
      <name val="Tahoma"/>
      <family val="2"/>
    </font>
    <font>
      <b/>
      <sz val="6"/>
      <name val="Helv"/>
    </font>
    <font>
      <b/>
      <sz val="9"/>
      <name val="Times New Roman"/>
      <family val="1"/>
    </font>
    <font>
      <sz val="8"/>
      <color indexed="12"/>
      <name val="MS Sans Serif"/>
      <family val="2"/>
    </font>
    <font>
      <b/>
      <i/>
      <sz val="8"/>
      <name val="Helv"/>
      <family val="2"/>
    </font>
    <font>
      <b/>
      <sz val="8"/>
      <color indexed="12"/>
      <name val="Arial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9"/>
      <name val="NewsGoth Lt BT"/>
      <family val="2"/>
    </font>
    <font>
      <sz val="7.5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1"/>
      <color indexed="10"/>
      <name val="Arial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18"/>
      <color indexed="62"/>
      <name val="Cambria"/>
      <family val="1"/>
    </font>
    <font>
      <b/>
      <sz val="8"/>
      <name val="Helv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18"/>
      <name val="Cambria"/>
      <family val="2"/>
    </font>
    <font>
      <sz val="8"/>
      <color indexed="10"/>
      <name val="Arial Narrow"/>
      <family val="2"/>
    </font>
    <font>
      <sz val="10"/>
      <color indexed="52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color rgb="FFFF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</patternFill>
    </fill>
    <fill>
      <patternFill patternType="solid">
        <fgColor indexed="8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mediumGray"/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mediumGray">
        <fgColor indexed="17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lightGray"/>
    </fill>
  </fills>
  <borders count="5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8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64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4" borderId="0" applyNumberFormat="0" applyBorder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21" borderId="0" applyNumberFormat="0" applyBorder="0" applyAlignment="0" applyProtection="0"/>
    <xf numFmtId="0" fontId="11" fillId="0" borderId="0"/>
    <xf numFmtId="0" fontId="11" fillId="0" borderId="0">
      <alignment horizontal="left" wrapText="1"/>
    </xf>
    <xf numFmtId="0" fontId="1" fillId="22" borderId="6" applyNumberFormat="0" applyFon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>
      <alignment vertical="center"/>
    </xf>
    <xf numFmtId="0" fontId="11" fillId="0" borderId="0"/>
    <xf numFmtId="0" fontId="33" fillId="0" borderId="0">
      <alignment vertical="center"/>
    </xf>
    <xf numFmtId="0" fontId="11" fillId="0" borderId="0"/>
    <xf numFmtId="0" fontId="35" fillId="0" borderId="0"/>
    <xf numFmtId="168" fontId="35" fillId="0" borderId="0" applyFon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0" fontId="30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/>
    <xf numFmtId="0" fontId="11" fillId="0" borderId="0" applyNumberFormat="0" applyFill="0" applyBorder="0" applyAlignment="0" applyProtection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/>
    <xf numFmtId="0" fontId="11" fillId="0" borderId="0" applyFont="0" applyFill="0" applyBorder="0" applyAlignment="0" applyProtection="0"/>
    <xf numFmtId="0" fontId="33" fillId="0" borderId="0">
      <alignment vertical="center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5" fillId="0" borderId="0">
      <alignment vertical="top"/>
    </xf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/>
    <xf numFmtId="0" fontId="11" fillId="0" borderId="0"/>
    <xf numFmtId="0" fontId="11" fillId="0" borderId="0"/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/>
    <xf numFmtId="0" fontId="11" fillId="0" borderId="0">
      <alignment horizontal="left" wrapText="1"/>
    </xf>
    <xf numFmtId="0" fontId="33" fillId="0" borderId="0">
      <alignment vertical="center"/>
    </xf>
    <xf numFmtId="0" fontId="11" fillId="0" borderId="0"/>
    <xf numFmtId="0" fontId="11" fillId="0" borderId="0">
      <alignment horizontal="left" wrapText="1"/>
    </xf>
    <xf numFmtId="0" fontId="11" fillId="0" borderId="0"/>
    <xf numFmtId="0" fontId="11" fillId="0" borderId="0">
      <alignment horizontal="left" wrapText="1"/>
    </xf>
    <xf numFmtId="0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 applyFont="0" applyFill="0" applyBorder="0" applyAlignment="0" applyProtection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4" fontId="37" fillId="0" borderId="7">
      <alignment horizontal="center"/>
      <protection locked="0"/>
    </xf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39" fontId="38" fillId="30" borderId="0" applyFont="0" applyFill="0" applyBorder="0" applyAlignment="0" applyProtection="0"/>
    <xf numFmtId="0" fontId="39" fillId="32" borderId="34" applyNumberFormat="0" applyAlignment="0" applyProtection="0"/>
    <xf numFmtId="0" fontId="40" fillId="0" borderId="0"/>
    <xf numFmtId="0" fontId="41" fillId="33" borderId="0" applyAlignment="0"/>
    <xf numFmtId="0" fontId="42" fillId="23" borderId="0"/>
    <xf numFmtId="0" fontId="43" fillId="34" borderId="0">
      <alignment vertical="center"/>
    </xf>
    <xf numFmtId="0" fontId="11" fillId="30" borderId="0"/>
    <xf numFmtId="0" fontId="44" fillId="32" borderId="35" applyNumberFormat="0" applyAlignment="0" applyProtection="0"/>
    <xf numFmtId="169" fontId="11" fillId="0" borderId="0" applyFont="0" applyFill="0" applyBorder="0" applyAlignment="0" applyProtection="0"/>
    <xf numFmtId="10" fontId="45" fillId="0" borderId="0" applyNumberFormat="0"/>
    <xf numFmtId="0" fontId="46" fillId="35" borderId="0">
      <alignment horizontal="left"/>
    </xf>
    <xf numFmtId="2" fontId="47" fillId="30" borderId="18" applyProtection="0">
      <alignment horizontal="left"/>
      <protection locked="0"/>
    </xf>
    <xf numFmtId="0" fontId="48" fillId="0" borderId="0" applyNumberFormat="0" applyFill="0" applyBorder="0" applyAlignment="0" applyProtection="0"/>
    <xf numFmtId="0" fontId="49" fillId="36" borderId="0"/>
    <xf numFmtId="170" fontId="18" fillId="0" borderId="18" applyBorder="0">
      <alignment horizontal="center" vertical="center"/>
    </xf>
    <xf numFmtId="171" fontId="50" fillId="0" borderId="0"/>
    <xf numFmtId="0" fontId="51" fillId="0" borderId="0" applyFont="0" applyFill="0" applyBorder="0" applyAlignment="0" applyProtection="0">
      <alignment horizontal="right"/>
    </xf>
    <xf numFmtId="172" fontId="30" fillId="0" borderId="0" applyFont="0" applyFill="0" applyBorder="0" applyAlignment="0" applyProtection="0"/>
    <xf numFmtId="3" fontId="52" fillId="0" borderId="0">
      <protection locked="0"/>
    </xf>
    <xf numFmtId="0" fontId="53" fillId="0" borderId="36"/>
    <xf numFmtId="0" fontId="52" fillId="0" borderId="0">
      <protection locked="0"/>
    </xf>
    <xf numFmtId="173" fontId="11" fillId="0" borderId="0" applyFont="0" applyFill="0" applyBorder="0" applyAlignment="0" applyProtection="0"/>
    <xf numFmtId="0" fontId="42" fillId="31" borderId="0">
      <protection locked="0"/>
    </xf>
    <xf numFmtId="0" fontId="11" fillId="37" borderId="0" applyNumberFormat="0" applyBorder="0" applyAlignment="0" applyProtection="0"/>
    <xf numFmtId="174" fontId="54" fillId="0" borderId="0"/>
    <xf numFmtId="0" fontId="51" fillId="0" borderId="0" applyFont="0" applyFill="0" applyBorder="0" applyAlignment="0" applyProtection="0"/>
    <xf numFmtId="0" fontId="29" fillId="30" borderId="0">
      <alignment horizontal="left"/>
    </xf>
    <xf numFmtId="174" fontId="54" fillId="0" borderId="0"/>
    <xf numFmtId="14" fontId="11" fillId="0" borderId="0"/>
    <xf numFmtId="175" fontId="55" fillId="36" borderId="0" applyFont="0" applyFill="0" applyBorder="0" applyAlignment="0" applyProtection="0">
      <alignment vertical="center"/>
    </xf>
    <xf numFmtId="15" fontId="32" fillId="0" borderId="0">
      <alignment horizontal="right"/>
    </xf>
    <xf numFmtId="0" fontId="15" fillId="0" borderId="0">
      <alignment horizontal="right"/>
    </xf>
    <xf numFmtId="0" fontId="51" fillId="0" borderId="37" applyNumberFormat="0" applyFont="0" applyFill="0" applyAlignment="0" applyProtection="0"/>
    <xf numFmtId="0" fontId="56" fillId="7" borderId="35" applyNumberFormat="0" applyAlignment="0" applyProtection="0"/>
    <xf numFmtId="0" fontId="17" fillId="0" borderId="38" applyNumberFormat="0" applyFill="0" applyAlignment="0" applyProtection="0"/>
    <xf numFmtId="0" fontId="57" fillId="0" borderId="0" applyNumberFormat="0" applyFill="0" applyBorder="0" applyAlignment="0" applyProtection="0"/>
    <xf numFmtId="176" fontId="11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Protection="0"/>
    <xf numFmtId="0" fontId="30" fillId="0" borderId="0" applyProtection="0"/>
    <xf numFmtId="0" fontId="60" fillId="0" borderId="0" applyProtection="0"/>
    <xf numFmtId="0" fontId="58" fillId="0" borderId="0" applyProtection="0"/>
    <xf numFmtId="0" fontId="61" fillId="0" borderId="0" applyProtection="0"/>
    <xf numFmtId="0" fontId="62" fillId="0" borderId="0" applyProtection="0"/>
    <xf numFmtId="0" fontId="63" fillId="0" borderId="0" applyProtection="0"/>
    <xf numFmtId="0" fontId="52" fillId="0" borderId="0">
      <protection locked="0"/>
    </xf>
    <xf numFmtId="2" fontId="64" fillId="0" borderId="20">
      <alignment horizontal="center"/>
    </xf>
    <xf numFmtId="0" fontId="65" fillId="0" borderId="0" applyFill="0" applyBorder="0" applyProtection="0">
      <alignment horizontal="left"/>
    </xf>
    <xf numFmtId="177" fontId="38" fillId="30" borderId="0" applyFont="0" applyFill="0" applyBorder="0" applyAlignment="0" applyProtection="0"/>
    <xf numFmtId="2" fontId="66" fillId="30" borderId="18" applyProtection="0">
      <alignment horizontal="left"/>
      <protection locked="0"/>
    </xf>
    <xf numFmtId="0" fontId="13" fillId="25" borderId="29" applyAlignment="0" applyProtection="0"/>
    <xf numFmtId="0" fontId="18" fillId="4" borderId="0" applyNumberFormat="0" applyBorder="0" applyAlignment="0" applyProtection="0"/>
    <xf numFmtId="0" fontId="67" fillId="38" borderId="0"/>
    <xf numFmtId="0" fontId="68" fillId="0" borderId="39" applyNumberFormat="0" applyAlignment="0" applyProtection="0">
      <alignment horizontal="left" vertical="center"/>
    </xf>
    <xf numFmtId="0" fontId="68" fillId="0" borderId="29">
      <alignment horizontal="left" vertical="center"/>
    </xf>
    <xf numFmtId="0" fontId="69" fillId="23" borderId="0" applyNumberFormat="0" applyBorder="0" applyAlignment="0" applyProtection="0"/>
    <xf numFmtId="17" fontId="70" fillId="39" borderId="0" applyNumberFormat="0" applyFill="0">
      <alignment horizontal="left"/>
    </xf>
    <xf numFmtId="0" fontId="71" fillId="40" borderId="0" applyNumberFormat="0" applyBorder="0">
      <alignment horizontal="right" vertical="center"/>
    </xf>
    <xf numFmtId="19" fontId="71" fillId="40" borderId="40" applyNumberFormat="0" applyBorder="0">
      <alignment horizontal="left" vertical="center"/>
    </xf>
    <xf numFmtId="2" fontId="72" fillId="41" borderId="0">
      <alignment horizontal="center" vertical="center"/>
    </xf>
    <xf numFmtId="2" fontId="72" fillId="41" borderId="19" applyBorder="0">
      <alignment horizontal="left" vertical="center"/>
    </xf>
    <xf numFmtId="0" fontId="71" fillId="40" borderId="0">
      <alignment horizontal="right" vertical="center"/>
    </xf>
    <xf numFmtId="19" fontId="31" fillId="40" borderId="31" applyNumberFormat="0" applyBorder="0">
      <alignment horizontal="left" vertical="center" indent="1"/>
    </xf>
    <xf numFmtId="2" fontId="73" fillId="41" borderId="16" applyBorder="0">
      <alignment horizontal="left" vertical="center" indent="1"/>
    </xf>
    <xf numFmtId="2" fontId="73" fillId="41" borderId="41" applyBorder="0">
      <alignment horizontal="center" vertical="center"/>
    </xf>
    <xf numFmtId="2" fontId="11" fillId="42" borderId="28" applyBorder="0">
      <alignment horizontal="left" vertical="center" indent="1"/>
    </xf>
    <xf numFmtId="0" fontId="11" fillId="42" borderId="0">
      <alignment horizontal="right" vertical="center"/>
    </xf>
    <xf numFmtId="2" fontId="11" fillId="42" borderId="40" applyNumberFormat="0" applyBorder="0">
      <alignment horizontal="right" vertical="center"/>
    </xf>
    <xf numFmtId="2" fontId="74" fillId="43" borderId="31" applyBorder="0">
      <alignment horizontal="left" vertical="center" indent="1"/>
    </xf>
    <xf numFmtId="2" fontId="74" fillId="43" borderId="0">
      <alignment horizontal="right" vertical="center"/>
    </xf>
    <xf numFmtId="2" fontId="74" fillId="43" borderId="19" applyBorder="0">
      <alignment horizontal="left" vertical="center"/>
    </xf>
    <xf numFmtId="2" fontId="74" fillId="43" borderId="20" applyBorder="0">
      <alignment horizontal="center" vertical="center"/>
    </xf>
    <xf numFmtId="19" fontId="31" fillId="44" borderId="42" applyNumberFormat="0" applyBorder="0">
      <alignment horizontal="left" vertical="center"/>
    </xf>
    <xf numFmtId="15" fontId="31" fillId="44" borderId="41" applyNumberFormat="0" applyBorder="0">
      <alignment horizontal="right" vertical="center"/>
    </xf>
    <xf numFmtId="19" fontId="31" fillId="44" borderId="43" applyNumberFormat="0" applyBorder="0">
      <alignment horizontal="right" vertical="center"/>
    </xf>
    <xf numFmtId="2" fontId="73" fillId="45" borderId="44" applyBorder="0">
      <alignment horizontal="left" vertical="center" indent="1"/>
    </xf>
    <xf numFmtId="2" fontId="73" fillId="45" borderId="19" applyNumberFormat="0">
      <alignment horizontal="center" vertical="center"/>
    </xf>
    <xf numFmtId="2" fontId="73" fillId="45" borderId="19" applyNumberFormat="0" applyBorder="0">
      <alignment horizontal="left" vertical="center"/>
    </xf>
    <xf numFmtId="2" fontId="11" fillId="46" borderId="43" applyNumberFormat="0" applyBorder="0">
      <alignment horizontal="right" vertical="center"/>
    </xf>
    <xf numFmtId="0" fontId="75" fillId="0" borderId="0"/>
    <xf numFmtId="38" fontId="61" fillId="0" borderId="0"/>
    <xf numFmtId="38" fontId="76" fillId="0" borderId="0"/>
    <xf numFmtId="38" fontId="77" fillId="0" borderId="0"/>
    <xf numFmtId="38" fontId="63" fillId="0" borderId="0"/>
    <xf numFmtId="0" fontId="64" fillId="0" borderId="0"/>
    <xf numFmtId="0" fontId="64" fillId="0" borderId="0"/>
    <xf numFmtId="0" fontId="78" fillId="23" borderId="0"/>
    <xf numFmtId="3" fontId="11" fillId="0" borderId="0"/>
    <xf numFmtId="0" fontId="79" fillId="47" borderId="0" applyFill="0" applyBorder="0">
      <protection hidden="1"/>
    </xf>
    <xf numFmtId="0" fontId="80" fillId="27" borderId="45">
      <protection locked="0"/>
    </xf>
    <xf numFmtId="0" fontId="30" fillId="0" borderId="0"/>
    <xf numFmtId="0" fontId="30" fillId="23" borderId="0"/>
    <xf numFmtId="178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80" fontId="81" fillId="0" borderId="0" applyFont="0" applyFill="0" applyBorder="0" applyAlignment="0" applyProtection="0"/>
    <xf numFmtId="181" fontId="81" fillId="0" borderId="0" applyFont="0" applyFill="0" applyBorder="0" applyAlignment="0" applyProtection="0"/>
    <xf numFmtId="182" fontId="11" fillId="0" borderId="0">
      <alignment horizontal="right"/>
    </xf>
    <xf numFmtId="183" fontId="81" fillId="0" borderId="0" applyFont="0">
      <protection locked="0"/>
    </xf>
    <xf numFmtId="0" fontId="82" fillId="23" borderId="46" applyNumberFormat="0" applyFont="0" applyFill="0" applyAlignment="0" applyProtection="0">
      <alignment horizontal="center"/>
    </xf>
    <xf numFmtId="0" fontId="11" fillId="0" borderId="0" applyNumberFormat="0" applyFont="0" applyFill="0" applyBorder="0" applyAlignment="0"/>
    <xf numFmtId="37" fontId="83" fillId="0" borderId="0"/>
    <xf numFmtId="184" fontId="8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8" fillId="0" borderId="0"/>
    <xf numFmtId="0" fontId="11" fillId="0" borderId="0"/>
    <xf numFmtId="0" fontId="11" fillId="0" borderId="0"/>
    <xf numFmtId="0" fontId="3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22" borderId="22" applyNumberFormat="0" applyFont="0" applyAlignment="0" applyProtection="0"/>
    <xf numFmtId="37" fontId="11" fillId="0" borderId="0"/>
    <xf numFmtId="0" fontId="13" fillId="48" borderId="47" applyNumberFormat="0" applyBorder="0">
      <alignment horizontal="left" vertical="center"/>
    </xf>
    <xf numFmtId="2" fontId="13" fillId="48" borderId="19" applyNumberFormat="0" applyBorder="0">
      <alignment horizontal="left" vertical="center"/>
    </xf>
    <xf numFmtId="2" fontId="74" fillId="43" borderId="48" applyNumberFormat="0" applyBorder="0">
      <alignment horizontal="left" vertical="center"/>
    </xf>
    <xf numFmtId="2" fontId="74" fillId="43" borderId="19" applyNumberFormat="0" applyBorder="0">
      <alignment horizontal="left" vertical="center"/>
    </xf>
    <xf numFmtId="2" fontId="85" fillId="30" borderId="49">
      <alignment horizontal="left"/>
    </xf>
    <xf numFmtId="19" fontId="11" fillId="49" borderId="17" applyNumberFormat="0" applyBorder="0">
      <alignment horizontal="left" vertical="center" indent="1"/>
    </xf>
    <xf numFmtId="0" fontId="11" fillId="49" borderId="0">
      <alignment horizontal="right" vertical="center"/>
    </xf>
    <xf numFmtId="19" fontId="11" fillId="49" borderId="43" applyNumberFormat="0" applyBorder="0">
      <alignment horizontal="right" vertical="center"/>
    </xf>
    <xf numFmtId="2" fontId="86" fillId="50" borderId="16" applyBorder="0">
      <alignment horizontal="left" vertical="center" indent="1"/>
    </xf>
    <xf numFmtId="2" fontId="86" fillId="50" borderId="0">
      <alignment horizontal="center" vertical="center"/>
    </xf>
    <xf numFmtId="2" fontId="86" fillId="50" borderId="21">
      <alignment horizontal="left" vertical="center"/>
    </xf>
    <xf numFmtId="1" fontId="87" fillId="0" borderId="0" applyProtection="0">
      <alignment horizontal="right" vertical="center"/>
    </xf>
    <xf numFmtId="0" fontId="11" fillId="51" borderId="0" applyNumberFormat="0" applyFont="0" applyBorder="0" applyAlignment="0" applyProtection="0">
      <protection hidden="1"/>
    </xf>
    <xf numFmtId="0" fontId="88" fillId="34" borderId="20">
      <alignment horizontal="center"/>
    </xf>
    <xf numFmtId="9" fontId="50" fillId="0" borderId="0" applyFont="0" applyFill="0" applyBorder="0" applyAlignment="0" applyProtection="0"/>
    <xf numFmtId="10" fontId="50" fillId="0" borderId="0" applyFont="0" applyFill="0" applyBorder="0" applyAlignment="0" applyProtection="0"/>
    <xf numFmtId="165" fontId="89" fillId="37" borderId="0" applyNumberFormat="0" applyBorder="0">
      <alignment horizontal="right" vertical="center"/>
    </xf>
    <xf numFmtId="0" fontId="90" fillId="52" borderId="20" applyNumberFormat="0">
      <alignment horizontal="center" vertical="center"/>
    </xf>
    <xf numFmtId="0" fontId="90" fillId="52" borderId="0" applyNumberFormat="0" applyBorder="0">
      <alignment horizontal="left" vertical="center" indent="1"/>
    </xf>
    <xf numFmtId="185" fontId="11" fillId="0" borderId="0"/>
    <xf numFmtId="0" fontId="31" fillId="30" borderId="16">
      <alignment horizontal="center"/>
    </xf>
    <xf numFmtId="0" fontId="91" fillId="39" borderId="0" applyNumberFormat="0" applyAlignment="0" applyProtection="0"/>
    <xf numFmtId="0" fontId="55" fillId="36" borderId="0"/>
    <xf numFmtId="38" fontId="92" fillId="0" borderId="0"/>
    <xf numFmtId="3" fontId="93" fillId="0" borderId="50">
      <alignment horizontal="center"/>
      <protection locked="0"/>
    </xf>
    <xf numFmtId="0" fontId="49" fillId="26" borderId="0"/>
    <xf numFmtId="0" fontId="11" fillId="29" borderId="51" applyNumberFormat="0" applyProtection="0">
      <alignment horizontal="left" vertical="center" indent="1"/>
    </xf>
    <xf numFmtId="0" fontId="11" fillId="0" borderId="0" applyNumberFormat="0" applyFont="0" applyFill="0" applyBorder="0" applyAlignment="0" applyProtection="0"/>
    <xf numFmtId="0" fontId="21" fillId="3" borderId="0" applyNumberFormat="0" applyBorder="0" applyAlignment="0" applyProtection="0"/>
    <xf numFmtId="15" fontId="94" fillId="30" borderId="0" applyBorder="0" applyAlignment="0" applyProtection="0">
      <alignment horizontal="right"/>
    </xf>
    <xf numFmtId="0" fontId="95" fillId="0" borderId="0"/>
    <xf numFmtId="166" fontId="96" fillId="0" borderId="0"/>
    <xf numFmtId="38" fontId="97" fillId="0" borderId="0"/>
    <xf numFmtId="186" fontId="98" fillId="53" borderId="0">
      <alignment horizontal="center" vertical="center"/>
      <protection locked="0"/>
    </xf>
    <xf numFmtId="0" fontId="15" fillId="0" borderId="0"/>
    <xf numFmtId="0" fontId="38" fillId="0" borderId="0"/>
    <xf numFmtId="0" fontId="11" fillId="0" borderId="0">
      <alignment horizontal="left" wrapText="1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horizontal="left" wrapText="1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9" fillId="0" borderId="0"/>
    <xf numFmtId="0" fontId="100" fillId="0" borderId="0"/>
    <xf numFmtId="0" fontId="101" fillId="0" borderId="52" applyNumberFormat="0" applyAlignment="0" applyProtection="0">
      <alignment horizontal="left" vertical="top"/>
    </xf>
    <xf numFmtId="0" fontId="101" fillId="0" borderId="0" applyNumberFormat="0" applyProtection="0">
      <alignment horizontal="right" vertical="top"/>
    </xf>
    <xf numFmtId="0" fontId="11" fillId="0" borderId="0" applyNumberFormat="0" applyFont="0" applyAlignment="0" applyProtection="0"/>
    <xf numFmtId="0" fontId="102" fillId="0" borderId="0" applyNumberFormat="0" applyFill="0" applyBorder="0" applyProtection="0"/>
    <xf numFmtId="0" fontId="103" fillId="0" borderId="0" applyNumberFormat="0" applyFill="0" applyBorder="0" applyProtection="0">
      <alignment vertical="top"/>
    </xf>
    <xf numFmtId="0" fontId="104" fillId="0" borderId="29" applyNumberFormat="0" applyProtection="0">
      <alignment horizontal="left" vertical="top"/>
    </xf>
    <xf numFmtId="0" fontId="104" fillId="0" borderId="29" applyNumberFormat="0" applyProtection="0">
      <alignment horizontal="right" vertical="top"/>
    </xf>
    <xf numFmtId="0" fontId="101" fillId="0" borderId="0" applyNumberFormat="0" applyProtection="0">
      <alignment horizontal="left" vertical="top"/>
    </xf>
    <xf numFmtId="0" fontId="105" fillId="0" borderId="0" applyNumberFormat="0" applyProtection="0">
      <alignment horizontal="left" vertical="top"/>
    </xf>
    <xf numFmtId="0" fontId="105" fillId="0" borderId="0" applyNumberFormat="0" applyProtection="0">
      <alignment horizontal="right" vertical="top"/>
    </xf>
    <xf numFmtId="0" fontId="11" fillId="0" borderId="53" applyNumberFormat="0" applyFont="0" applyAlignment="0" applyProtection="0"/>
    <xf numFmtId="0" fontId="11" fillId="0" borderId="54" applyNumberFormat="0" applyFont="0" applyAlignment="0" applyProtection="0"/>
    <xf numFmtId="0" fontId="11" fillId="0" borderId="55" applyNumberFormat="0" applyFont="0" applyAlignment="0" applyProtection="0"/>
    <xf numFmtId="10" fontId="106" fillId="0" borderId="0" applyNumberFormat="0" applyFill="0" applyBorder="0" applyProtection="0">
      <alignment horizontal="right" vertical="top"/>
    </xf>
    <xf numFmtId="0" fontId="101" fillId="0" borderId="29" applyNumberFormat="0" applyFill="0" applyAlignment="0" applyProtection="0"/>
    <xf numFmtId="0" fontId="105" fillId="0" borderId="30" applyNumberFormat="0" applyFont="0" applyFill="0" applyAlignment="0" applyProtection="0">
      <alignment horizontal="left" vertical="top"/>
    </xf>
    <xf numFmtId="0" fontId="101" fillId="0" borderId="32" applyNumberFormat="0" applyFill="0" applyAlignment="0" applyProtection="0">
      <alignment vertical="top"/>
    </xf>
    <xf numFmtId="0" fontId="107" fillId="0" borderId="0" applyBorder="0" applyProtection="0">
      <alignment vertical="center"/>
    </xf>
    <xf numFmtId="0" fontId="107" fillId="0" borderId="32" applyBorder="0" applyProtection="0">
      <alignment horizontal="right" vertical="center"/>
    </xf>
    <xf numFmtId="0" fontId="108" fillId="54" borderId="0" applyBorder="0" applyProtection="0">
      <alignment horizontal="centerContinuous" vertical="center"/>
    </xf>
    <xf numFmtId="0" fontId="108" fillId="55" borderId="32" applyBorder="0" applyProtection="0">
      <alignment horizontal="centerContinuous" vertical="center"/>
    </xf>
    <xf numFmtId="0" fontId="29" fillId="0" borderId="0" applyBorder="0" applyProtection="0">
      <alignment horizontal="left"/>
    </xf>
    <xf numFmtId="0" fontId="109" fillId="0" borderId="0" applyFill="0" applyBorder="0" applyProtection="0">
      <alignment horizontal="left"/>
    </xf>
    <xf numFmtId="0" fontId="65" fillId="0" borderId="16" applyFill="0" applyBorder="0" applyProtection="0">
      <alignment horizontal="left" vertical="top"/>
    </xf>
    <xf numFmtId="2" fontId="11" fillId="38" borderId="19" applyNumberFormat="0" applyBorder="0">
      <alignment horizontal="right" vertical="center"/>
    </xf>
    <xf numFmtId="2" fontId="11" fillId="38" borderId="0">
      <alignment horizontal="right" vertical="center"/>
    </xf>
    <xf numFmtId="2" fontId="74" fillId="56" borderId="20">
      <alignment horizontal="center" vertical="center"/>
    </xf>
    <xf numFmtId="2" fontId="74" fillId="56" borderId="0" applyNumberFormat="0" applyBorder="0">
      <alignment horizontal="left" vertical="center"/>
    </xf>
    <xf numFmtId="187" fontId="110" fillId="0" borderId="49">
      <alignment vertical="center"/>
    </xf>
    <xf numFmtId="0" fontId="111" fillId="0" borderId="0">
      <alignment horizontal="center"/>
    </xf>
    <xf numFmtId="0" fontId="112" fillId="0" borderId="0"/>
    <xf numFmtId="0" fontId="113" fillId="0" borderId="0" applyNumberFormat="0" applyFill="0" applyBorder="0" applyAlignment="0" applyProtection="0"/>
    <xf numFmtId="38" fontId="114" fillId="57" borderId="7"/>
    <xf numFmtId="0" fontId="12" fillId="0" borderId="0" applyNumberFormat="0" applyFill="0" applyBorder="0" applyAlignment="0" applyProtection="0"/>
    <xf numFmtId="0" fontId="115" fillId="0" borderId="2" applyNumberFormat="0" applyFill="0" applyAlignment="0" applyProtection="0"/>
    <xf numFmtId="0" fontId="116" fillId="0" borderId="3" applyNumberFormat="0" applyFill="0" applyAlignment="0" applyProtection="0"/>
    <xf numFmtId="0" fontId="117" fillId="0" borderId="4" applyNumberFormat="0" applyFill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81" fillId="0" borderId="0"/>
    <xf numFmtId="0" fontId="119" fillId="0" borderId="0">
      <alignment vertical="top"/>
    </xf>
    <xf numFmtId="0" fontId="11" fillId="28" borderId="0" applyNumberFormat="0" applyBorder="0" applyAlignment="0">
      <protection locked="0"/>
    </xf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1" fillId="23" borderId="0"/>
    <xf numFmtId="0" fontId="120" fillId="0" borderId="5" applyNumberFormat="0" applyFill="0" applyAlignment="0" applyProtection="0"/>
    <xf numFmtId="0" fontId="11" fillId="23" borderId="0" applyNumberFormat="0" applyFont="0" applyFill="0" applyBorder="0" applyProtection="0">
      <alignment horizontal="center" textRotation="90" wrapText="1"/>
    </xf>
    <xf numFmtId="0" fontId="22" fillId="0" borderId="0" applyNumberFormat="0" applyFill="0" applyBorder="0" applyAlignment="0" applyProtection="0"/>
    <xf numFmtId="0" fontId="34" fillId="29" borderId="0">
      <alignment horizontal="right"/>
    </xf>
    <xf numFmtId="0" fontId="38" fillId="32" borderId="0" applyNumberFormat="0" applyFont="0" applyBorder="0" applyAlignment="0" applyProtection="0"/>
    <xf numFmtId="0" fontId="121" fillId="23" borderId="0"/>
    <xf numFmtId="14" fontId="50" fillId="0" borderId="0" applyFont="0" applyFill="0" applyBorder="0" applyProtection="0"/>
    <xf numFmtId="188" fontId="11" fillId="0" borderId="0">
      <alignment horizontal="center"/>
    </xf>
    <xf numFmtId="0" fontId="122" fillId="20" borderId="1" applyNumberFormat="0" applyAlignment="0" applyProtection="0"/>
    <xf numFmtId="9" fontId="11" fillId="0" borderId="0" applyFont="0" applyFill="0" applyBorder="0" applyAlignment="0" applyProtection="0"/>
    <xf numFmtId="0" fontId="123" fillId="0" borderId="0" applyNumberFormat="0" applyFill="0" applyBorder="0" applyAlignment="0" applyProtection="0">
      <alignment vertical="top"/>
      <protection locked="0"/>
    </xf>
    <xf numFmtId="40" fontId="124" fillId="0" borderId="0" applyFont="0" applyFill="0" applyBorder="0" applyAlignment="0" applyProtection="0"/>
    <xf numFmtId="38" fontId="124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8" fillId="0" borderId="0"/>
    <xf numFmtId="0" fontId="125" fillId="0" borderId="0" applyNumberFormat="0" applyFill="0" applyBorder="0" applyAlignment="0" applyProtection="0">
      <alignment vertical="top"/>
      <protection locked="0"/>
    </xf>
    <xf numFmtId="168" fontId="124" fillId="0" borderId="0" applyFont="0" applyFill="0" applyBorder="0" applyAlignment="0" applyProtection="0"/>
    <xf numFmtId="189" fontId="124" fillId="0" borderId="0" applyFont="0" applyFill="0" applyBorder="0" applyAlignment="0" applyProtection="0"/>
  </cellStyleXfs>
  <cellXfs count="178">
    <xf numFmtId="0" fontId="0" fillId="0" borderId="0" xfId="0"/>
    <xf numFmtId="0" fontId="13" fillId="23" borderId="7" xfId="0" applyFont="1" applyFill="1" applyBorder="1" applyAlignment="1">
      <alignment horizontal="left"/>
    </xf>
    <xf numFmtId="0" fontId="14" fillId="24" borderId="7" xfId="0" quotePrefix="1" applyFont="1" applyFill="1" applyBorder="1" applyAlignment="1"/>
    <xf numFmtId="0" fontId="15" fillId="0" borderId="0" xfId="0" applyFont="1"/>
    <xf numFmtId="0" fontId="17" fillId="25" borderId="7" xfId="0" applyFont="1" applyFill="1" applyBorder="1" applyAlignment="1">
      <alignment horizontal="center"/>
    </xf>
    <xf numFmtId="14" fontId="18" fillId="0" borderId="7" xfId="0" applyNumberFormat="1" applyFont="1" applyBorder="1"/>
    <xf numFmtId="0" fontId="13" fillId="0" borderId="0" xfId="0" applyFont="1"/>
    <xf numFmtId="0" fontId="11" fillId="0" borderId="0" xfId="0" applyFont="1"/>
    <xf numFmtId="0" fontId="13" fillId="25" borderId="7" xfId="0" applyFont="1" applyFill="1" applyBorder="1"/>
    <xf numFmtId="0" fontId="19" fillId="0" borderId="7" xfId="0" applyFont="1" applyBorder="1"/>
    <xf numFmtId="0" fontId="13" fillId="23" borderId="8" xfId="0" applyFont="1" applyFill="1" applyBorder="1" applyAlignment="1">
      <alignment horizontal="center"/>
    </xf>
    <xf numFmtId="0" fontId="13" fillId="23" borderId="9" xfId="0" applyFont="1" applyFill="1" applyBorder="1" applyAlignment="1"/>
    <xf numFmtId="0" fontId="13" fillId="23" borderId="10" xfId="0" applyFont="1" applyFill="1" applyBorder="1" applyAlignment="1"/>
    <xf numFmtId="0" fontId="13" fillId="23" borderId="11" xfId="0" applyFont="1" applyFill="1" applyBorder="1" applyAlignment="1">
      <alignment horizontal="center"/>
    </xf>
    <xf numFmtId="0" fontId="13" fillId="23" borderId="12" xfId="0" applyFont="1" applyFill="1" applyBorder="1" applyAlignment="1">
      <alignment horizontal="center"/>
    </xf>
    <xf numFmtId="0" fontId="18" fillId="0" borderId="8" xfId="0" applyFont="1" applyFill="1" applyBorder="1" applyAlignment="1">
      <alignment horizontal="center"/>
    </xf>
    <xf numFmtId="0" fontId="11" fillId="0" borderId="8" xfId="0" applyFont="1" applyBorder="1"/>
    <xf numFmtId="0" fontId="20" fillId="0" borderId="13" xfId="0" applyFont="1" applyFill="1" applyBorder="1" applyAlignment="1">
      <alignment horizontal="center"/>
    </xf>
    <xf numFmtId="0" fontId="21" fillId="24" borderId="8" xfId="0" applyFont="1" applyFill="1" applyBorder="1" applyAlignment="1">
      <alignment horizontal="left"/>
    </xf>
    <xf numFmtId="0" fontId="22" fillId="24" borderId="8" xfId="0" applyFont="1" applyFill="1" applyBorder="1" applyAlignment="1">
      <alignment horizontal="center"/>
    </xf>
    <xf numFmtId="0" fontId="18" fillId="0" borderId="13" xfId="0" applyFont="1" applyFill="1" applyBorder="1" applyAlignment="1">
      <alignment horizontal="center"/>
    </xf>
    <xf numFmtId="0" fontId="18" fillId="0" borderId="13" xfId="0" applyFont="1" applyBorder="1"/>
    <xf numFmtId="0" fontId="21" fillId="24" borderId="13" xfId="0" applyFont="1" applyFill="1" applyBorder="1" applyAlignment="1">
      <alignment horizontal="left"/>
    </xf>
    <xf numFmtId="0" fontId="22" fillId="24" borderId="13" xfId="0" applyFont="1" applyFill="1" applyBorder="1" applyAlignment="1">
      <alignment horizontal="center"/>
    </xf>
    <xf numFmtId="0" fontId="22" fillId="24" borderId="13" xfId="0" applyFont="1" applyFill="1" applyBorder="1" applyAlignment="1">
      <alignment horizontal="left"/>
    </xf>
    <xf numFmtId="0" fontId="18" fillId="0" borderId="12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18" fillId="0" borderId="12" xfId="0" applyFont="1" applyBorder="1"/>
    <xf numFmtId="0" fontId="22" fillId="24" borderId="12" xfId="0" applyFont="1" applyFill="1" applyBorder="1" applyAlignment="1">
      <alignment horizontal="center"/>
    </xf>
    <xf numFmtId="0" fontId="13" fillId="23" borderId="8" xfId="0" applyFont="1" applyFill="1" applyBorder="1" applyAlignment="1">
      <alignment horizontal="left"/>
    </xf>
    <xf numFmtId="0" fontId="14" fillId="24" borderId="8" xfId="0" applyFont="1" applyFill="1" applyBorder="1" applyAlignment="1">
      <alignment horizontal="right"/>
    </xf>
    <xf numFmtId="0" fontId="13" fillId="23" borderId="12" xfId="0" applyFont="1" applyFill="1" applyBorder="1" applyAlignment="1">
      <alignment horizontal="left"/>
    </xf>
    <xf numFmtId="0" fontId="13" fillId="0" borderId="8" xfId="0" applyFont="1" applyBorder="1"/>
    <xf numFmtId="0" fontId="18" fillId="0" borderId="8" xfId="0" applyFont="1" applyBorder="1" applyAlignment="1">
      <alignment horizontal="right"/>
    </xf>
    <xf numFmtId="0" fontId="13" fillId="0" borderId="13" xfId="0" applyFont="1" applyBorder="1"/>
    <xf numFmtId="0" fontId="18" fillId="0" borderId="13" xfId="0" applyFont="1" applyBorder="1" applyAlignment="1">
      <alignment horizontal="right"/>
    </xf>
    <xf numFmtId="0" fontId="18" fillId="0" borderId="13" xfId="0" applyFont="1" applyFill="1" applyBorder="1" applyAlignment="1">
      <alignment horizontal="right"/>
    </xf>
    <xf numFmtId="14" fontId="11" fillId="23" borderId="13" xfId="0" applyNumberFormat="1" applyFont="1" applyFill="1" applyBorder="1" applyAlignment="1">
      <alignment horizontal="right"/>
    </xf>
    <xf numFmtId="0" fontId="13" fillId="0" borderId="13" xfId="0" applyFont="1" applyFill="1" applyBorder="1"/>
    <xf numFmtId="0" fontId="13" fillId="0" borderId="12" xfId="0" applyFont="1" applyBorder="1"/>
    <xf numFmtId="0" fontId="18" fillId="0" borderId="12" xfId="0" applyFont="1" applyBorder="1" applyAlignment="1">
      <alignment horizontal="right"/>
    </xf>
    <xf numFmtId="0" fontId="13" fillId="0" borderId="0" xfId="0" applyFont="1" applyFill="1" applyBorder="1"/>
    <xf numFmtId="0" fontId="13" fillId="23" borderId="7" xfId="0" applyFont="1" applyFill="1" applyBorder="1" applyAlignment="1">
      <alignment horizontal="center"/>
    </xf>
    <xf numFmtId="14" fontId="21" fillId="0" borderId="8" xfId="0" applyNumberFormat="1" applyFont="1" applyBorder="1"/>
    <xf numFmtId="14" fontId="21" fillId="0" borderId="13" xfId="0" applyNumberFormat="1" applyFont="1" applyBorder="1"/>
    <xf numFmtId="14" fontId="21" fillId="0" borderId="12" xfId="0" applyNumberFormat="1" applyFont="1" applyBorder="1"/>
    <xf numFmtId="0" fontId="13" fillId="23" borderId="8" xfId="0" applyFont="1" applyFill="1" applyBorder="1"/>
    <xf numFmtId="0" fontId="13" fillId="23" borderId="13" xfId="0" applyFont="1" applyFill="1" applyBorder="1"/>
    <xf numFmtId="0" fontId="20" fillId="0" borderId="13" xfId="0" applyFont="1" applyBorder="1" applyAlignment="1">
      <alignment horizontal="right"/>
    </xf>
    <xf numFmtId="0" fontId="13" fillId="23" borderId="12" xfId="0" applyFont="1" applyFill="1" applyBorder="1"/>
    <xf numFmtId="0" fontId="17" fillId="0" borderId="0" xfId="0" applyFont="1"/>
    <xf numFmtId="10" fontId="21" fillId="0" borderId="8" xfId="37" applyNumberFormat="1" applyFont="1" applyBorder="1"/>
    <xf numFmtId="10" fontId="21" fillId="0" borderId="13" xfId="37" applyNumberFormat="1" applyFont="1" applyBorder="1"/>
    <xf numFmtId="10" fontId="21" fillId="0" borderId="12" xfId="37" applyNumberFormat="1" applyFont="1" applyBorder="1"/>
    <xf numFmtId="0" fontId="14" fillId="24" borderId="7" xfId="0" applyFont="1" applyFill="1" applyBorder="1" applyAlignment="1">
      <alignment horizontal="right"/>
    </xf>
    <xf numFmtId="14" fontId="11" fillId="0" borderId="0" xfId="0" applyNumberFormat="1" applyFont="1"/>
    <xf numFmtId="10" fontId="15" fillId="0" borderId="0" xfId="37" applyNumberFormat="1" applyFont="1"/>
    <xf numFmtId="165" fontId="21" fillId="0" borderId="8" xfId="37" applyNumberFormat="1" applyFont="1" applyBorder="1"/>
    <xf numFmtId="165" fontId="21" fillId="0" borderId="13" xfId="37" applyNumberFormat="1" applyFont="1" applyBorder="1"/>
    <xf numFmtId="165" fontId="21" fillId="0" borderId="12" xfId="37" applyNumberFormat="1" applyFont="1" applyBorder="1"/>
    <xf numFmtId="0" fontId="21" fillId="24" borderId="12" xfId="0" applyFont="1" applyFill="1" applyBorder="1" applyAlignment="1">
      <alignment horizontal="left"/>
    </xf>
    <xf numFmtId="14" fontId="0" fillId="0" borderId="0" xfId="0" applyNumberFormat="1"/>
    <xf numFmtId="0" fontId="11" fillId="0" borderId="7" xfId="42" applyFont="1" applyBorder="1"/>
    <xf numFmtId="4" fontId="11" fillId="0" borderId="25" xfId="42" applyNumberFormat="1" applyBorder="1" applyAlignment="1">
      <alignment horizontal="center"/>
    </xf>
    <xf numFmtId="4" fontId="11" fillId="0" borderId="29" xfId="42" applyNumberFormat="1" applyBorder="1" applyAlignment="1">
      <alignment horizontal="center"/>
    </xf>
    <xf numFmtId="4" fontId="11" fillId="0" borderId="26" xfId="42" applyNumberFormat="1" applyBorder="1" applyAlignment="1">
      <alignment horizontal="center"/>
    </xf>
    <xf numFmtId="0" fontId="11" fillId="0" borderId="31" xfId="42" applyBorder="1"/>
    <xf numFmtId="4" fontId="11" fillId="0" borderId="27" xfId="42" applyNumberFormat="1" applyBorder="1"/>
    <xf numFmtId="4" fontId="11" fillId="0" borderId="30" xfId="42" applyNumberFormat="1" applyBorder="1"/>
    <xf numFmtId="4" fontId="11" fillId="0" borderId="28" xfId="42" applyNumberFormat="1" applyBorder="1"/>
    <xf numFmtId="0" fontId="11" fillId="0" borderId="17" xfId="42" applyBorder="1"/>
    <xf numFmtId="4" fontId="11" fillId="0" borderId="16" xfId="42" applyNumberFormat="1" applyBorder="1"/>
    <xf numFmtId="4" fontId="11" fillId="0" borderId="0" xfId="42" applyNumberFormat="1" applyBorder="1"/>
    <xf numFmtId="4" fontId="11" fillId="0" borderId="18" xfId="42" applyNumberFormat="1" applyBorder="1"/>
    <xf numFmtId="0" fontId="11" fillId="0" borderId="24" xfId="42" applyBorder="1"/>
    <xf numFmtId="4" fontId="11" fillId="0" borderId="23" xfId="42" applyNumberFormat="1" applyBorder="1"/>
    <xf numFmtId="4" fontId="11" fillId="0" borderId="32" xfId="42" applyNumberFormat="1" applyBorder="1"/>
    <xf numFmtId="4" fontId="11" fillId="0" borderId="33" xfId="42" applyNumberFormat="1" applyBorder="1"/>
    <xf numFmtId="4" fontId="11" fillId="0" borderId="29" xfId="42" applyNumberFormat="1" applyFont="1" applyBorder="1" applyAlignment="1">
      <alignment horizontal="center"/>
    </xf>
    <xf numFmtId="4" fontId="11" fillId="0" borderId="26" xfId="42" applyNumberFormat="1" applyFont="1" applyBorder="1" applyAlignment="1">
      <alignment horizontal="center"/>
    </xf>
    <xf numFmtId="0" fontId="11" fillId="0" borderId="17" xfId="42" applyFont="1" applyBorder="1"/>
    <xf numFmtId="0" fontId="18" fillId="0" borderId="12" xfId="0" applyFont="1" applyFill="1" applyBorder="1"/>
    <xf numFmtId="0" fontId="21" fillId="0" borderId="12" xfId="0" applyFont="1" applyFill="1" applyBorder="1" applyAlignment="1">
      <alignment horizontal="left"/>
    </xf>
    <xf numFmtId="0" fontId="22" fillId="0" borderId="12" xfId="0" applyFont="1" applyFill="1" applyBorder="1" applyAlignment="1">
      <alignment horizontal="center"/>
    </xf>
    <xf numFmtId="4" fontId="11" fillId="0" borderId="49" xfId="42" applyNumberFormat="1" applyBorder="1"/>
    <xf numFmtId="4" fontId="26" fillId="0" borderId="30" xfId="42" applyNumberFormat="1" applyFont="1" applyBorder="1"/>
    <xf numFmtId="4" fontId="26" fillId="0" borderId="0" xfId="42" applyNumberFormat="1" applyFont="1" applyBorder="1"/>
    <xf numFmtId="4" fontId="26" fillId="0" borderId="32" xfId="42" applyNumberFormat="1" applyFont="1" applyBorder="1"/>
    <xf numFmtId="4" fontId="126" fillId="0" borderId="30" xfId="42" applyNumberFormat="1" applyFont="1" applyBorder="1"/>
    <xf numFmtId="4" fontId="126" fillId="0" borderId="28" xfId="42" applyNumberFormat="1" applyFont="1" applyBorder="1"/>
    <xf numFmtId="4" fontId="126" fillId="0" borderId="0" xfId="42" applyNumberFormat="1" applyFont="1" applyBorder="1"/>
    <xf numFmtId="4" fontId="126" fillId="0" borderId="49" xfId="42" applyNumberFormat="1" applyFont="1" applyBorder="1"/>
    <xf numFmtId="4" fontId="126" fillId="0" borderId="32" xfId="42" applyNumberFormat="1" applyFont="1" applyBorder="1"/>
    <xf numFmtId="4" fontId="126" fillId="0" borderId="33" xfId="42" applyNumberFormat="1" applyFont="1" applyBorder="1"/>
    <xf numFmtId="190" fontId="26" fillId="0" borderId="30" xfId="42" applyNumberFormat="1" applyFont="1" applyBorder="1"/>
    <xf numFmtId="190" fontId="126" fillId="0" borderId="30" xfId="42" applyNumberFormat="1" applyFont="1" applyBorder="1"/>
    <xf numFmtId="190" fontId="126" fillId="0" borderId="28" xfId="42" applyNumberFormat="1" applyFont="1" applyBorder="1"/>
    <xf numFmtId="190" fontId="26" fillId="0" borderId="0" xfId="42" applyNumberFormat="1" applyFont="1" applyBorder="1"/>
    <xf numFmtId="190" fontId="126" fillId="0" borderId="0" xfId="42" applyNumberFormat="1" applyFont="1" applyBorder="1"/>
    <xf numFmtId="190" fontId="126" fillId="0" borderId="49" xfId="42" applyNumberFormat="1" applyFont="1" applyBorder="1"/>
    <xf numFmtId="190" fontId="26" fillId="0" borderId="32" xfId="42" applyNumberFormat="1" applyFont="1" applyBorder="1"/>
    <xf numFmtId="190" fontId="126" fillId="0" borderId="32" xfId="42" applyNumberFormat="1" applyFont="1" applyBorder="1"/>
    <xf numFmtId="190" fontId="126" fillId="0" borderId="33" xfId="42" applyNumberFormat="1" applyFont="1" applyBorder="1"/>
    <xf numFmtId="4" fontId="27" fillId="0" borderId="16" xfId="42" applyNumberFormat="1" applyFont="1" applyBorder="1" applyAlignment="1">
      <alignment horizontal="right"/>
    </xf>
    <xf numFmtId="4" fontId="27" fillId="0" borderId="23" xfId="42" applyNumberFormat="1" applyFont="1" applyBorder="1" applyAlignment="1">
      <alignment horizontal="right"/>
    </xf>
    <xf numFmtId="4" fontId="126" fillId="0" borderId="27" xfId="42" applyNumberFormat="1" applyFont="1" applyBorder="1" applyAlignment="1">
      <alignment horizontal="right"/>
    </xf>
    <xf numFmtId="4" fontId="126" fillId="0" borderId="16" xfId="42" applyNumberFormat="1" applyFont="1" applyBorder="1" applyAlignment="1">
      <alignment horizontal="right"/>
    </xf>
    <xf numFmtId="4" fontId="27" fillId="0" borderId="0" xfId="42" applyNumberFormat="1" applyFont="1" applyBorder="1"/>
    <xf numFmtId="4" fontId="27" fillId="0" borderId="32" xfId="42" applyNumberFormat="1" applyFont="1" applyBorder="1"/>
    <xf numFmtId="190" fontId="26" fillId="0" borderId="30" xfId="42" applyNumberFormat="1" applyFont="1" applyBorder="1" applyAlignment="1">
      <alignment horizontal="right"/>
    </xf>
    <xf numFmtId="190" fontId="126" fillId="0" borderId="30" xfId="42" applyNumberFormat="1" applyFont="1" applyBorder="1" applyAlignment="1">
      <alignment horizontal="right"/>
    </xf>
    <xf numFmtId="190" fontId="126" fillId="0" borderId="28" xfId="42" applyNumberFormat="1" applyFont="1" applyBorder="1" applyAlignment="1">
      <alignment horizontal="right"/>
    </xf>
    <xf numFmtId="190" fontId="26" fillId="0" borderId="0" xfId="42" applyNumberFormat="1" applyFont="1" applyBorder="1" applyAlignment="1">
      <alignment horizontal="right"/>
    </xf>
    <xf numFmtId="190" fontId="126" fillId="0" borderId="0" xfId="42" applyNumberFormat="1" applyFont="1" applyBorder="1" applyAlignment="1">
      <alignment horizontal="right"/>
    </xf>
    <xf numFmtId="190" fontId="126" fillId="0" borderId="49" xfId="42" applyNumberFormat="1" applyFont="1" applyBorder="1" applyAlignment="1">
      <alignment horizontal="right"/>
    </xf>
    <xf numFmtId="190" fontId="26" fillId="0" borderId="32" xfId="42" applyNumberFormat="1" applyFont="1" applyBorder="1" applyAlignment="1">
      <alignment horizontal="right"/>
    </xf>
    <xf numFmtId="190" fontId="126" fillId="0" borderId="32" xfId="42" applyNumberFormat="1" applyFont="1" applyBorder="1" applyAlignment="1">
      <alignment horizontal="right"/>
    </xf>
    <xf numFmtId="190" fontId="126" fillId="0" borderId="33" xfId="42" applyNumberFormat="1" applyFont="1" applyBorder="1" applyAlignment="1">
      <alignment horizontal="right"/>
    </xf>
    <xf numFmtId="190" fontId="26" fillId="0" borderId="0" xfId="42" applyNumberFormat="1" applyFont="1" applyFill="1" applyBorder="1" applyAlignment="1">
      <alignment horizontal="right"/>
    </xf>
    <xf numFmtId="4" fontId="26" fillId="0" borderId="0" xfId="42" applyNumberFormat="1" applyFont="1" applyFill="1" applyBorder="1"/>
    <xf numFmtId="0" fontId="11" fillId="0" borderId="25" xfId="42" applyFont="1" applyBorder="1"/>
    <xf numFmtId="4" fontId="28" fillId="0" borderId="27" xfId="42" applyNumberFormat="1" applyFont="1" applyBorder="1" applyAlignment="1">
      <alignment horizontal="center"/>
    </xf>
    <xf numFmtId="0" fontId="27" fillId="0" borderId="25" xfId="42" applyFont="1" applyBorder="1"/>
    <xf numFmtId="10" fontId="27" fillId="0" borderId="29" xfId="37" applyNumberFormat="1" applyFont="1" applyBorder="1" applyAlignment="1">
      <alignment horizontal="center"/>
    </xf>
    <xf numFmtId="10" fontId="27" fillId="0" borderId="26" xfId="37" applyNumberFormat="1" applyFont="1" applyBorder="1" applyAlignment="1">
      <alignment horizontal="center"/>
    </xf>
    <xf numFmtId="10" fontId="27" fillId="0" borderId="27" xfId="37" applyNumberFormat="1" applyFont="1" applyBorder="1"/>
    <xf numFmtId="10" fontId="27" fillId="0" borderId="30" xfId="37" applyNumberFormat="1" applyFont="1" applyBorder="1"/>
    <xf numFmtId="10" fontId="27" fillId="0" borderId="28" xfId="37" applyNumberFormat="1" applyFont="1" applyBorder="1"/>
    <xf numFmtId="10" fontId="27" fillId="0" borderId="16" xfId="37" applyNumberFormat="1" applyFont="1" applyBorder="1"/>
    <xf numFmtId="10" fontId="27" fillId="0" borderId="0" xfId="37" applyNumberFormat="1" applyFont="1" applyBorder="1"/>
    <xf numFmtId="10" fontId="27" fillId="0" borderId="49" xfId="37" applyNumberFormat="1" applyFont="1" applyBorder="1"/>
    <xf numFmtId="10" fontId="27" fillId="0" borderId="23" xfId="37" applyNumberFormat="1" applyFont="1" applyBorder="1"/>
    <xf numFmtId="10" fontId="27" fillId="0" borderId="32" xfId="37" applyNumberFormat="1" applyFont="1" applyBorder="1"/>
    <xf numFmtId="10" fontId="27" fillId="0" borderId="33" xfId="37" applyNumberFormat="1" applyFont="1" applyBorder="1"/>
    <xf numFmtId="14" fontId="27" fillId="0" borderId="31" xfId="42" applyNumberFormat="1" applyFont="1" applyBorder="1"/>
    <xf numFmtId="14" fontId="27" fillId="0" borderId="17" xfId="42" applyNumberFormat="1" applyFont="1" applyBorder="1"/>
    <xf numFmtId="0" fontId="25" fillId="0" borderId="31" xfId="42" applyNumberFormat="1" applyFont="1" applyBorder="1"/>
    <xf numFmtId="0" fontId="25" fillId="0" borderId="17" xfId="42" applyNumberFormat="1" applyFont="1" applyBorder="1"/>
    <xf numFmtId="190" fontId="26" fillId="0" borderId="31" xfId="42" applyNumberFormat="1" applyFont="1" applyBorder="1"/>
    <xf numFmtId="190" fontId="26" fillId="0" borderId="17" xfId="42" applyNumberFormat="1" applyFont="1" applyBorder="1"/>
    <xf numFmtId="190" fontId="26" fillId="0" borderId="24" xfId="42" applyNumberFormat="1" applyFont="1" applyBorder="1"/>
    <xf numFmtId="10" fontId="28" fillId="0" borderId="0" xfId="37" applyNumberFormat="1" applyFont="1" applyBorder="1"/>
    <xf numFmtId="14" fontId="15" fillId="0" borderId="0" xfId="0" applyNumberFormat="1" applyFont="1"/>
    <xf numFmtId="167" fontId="15" fillId="0" borderId="0" xfId="0" applyNumberFormat="1" applyFont="1"/>
    <xf numFmtId="0" fontId="18" fillId="0" borderId="0" xfId="0" applyFont="1" applyFill="1" applyBorder="1" applyAlignment="1">
      <alignment horizontal="center"/>
    </xf>
    <xf numFmtId="10" fontId="18" fillId="0" borderId="0" xfId="37" applyNumberFormat="1" applyFont="1" applyFill="1" applyBorder="1" applyAlignment="1"/>
    <xf numFmtId="0" fontId="20" fillId="0" borderId="0" xfId="0" applyFont="1" applyFill="1" applyBorder="1" applyAlignment="1">
      <alignment horizontal="center"/>
    </xf>
    <xf numFmtId="0" fontId="18" fillId="0" borderId="0" xfId="0" applyFont="1" applyFill="1" applyBorder="1"/>
    <xf numFmtId="0" fontId="21" fillId="0" borderId="0" xfId="0" applyFont="1" applyFill="1" applyBorder="1" applyAlignment="1">
      <alignment horizontal="left"/>
    </xf>
    <xf numFmtId="0" fontId="22" fillId="0" borderId="0" xfId="0" applyFont="1" applyFill="1" applyBorder="1" applyAlignment="1">
      <alignment horizontal="center"/>
    </xf>
    <xf numFmtId="190" fontId="126" fillId="0" borderId="0" xfId="42" applyNumberFormat="1" applyFont="1" applyFill="1" applyBorder="1"/>
    <xf numFmtId="0" fontId="11" fillId="0" borderId="31" xfId="42" applyFont="1" applyBorder="1"/>
    <xf numFmtId="4" fontId="11" fillId="0" borderId="30" xfId="42" applyNumberFormat="1" applyFont="1" applyBorder="1"/>
    <xf numFmtId="4" fontId="11" fillId="0" borderId="28" xfId="42" applyNumberFormat="1" applyFont="1" applyBorder="1"/>
    <xf numFmtId="4" fontId="11" fillId="0" borderId="16" xfId="42" applyNumberFormat="1" applyFont="1" applyBorder="1"/>
    <xf numFmtId="4" fontId="11" fillId="0" borderId="0" xfId="42" applyNumberFormat="1" applyFont="1" applyBorder="1"/>
    <xf numFmtId="4" fontId="11" fillId="0" borderId="18" xfId="42" applyNumberFormat="1" applyFont="1" applyBorder="1"/>
    <xf numFmtId="4" fontId="11" fillId="0" borderId="27" xfId="42" applyNumberFormat="1" applyFont="1" applyBorder="1"/>
    <xf numFmtId="0" fontId="11" fillId="0" borderId="24" xfId="42" applyFont="1" applyBorder="1"/>
    <xf numFmtId="4" fontId="11" fillId="0" borderId="23" xfId="42" applyNumberFormat="1" applyFont="1" applyBorder="1"/>
    <xf numFmtId="4" fontId="11" fillId="0" borderId="32" xfId="42" applyNumberFormat="1" applyFont="1" applyBorder="1"/>
    <xf numFmtId="4" fontId="11" fillId="0" borderId="33" xfId="42" applyNumberFormat="1" applyFont="1" applyBorder="1"/>
    <xf numFmtId="0" fontId="11" fillId="0" borderId="0" xfId="42" applyFont="1" applyFill="1" applyBorder="1"/>
    <xf numFmtId="0" fontId="27" fillId="0" borderId="0" xfId="0" applyFont="1"/>
    <xf numFmtId="0" fontId="17" fillId="0" borderId="7" xfId="0" applyFont="1" applyBorder="1" applyAlignment="1">
      <alignment horizontal="center"/>
    </xf>
    <xf numFmtId="165" fontId="27" fillId="0" borderId="31" xfId="37" applyNumberFormat="1" applyFont="1" applyBorder="1"/>
    <xf numFmtId="165" fontId="27" fillId="0" borderId="17" xfId="37" applyNumberFormat="1" applyFont="1" applyBorder="1"/>
    <xf numFmtId="14" fontId="27" fillId="0" borderId="17" xfId="0" applyNumberFormat="1" applyFont="1" applyBorder="1"/>
    <xf numFmtId="0" fontId="25" fillId="0" borderId="17" xfId="0" applyNumberFormat="1" applyFont="1" applyBorder="1"/>
    <xf numFmtId="14" fontId="27" fillId="0" borderId="24" xfId="0" applyNumberFormat="1" applyFont="1" applyBorder="1"/>
    <xf numFmtId="0" fontId="25" fillId="0" borderId="24" xfId="0" applyNumberFormat="1" applyFont="1" applyBorder="1"/>
    <xf numFmtId="165" fontId="27" fillId="0" borderId="24" xfId="37" applyNumberFormat="1" applyFont="1" applyBorder="1"/>
    <xf numFmtId="164" fontId="25" fillId="0" borderId="8" xfId="37" applyNumberFormat="1" applyFont="1" applyFill="1" applyBorder="1" applyAlignment="1"/>
    <xf numFmtId="164" fontId="25" fillId="0" borderId="13" xfId="37" applyNumberFormat="1" applyFont="1" applyFill="1" applyBorder="1" applyAlignment="1"/>
    <xf numFmtId="164" fontId="25" fillId="0" borderId="12" xfId="37" applyNumberFormat="1" applyFont="1" applyFill="1" applyBorder="1" applyAlignment="1"/>
    <xf numFmtId="10" fontId="25" fillId="0" borderId="12" xfId="37" applyNumberFormat="1" applyFont="1" applyFill="1" applyBorder="1" applyAlignment="1"/>
    <xf numFmtId="0" fontId="16" fillId="25" borderId="15" xfId="0" applyFont="1" applyFill="1" applyBorder="1" applyAlignment="1">
      <alignment horizontal="center"/>
    </xf>
    <xf numFmtId="0" fontId="16" fillId="25" borderId="14" xfId="0" applyFont="1" applyFill="1" applyBorder="1" applyAlignment="1">
      <alignment horizontal="center"/>
    </xf>
  </cellXfs>
  <cellStyles count="646">
    <cellStyle name="%" xfId="44"/>
    <cellStyle name="??" xfId="45"/>
    <cellStyle name="?? [0.00]_APPEND" xfId="46"/>
    <cellStyle name="???? [0.00]_APPEND" xfId="47"/>
    <cellStyle name="????_APPEND" xfId="48"/>
    <cellStyle name="??_20080630_JPY_PRDC" xfId="49"/>
    <cellStyle name="_ATM" xfId="50"/>
    <cellStyle name="_AvidBatch" xfId="51"/>
    <cellStyle name="_Basis bidask provision" xfId="52"/>
    <cellStyle name="_Bonds Futures IPV" xfId="53"/>
    <cellStyle name="_Book1" xfId="54"/>
    <cellStyle name="_cap risk for Steve (2)" xfId="55"/>
    <cellStyle name="_CheckPv" xfId="56"/>
    <cellStyle name="_Control" xfId="57"/>
    <cellStyle name="_Control_EURGBP_IPV BasisCEV_7_F4" xfId="58"/>
    <cellStyle name="_Control_YC_MODEL" xfId="59"/>
    <cellStyle name="_Copy of Portfolios to Archeus 6-3-04 (2)" xfId="60"/>
    <cellStyle name="_EUR Berms PVDiff Daily" xfId="61"/>
    <cellStyle name="_EUR_EURCS_YC_02" xfId="62"/>
    <cellStyle name="_EUR_Imply_Sabr_F4" xfId="63"/>
    <cellStyle name="_EUR_Stn_Sub" xfId="64"/>
    <cellStyle name="_EURGBP_IPV BasisCEV_5.9" xfId="65"/>
    <cellStyle name="_EURGBP_IPV BasisCEV_7_F4" xfId="66"/>
    <cellStyle name="_EUROSWAPTION" xfId="67"/>
    <cellStyle name="_EURSWAPTION" xfId="68"/>
    <cellStyle name="_Exclude" xfId="69"/>
    <cellStyle name="_F3 YC Models" xfId="70"/>
    <cellStyle name="_FX_drilldown_POST_TOL_20100226_d" xfId="71"/>
    <cellStyle name="_GBP" xfId="72"/>
    <cellStyle name="_GBPSWAPTIONS" xfId="73"/>
    <cellStyle name="_ICAP FWD PREMIUM" xfId="74"/>
    <cellStyle name="_ICAP FWD PREMIUM_ATM" xfId="75"/>
    <cellStyle name="_ICAP FWD PREMIUM_Cap_Calc" xfId="76"/>
    <cellStyle name="_ICAP FWD PREMIUM_Control" xfId="77"/>
    <cellStyle name="_ICAP FWD PREMIUM_EUR_EURCS_YC_02" xfId="78"/>
    <cellStyle name="_ICAP FWD PREMIUM_EUR_Imply_Sabr_F3" xfId="79"/>
    <cellStyle name="_ICAP FWD PREMIUM_EURSWAPTION" xfId="80"/>
    <cellStyle name="_ICAP FWD PREMIUM_F3 YC Models" xfId="81"/>
    <cellStyle name="_ICAP FWD PREMIUM_GBP_Imply_Sabr_F3" xfId="82"/>
    <cellStyle name="_ICAP FWD PREMIUM_GBPSWAPTIONS" xfId="83"/>
    <cellStyle name="_ICAP FWD PREMIUM_JPY Swaption Submission_4_Final" xfId="84"/>
    <cellStyle name="_ICAP FWD PREMIUM_MktData" xfId="85"/>
    <cellStyle name="_ICAP FWD PREMIUM_Pricing_EUR_Swtn" xfId="86"/>
    <cellStyle name="_ICAP FWD PREMIUM_Rec Totem_LM" xfId="87"/>
    <cellStyle name="_ICAP FWD PREMIUM_Sabr" xfId="88"/>
    <cellStyle name="_ICAP FWD PREMIUM_SABR +sd" xfId="89"/>
    <cellStyle name="_ICAP FWD PREMIUM_SABR_1" xfId="90"/>
    <cellStyle name="_ICAP FWD PREMIUM_SABR_SW" xfId="91"/>
    <cellStyle name="_ICAP FWD PREMIUM_Sheet1" xfId="92"/>
    <cellStyle name="_ICAP FWD PREMIUM_Sheet3" xfId="93"/>
    <cellStyle name="_ICAP FWD PREMIUM_Skew Report for Flow_GBP_F3_Wings" xfId="94"/>
    <cellStyle name="_ICAP FWD PREMIUM_Static" xfId="95"/>
    <cellStyle name="_ICAP FWD PREMIUM_Static Data" xfId="96"/>
    <cellStyle name="_ICAP FWD PREMIUM_Totem Sabr" xfId="97"/>
    <cellStyle name="_ICAP FWD PREMIUM_Totem_Cap_LM" xfId="98"/>
    <cellStyle name="_ICAP FWD PREMIUM_Valuation" xfId="99"/>
    <cellStyle name="_IR Skew" xfId="100"/>
    <cellStyle name="_IRVolData" xfId="101"/>
    <cellStyle name="_JPY_Submission" xfId="102"/>
    <cellStyle name="_Kondor FX Forwards" xfId="103"/>
    <cellStyle name="_local markets 2010 02_2" xfId="104"/>
    <cellStyle name="_Local Markets MM &amp; OIS" xfId="105"/>
    <cellStyle name="_MktData" xfId="106"/>
    <cellStyle name="_Portfolio Default Distribution" xfId="107"/>
    <cellStyle name="_Pricing EUR_Swtn" xfId="108"/>
    <cellStyle name="_Pricing_EUR_Swtn" xfId="109"/>
    <cellStyle name="_Pricing_EUR_Wing" xfId="110"/>
    <cellStyle name="_Pricing_GBP_Swtn" xfId="111"/>
    <cellStyle name="_PricingSwaption" xfId="112"/>
    <cellStyle name="_PV Diffs" xfId="113"/>
    <cellStyle name="_Recalc_GBP_Sw" xfId="114"/>
    <cellStyle name="_Reuters" xfId="115"/>
    <cellStyle name="_Risk" xfId="116"/>
    <cellStyle name="_Risk Data" xfId="117"/>
    <cellStyle name="_Sabr" xfId="118"/>
    <cellStyle name="_SABR +sd" xfId="119"/>
    <cellStyle name="_SABR_1" xfId="120"/>
    <cellStyle name="_Sheet1" xfId="121"/>
    <cellStyle name="_Sheet2" xfId="122"/>
    <cellStyle name="_Sheet3" xfId="123"/>
    <cellStyle name="_Skew Report for Flow_GBP_F3_Wings" xfId="124"/>
    <cellStyle name="_Static Data" xfId="125"/>
    <cellStyle name="_Swaption Pricer_2.1" xfId="126"/>
    <cellStyle name="_Template_Coba_Feb10" xfId="127"/>
    <cellStyle name="_Today YC" xfId="128"/>
    <cellStyle name="_Totem ATM" xfId="129"/>
    <cellStyle name="_Totem Results" xfId="130"/>
    <cellStyle name="_Totem Sabr" xfId="131"/>
    <cellStyle name="_Valuation" xfId="132"/>
    <cellStyle name="_Volatility Cubes Caps" xfId="133"/>
    <cellStyle name="_Volatility Cubes Swpt" xfId="134"/>
    <cellStyle name="_Zero_Spreads" xfId="135"/>
    <cellStyle name="=C:\WINNT35\SYSTEM32\COMMAND.COM" xfId="43"/>
    <cellStyle name="20 % - Akzent1" xfId="136"/>
    <cellStyle name="20 % - Akzent2" xfId="137"/>
    <cellStyle name="20 % - Akzent3" xfId="138"/>
    <cellStyle name="20 % - Akzent4" xfId="139"/>
    <cellStyle name="20 % - Akzent5" xfId="140"/>
    <cellStyle name="20 % - Akzent6" xfId="141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 % - Akzent1" xfId="142"/>
    <cellStyle name="40 % - Akzent2" xfId="143"/>
    <cellStyle name="40 % - Akzent3" xfId="144"/>
    <cellStyle name="40 % - Akzent4" xfId="145"/>
    <cellStyle name="40 % - Akzent5" xfId="146"/>
    <cellStyle name="40 % - Akzent6" xfId="147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 % - Akzent1" xfId="148"/>
    <cellStyle name="60 % - Akzent2" xfId="149"/>
    <cellStyle name="60 % - Akzent3" xfId="150"/>
    <cellStyle name="60 % - Akzent4" xfId="151"/>
    <cellStyle name="60 % - Akzent5" xfId="152"/>
    <cellStyle name="60 % - Akzent6" xfId="153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9.86" xfId="154"/>
    <cellStyle name="Accent1" xfId="19"/>
    <cellStyle name="Accent2" xfId="20"/>
    <cellStyle name="Accent3" xfId="21"/>
    <cellStyle name="Accent4" xfId="22"/>
    <cellStyle name="Accent5" xfId="23"/>
    <cellStyle name="Accent6" xfId="24"/>
    <cellStyle name="adam" xfId="155"/>
    <cellStyle name="adam 2" xfId="156"/>
    <cellStyle name="adam 2 10" xfId="157"/>
    <cellStyle name="adam 2 11" xfId="158"/>
    <cellStyle name="adam 2 12" xfId="159"/>
    <cellStyle name="adam 2 13" xfId="160"/>
    <cellStyle name="adam 2 14" xfId="161"/>
    <cellStyle name="adam 2 15" xfId="162"/>
    <cellStyle name="adam 2 16" xfId="163"/>
    <cellStyle name="adam 2 17" xfId="164"/>
    <cellStyle name="adam 2 18" xfId="165"/>
    <cellStyle name="adam 2 19" xfId="166"/>
    <cellStyle name="adam 2 2" xfId="167"/>
    <cellStyle name="adam 2 20" xfId="168"/>
    <cellStyle name="adam 2 21" xfId="169"/>
    <cellStyle name="adam 2 22" xfId="170"/>
    <cellStyle name="adam 2 23" xfId="171"/>
    <cellStyle name="adam 2 24" xfId="172"/>
    <cellStyle name="adam 2 25" xfId="173"/>
    <cellStyle name="adam 2 26" xfId="174"/>
    <cellStyle name="adam 2 27" xfId="175"/>
    <cellStyle name="adam 2 28" xfId="176"/>
    <cellStyle name="adam 2 29" xfId="177"/>
    <cellStyle name="adam 2 3" xfId="178"/>
    <cellStyle name="adam 2 30" xfId="179"/>
    <cellStyle name="adam 2 31" xfId="180"/>
    <cellStyle name="adam 2 32" xfId="181"/>
    <cellStyle name="adam 2 33" xfId="182"/>
    <cellStyle name="adam 2 34" xfId="183"/>
    <cellStyle name="adam 2 35" xfId="184"/>
    <cellStyle name="adam 2 36" xfId="185"/>
    <cellStyle name="adam 2 37" xfId="186"/>
    <cellStyle name="adam 2 38" xfId="187"/>
    <cellStyle name="adam 2 39" xfId="188"/>
    <cellStyle name="adam 2 4" xfId="189"/>
    <cellStyle name="adam 2 40" xfId="190"/>
    <cellStyle name="adam 2 41" xfId="191"/>
    <cellStyle name="adam 2 42" xfId="192"/>
    <cellStyle name="adam 2 43" xfId="193"/>
    <cellStyle name="adam 2 44" xfId="194"/>
    <cellStyle name="adam 2 45" xfId="195"/>
    <cellStyle name="adam 2 46" xfId="196"/>
    <cellStyle name="adam 2 47" xfId="197"/>
    <cellStyle name="adam 2 48" xfId="198"/>
    <cellStyle name="adam 2 49" xfId="199"/>
    <cellStyle name="adam 2 5" xfId="200"/>
    <cellStyle name="adam 2 50" xfId="201"/>
    <cellStyle name="adam 2 51" xfId="202"/>
    <cellStyle name="adam 2 52" xfId="203"/>
    <cellStyle name="adam 2 53" xfId="204"/>
    <cellStyle name="adam 2 54" xfId="205"/>
    <cellStyle name="adam 2 55" xfId="206"/>
    <cellStyle name="adam 2 56" xfId="207"/>
    <cellStyle name="adam 2 57" xfId="208"/>
    <cellStyle name="adam 2 58" xfId="209"/>
    <cellStyle name="adam 2 59" xfId="210"/>
    <cellStyle name="adam 2 6" xfId="211"/>
    <cellStyle name="adam 2 60" xfId="212"/>
    <cellStyle name="adam 2 61" xfId="213"/>
    <cellStyle name="adam 2 62" xfId="214"/>
    <cellStyle name="adam 2 63" xfId="215"/>
    <cellStyle name="adam 2 64" xfId="216"/>
    <cellStyle name="adam 2 65" xfId="217"/>
    <cellStyle name="adam 2 66" xfId="218"/>
    <cellStyle name="adam 2 67" xfId="219"/>
    <cellStyle name="adam 2 68" xfId="220"/>
    <cellStyle name="adam 2 69" xfId="221"/>
    <cellStyle name="adam 2 7" xfId="222"/>
    <cellStyle name="adam 2 70" xfId="223"/>
    <cellStyle name="adam 2 71" xfId="224"/>
    <cellStyle name="adam 2 72" xfId="225"/>
    <cellStyle name="adam 2 73" xfId="226"/>
    <cellStyle name="adam 2 74" xfId="227"/>
    <cellStyle name="adam 2 75" xfId="228"/>
    <cellStyle name="adam 2 76" xfId="229"/>
    <cellStyle name="adam 2 77" xfId="230"/>
    <cellStyle name="adam 2 78" xfId="231"/>
    <cellStyle name="adam 2 79" xfId="232"/>
    <cellStyle name="adam 2 8" xfId="233"/>
    <cellStyle name="adam 2 80" xfId="234"/>
    <cellStyle name="adam 2 81" xfId="235"/>
    <cellStyle name="adam 2 82" xfId="236"/>
    <cellStyle name="adam 2 83" xfId="237"/>
    <cellStyle name="adam 2 84" xfId="238"/>
    <cellStyle name="adam 2 85" xfId="239"/>
    <cellStyle name="adam 2 86" xfId="240"/>
    <cellStyle name="adam 2 87" xfId="241"/>
    <cellStyle name="adam 2 88" xfId="242"/>
    <cellStyle name="adam 2 89" xfId="243"/>
    <cellStyle name="adam 2 9" xfId="244"/>
    <cellStyle name="adam 2 90" xfId="245"/>
    <cellStyle name="adam 2 91" xfId="246"/>
    <cellStyle name="adam 2 92" xfId="247"/>
    <cellStyle name="Akzent1" xfId="248"/>
    <cellStyle name="Akzent2" xfId="249"/>
    <cellStyle name="Akzent3" xfId="250"/>
    <cellStyle name="Akzent4" xfId="251"/>
    <cellStyle name="Akzent5" xfId="252"/>
    <cellStyle name="Akzent6" xfId="253"/>
    <cellStyle name="Amount" xfId="254"/>
    <cellStyle name="Ausgabe" xfId="255"/>
    <cellStyle name="Availability" xfId="256"/>
    <cellStyle name="back" xfId="257"/>
    <cellStyle name="background" xfId="258"/>
    <cellStyle name="Bad" xfId="25"/>
    <cellStyle name="banner" xfId="259"/>
    <cellStyle name="Bberg Code" xfId="260"/>
    <cellStyle name="Berechnung" xfId="261"/>
    <cellStyle name="BlankedZeros" xfId="262"/>
    <cellStyle name="Blue" xfId="263"/>
    <cellStyle name="blue axis cells" xfId="264"/>
    <cellStyle name="blue text cells" xfId="265"/>
    <cellStyle name="Body" xfId="266"/>
    <cellStyle name="calc" xfId="267"/>
    <cellStyle name="Check Cell" xfId="26"/>
    <cellStyle name="CodeEingabe" xfId="268"/>
    <cellStyle name="Comma  - Style1" xfId="269"/>
    <cellStyle name="Comma 0" xfId="270"/>
    <cellStyle name="Comma 2" xfId="271"/>
    <cellStyle name="Comma0" xfId="272"/>
    <cellStyle name="Curren - Style2" xfId="273"/>
    <cellStyle name="Currency0" xfId="274"/>
    <cellStyle name="CurrencyOAlarmModule" xfId="275"/>
    <cellStyle name="data_3000" xfId="276"/>
    <cellStyle name="DataFeed" xfId="277"/>
    <cellStyle name="Date" xfId="278"/>
    <cellStyle name="Date Aligned" xfId="279"/>
    <cellStyle name="date title" xfId="280"/>
    <cellStyle name="Date_Black Matrix Pricer" xfId="281"/>
    <cellStyle name="DateFormat" xfId="282"/>
    <cellStyle name="datetime" xfId="283"/>
    <cellStyle name="documentation data" xfId="284"/>
    <cellStyle name="documentation titles" xfId="285"/>
    <cellStyle name="Dotted Line" xfId="286"/>
    <cellStyle name="Eingabe" xfId="287"/>
    <cellStyle name="Ergebnis" xfId="288"/>
    <cellStyle name="Erklärender Text" xfId="289"/>
    <cellStyle name="Euro" xfId="290"/>
    <cellStyle name="EY House" xfId="291"/>
    <cellStyle name="F2" xfId="292"/>
    <cellStyle name="F3" xfId="293"/>
    <cellStyle name="F4" xfId="294"/>
    <cellStyle name="F5" xfId="295"/>
    <cellStyle name="F6" xfId="296"/>
    <cellStyle name="F7" xfId="297"/>
    <cellStyle name="F8" xfId="298"/>
    <cellStyle name="Fixed" xfId="299"/>
    <cellStyle name="font1" xfId="300"/>
    <cellStyle name="Footnote" xfId="301"/>
    <cellStyle name="FVF" xfId="302"/>
    <cellStyle name="Good" xfId="27"/>
    <cellStyle name="gray text cells" xfId="303"/>
    <cellStyle name="GreybarHeader" xfId="304"/>
    <cellStyle name="Gut" xfId="305"/>
    <cellStyle name="header" xfId="306"/>
    <cellStyle name="Header1" xfId="307"/>
    <cellStyle name="Header2" xfId="308"/>
    <cellStyle name="Heading" xfId="309"/>
    <cellStyle name="Heading 1" xfId="28"/>
    <cellStyle name="Heading 2" xfId="29"/>
    <cellStyle name="Heading 3" xfId="30"/>
    <cellStyle name="Heading 4" xfId="31"/>
    <cellStyle name="Info" xfId="310"/>
    <cellStyle name="InfoDataColumn" xfId="311"/>
    <cellStyle name="InfoDataRow" xfId="312"/>
    <cellStyle name="InfoLabelColumn" xfId="313"/>
    <cellStyle name="InfoLabelRow" xfId="314"/>
    <cellStyle name="InfolDataColumn" xfId="315"/>
    <cellStyle name="InformationalData" xfId="316"/>
    <cellStyle name="InformationalLabel" xfId="317"/>
    <cellStyle name="InformationalLabelTop" xfId="318"/>
    <cellStyle name="InputData" xfId="319"/>
    <cellStyle name="InputDataColumn" xfId="320"/>
    <cellStyle name="InputDataRow" xfId="321"/>
    <cellStyle name="InputLabel" xfId="322"/>
    <cellStyle name="InputLabelColumn" xfId="323"/>
    <cellStyle name="InputLabelRow" xfId="324"/>
    <cellStyle name="InputLabelTop" xfId="325"/>
    <cellStyle name="IntermediateData" xfId="326"/>
    <cellStyle name="IntermediateDataColumn" xfId="327"/>
    <cellStyle name="IntermediateDataRow" xfId="328"/>
    <cellStyle name="IntermediateLabel" xfId="329"/>
    <cellStyle name="IntermediateLabelColumn" xfId="330"/>
    <cellStyle name="IntermediateLabelRow" xfId="331"/>
    <cellStyle name="InvalidCell" xfId="332"/>
    <cellStyle name="ItalicHeader" xfId="333"/>
    <cellStyle name="KPMG Heading 1" xfId="334"/>
    <cellStyle name="KPMG Heading 2" xfId="335"/>
    <cellStyle name="KPMG Heading 3" xfId="336"/>
    <cellStyle name="KPMG Heading 4" xfId="337"/>
    <cellStyle name="KPMG Normal" xfId="338"/>
    <cellStyle name="KPMG Normal Text" xfId="339"/>
    <cellStyle name="label" xfId="340"/>
    <cellStyle name="Lien hypertexte visité" xfId="341"/>
    <cellStyle name="Linked Cell" xfId="32"/>
    <cellStyle name="Macro" xfId="342"/>
    <cellStyle name="main_input" xfId="343"/>
    <cellStyle name="McFormBody" xfId="344"/>
    <cellStyle name="Menu" xfId="345"/>
    <cellStyle name="Milliers [0]_book_indice" xfId="346"/>
    <cellStyle name="Milliers_book_indice" xfId="347"/>
    <cellStyle name="Monétaire [0]_book_indice" xfId="348"/>
    <cellStyle name="Monétaire_book_indice" xfId="349"/>
    <cellStyle name="Month" xfId="350"/>
    <cellStyle name="MultipleType" xfId="351"/>
    <cellStyle name="Neutral" xfId="33" builtinId="28" customBuiltin="1"/>
    <cellStyle name="NEW" xfId="352"/>
    <cellStyle name="NewSheet" xfId="353"/>
    <cellStyle name="no dec" xfId="354"/>
    <cellStyle name="Normal" xfId="0" builtinId="0"/>
    <cellStyle name="Normal - Style1" xfId="355"/>
    <cellStyle name="Normal 2" xfId="41"/>
    <cellStyle name="Normal 2 10" xfId="356"/>
    <cellStyle name="Normal 2 11" xfId="357"/>
    <cellStyle name="Normal 2 12" xfId="358"/>
    <cellStyle name="Normal 2 13" xfId="359"/>
    <cellStyle name="Normal 2 2" xfId="34"/>
    <cellStyle name="Normal 2 3" xfId="360"/>
    <cellStyle name="Normal 2 4" xfId="361"/>
    <cellStyle name="Normal 2 5" xfId="362"/>
    <cellStyle name="Normal 2 6" xfId="363"/>
    <cellStyle name="Normal 2 7" xfId="364"/>
    <cellStyle name="Normal 2 8" xfId="365"/>
    <cellStyle name="Normal 2 9" xfId="366"/>
    <cellStyle name="Normal 2_ATM" xfId="367"/>
    <cellStyle name="Normal 3" xfId="368"/>
    <cellStyle name="Normal 3 2" xfId="369"/>
    <cellStyle name="Normal 3_GBPSWAPTIONS" xfId="370"/>
    <cellStyle name="Normal 4" xfId="35"/>
    <cellStyle name="Normal 4 2" xfId="371"/>
    <cellStyle name="Normal 5" xfId="372"/>
    <cellStyle name="Normal 5 2" xfId="373"/>
    <cellStyle name="Normal 5 3" xfId="374"/>
    <cellStyle name="Normal 5 4" xfId="375"/>
    <cellStyle name="Normal 5 5" xfId="376"/>
    <cellStyle name="Normal 6" xfId="377"/>
    <cellStyle name="Normal 6 2" xfId="378"/>
    <cellStyle name="Normal 7" xfId="379"/>
    <cellStyle name="Normal_SwaptionPremiums" xfId="42"/>
    <cellStyle name="Note" xfId="36"/>
    <cellStyle name="Notiz" xfId="380"/>
    <cellStyle name="NumberFormat" xfId="381"/>
    <cellStyle name="ObjectDataColumn" xfId="382"/>
    <cellStyle name="ObjectDataRow" xfId="383"/>
    <cellStyle name="ObjectLabelColumn" xfId="384"/>
    <cellStyle name="ObjectLabelRow" xfId="385"/>
    <cellStyle name="orange text cell" xfId="386"/>
    <cellStyle name="OutputData" xfId="387"/>
    <cellStyle name="OutputDataColumn" xfId="388"/>
    <cellStyle name="OutputDataRow" xfId="389"/>
    <cellStyle name="OutputLabel" xfId="390"/>
    <cellStyle name="OutputLabelColumn" xfId="391"/>
    <cellStyle name="OutputLabelRow" xfId="392"/>
    <cellStyle name="Page Number" xfId="393"/>
    <cellStyle name="Page1" xfId="394"/>
    <cellStyle name="PanelLabel" xfId="395"/>
    <cellStyle name="Percent" xfId="37" builtinId="5"/>
    <cellStyle name="Percent [0%]" xfId="396"/>
    <cellStyle name="Percent [0.00%]" xfId="397"/>
    <cellStyle name="Percent 2" xfId="38"/>
    <cellStyle name="Percent 3" xfId="39"/>
    <cellStyle name="PersonalDataColumn" xfId="398"/>
    <cellStyle name="PersonalLabelColumn" xfId="399"/>
    <cellStyle name="PersonalLabelRow" xfId="400"/>
    <cellStyle name="Pivot Table" xfId="401"/>
    <cellStyle name="PricingProducts" xfId="402"/>
    <cellStyle name="rate entry" xfId="403"/>
    <cellStyle name="realtime" xfId="404"/>
    <cellStyle name="RED_DEBITS" xfId="405"/>
    <cellStyle name="ReserveStyle" xfId="406"/>
    <cellStyle name="result" xfId="407"/>
    <cellStyle name="SAPBEXHLevel2" xfId="408"/>
    <cellStyle name="SAPOutput" xfId="409"/>
    <cellStyle name="Schlecht" xfId="410"/>
    <cellStyle name="Small Date" xfId="411"/>
    <cellStyle name="Small Heading" xfId="412"/>
    <cellStyle name="SMALL_NUMBERS" xfId="413"/>
    <cellStyle name="SMALLER_NUMBERS" xfId="414"/>
    <cellStyle name="spreads" xfId="415"/>
    <cellStyle name="Standard 2" xfId="416"/>
    <cellStyle name="Standard_21011_ME_20150331_IR_SWAPTIONS_RESULTS_GBP_30" xfId="417"/>
    <cellStyle name="Stil 1" xfId="418"/>
    <cellStyle name="Stil 10" xfId="419"/>
    <cellStyle name="Stil 11" xfId="420"/>
    <cellStyle name="Stil 12" xfId="421"/>
    <cellStyle name="Stil 13" xfId="422"/>
    <cellStyle name="Stil 14" xfId="423"/>
    <cellStyle name="Stil 15" xfId="424"/>
    <cellStyle name="Stil 16" xfId="425"/>
    <cellStyle name="Stil 17" xfId="426"/>
    <cellStyle name="Stil 18" xfId="427"/>
    <cellStyle name="Stil 2" xfId="428"/>
    <cellStyle name="Stil 3" xfId="429"/>
    <cellStyle name="Stil 4" xfId="430"/>
    <cellStyle name="Stil 5" xfId="431"/>
    <cellStyle name="Stil 6" xfId="432"/>
    <cellStyle name="Stil 7" xfId="433"/>
    <cellStyle name="Stil 8" xfId="434"/>
    <cellStyle name="Stil 9" xfId="435"/>
    <cellStyle name="Style 1" xfId="436"/>
    <cellStyle name="Style 10" xfId="437"/>
    <cellStyle name="Style 11" xfId="438"/>
    <cellStyle name="Style 12" xfId="439"/>
    <cellStyle name="Style 13" xfId="440"/>
    <cellStyle name="Style 14" xfId="441"/>
    <cellStyle name="Style 15" xfId="442"/>
    <cellStyle name="Style 16" xfId="443"/>
    <cellStyle name="Style 2" xfId="444"/>
    <cellStyle name="Style 3" xfId="445"/>
    <cellStyle name="Style 4" xfId="446"/>
    <cellStyle name="Style 5" xfId="447"/>
    <cellStyle name="Style 6" xfId="448"/>
    <cellStyle name="Style 7" xfId="449"/>
    <cellStyle name="Style 8" xfId="450"/>
    <cellStyle name="Style 9" xfId="451"/>
    <cellStyle name="Style1" xfId="452"/>
    <cellStyle name="subtitle" xfId="453"/>
    <cellStyle name="swpBody01" xfId="454"/>
    <cellStyle name="swpCaption" xfId="455"/>
    <cellStyle name="swpClear" xfId="456"/>
    <cellStyle name="swpHBBookTitle" xfId="457"/>
    <cellStyle name="swpHBChapterTitle" xfId="458"/>
    <cellStyle name="swpHead01" xfId="459"/>
    <cellStyle name="swpHead01R" xfId="460"/>
    <cellStyle name="swpHead02" xfId="461"/>
    <cellStyle name="swpHead03" xfId="462"/>
    <cellStyle name="swpHead03R" xfId="463"/>
    <cellStyle name="swpHeadBraL" xfId="464"/>
    <cellStyle name="swpHeadBraM" xfId="465"/>
    <cellStyle name="swpHeadBraR" xfId="466"/>
    <cellStyle name="swpTag" xfId="467"/>
    <cellStyle name="swpTotals" xfId="468"/>
    <cellStyle name="swpTotalsNo" xfId="469"/>
    <cellStyle name="swpTotalsTotal" xfId="470"/>
    <cellStyle name="Table Head" xfId="471"/>
    <cellStyle name="Table Head Aligned" xfId="472"/>
    <cellStyle name="Table Head Blue" xfId="473"/>
    <cellStyle name="Table Head Green" xfId="474"/>
    <cellStyle name="Table Heading" xfId="475"/>
    <cellStyle name="Table Title" xfId="476"/>
    <cellStyle name="Table Units" xfId="477"/>
    <cellStyle name="TableDataColumn" xfId="478"/>
    <cellStyle name="TableDataRow" xfId="479"/>
    <cellStyle name="TableLabelColumn" xfId="480"/>
    <cellStyle name="TableLabelRow" xfId="481"/>
    <cellStyle name="TEST" xfId="482"/>
    <cellStyle name="TIMES" xfId="483"/>
    <cellStyle name="Title" xfId="40"/>
    <cellStyle name="Title 2" xfId="484"/>
    <cellStyle name="Title_2062269" xfId="485"/>
    <cellStyle name="TOTALS" xfId="486"/>
    <cellStyle name="Überschrift" xfId="487"/>
    <cellStyle name="Überschrift 1" xfId="488"/>
    <cellStyle name="Überschrift 2" xfId="489"/>
    <cellStyle name="Überschrift 3" xfId="490"/>
    <cellStyle name="Überschrift 4" xfId="491"/>
    <cellStyle name="Überschrift_CapletStripping (AS 2015-05-18)" xfId="492"/>
    <cellStyle name="Undefiniert" xfId="493"/>
    <cellStyle name="Update" xfId="494"/>
    <cellStyle name="UserInput" xfId="495"/>
    <cellStyle name="v" xfId="496"/>
    <cellStyle name="v 10" xfId="497"/>
    <cellStyle name="v 11" xfId="498"/>
    <cellStyle name="v 12" xfId="499"/>
    <cellStyle name="v 13" xfId="500"/>
    <cellStyle name="v 14" xfId="501"/>
    <cellStyle name="v 15" xfId="502"/>
    <cellStyle name="v 16" xfId="503"/>
    <cellStyle name="v 17" xfId="504"/>
    <cellStyle name="v 18" xfId="505"/>
    <cellStyle name="v 19" xfId="506"/>
    <cellStyle name="v 2" xfId="507"/>
    <cellStyle name="v 20" xfId="508"/>
    <cellStyle name="v 21" xfId="509"/>
    <cellStyle name="v 22" xfId="510"/>
    <cellStyle name="v 23" xfId="511"/>
    <cellStyle name="v 24" xfId="512"/>
    <cellStyle name="v 25" xfId="513"/>
    <cellStyle name="v 26" xfId="514"/>
    <cellStyle name="v 27" xfId="515"/>
    <cellStyle name="v 28" xfId="516"/>
    <cellStyle name="v 29" xfId="517"/>
    <cellStyle name="v 3" xfId="518"/>
    <cellStyle name="v 30" xfId="519"/>
    <cellStyle name="v 31" xfId="520"/>
    <cellStyle name="v 32" xfId="521"/>
    <cellStyle name="v 33" xfId="522"/>
    <cellStyle name="v 34" xfId="523"/>
    <cellStyle name="v 35" xfId="524"/>
    <cellStyle name="v 36" xfId="525"/>
    <cellStyle name="v 37" xfId="526"/>
    <cellStyle name="v 38" xfId="527"/>
    <cellStyle name="v 39" xfId="528"/>
    <cellStyle name="v 4" xfId="529"/>
    <cellStyle name="v 40" xfId="530"/>
    <cellStyle name="v 41" xfId="531"/>
    <cellStyle name="v 42" xfId="532"/>
    <cellStyle name="v 43" xfId="533"/>
    <cellStyle name="v 44" xfId="534"/>
    <cellStyle name="v 45" xfId="535"/>
    <cellStyle name="v 46" xfId="536"/>
    <cellStyle name="v 47" xfId="537"/>
    <cellStyle name="v 48" xfId="538"/>
    <cellStyle name="v 49" xfId="539"/>
    <cellStyle name="v 5" xfId="540"/>
    <cellStyle name="v 50" xfId="541"/>
    <cellStyle name="v 51" xfId="542"/>
    <cellStyle name="v 52" xfId="543"/>
    <cellStyle name="v 53" xfId="544"/>
    <cellStyle name="v 54" xfId="545"/>
    <cellStyle name="v 55" xfId="546"/>
    <cellStyle name="v 56" xfId="547"/>
    <cellStyle name="v 57" xfId="548"/>
    <cellStyle name="v 58" xfId="549"/>
    <cellStyle name="v 59" xfId="550"/>
    <cellStyle name="v 6" xfId="551"/>
    <cellStyle name="v 60" xfId="552"/>
    <cellStyle name="v 61" xfId="553"/>
    <cellStyle name="v 62" xfId="554"/>
    <cellStyle name="v 63" xfId="555"/>
    <cellStyle name="v 64" xfId="556"/>
    <cellStyle name="v 65" xfId="557"/>
    <cellStyle name="v 66" xfId="558"/>
    <cellStyle name="v 67" xfId="559"/>
    <cellStyle name="v 68" xfId="560"/>
    <cellStyle name="v 69" xfId="561"/>
    <cellStyle name="v 7" xfId="562"/>
    <cellStyle name="v 70" xfId="563"/>
    <cellStyle name="v 71" xfId="564"/>
    <cellStyle name="v 72" xfId="565"/>
    <cellStyle name="v 73" xfId="566"/>
    <cellStyle name="v 74" xfId="567"/>
    <cellStyle name="v 75" xfId="568"/>
    <cellStyle name="v 76" xfId="569"/>
    <cellStyle name="v 77" xfId="570"/>
    <cellStyle name="v 78" xfId="571"/>
    <cellStyle name="v 79" xfId="572"/>
    <cellStyle name="v 8" xfId="573"/>
    <cellStyle name="v 80" xfId="574"/>
    <cellStyle name="v 81" xfId="575"/>
    <cellStyle name="v 82" xfId="576"/>
    <cellStyle name="v 83" xfId="577"/>
    <cellStyle name="v 84" xfId="578"/>
    <cellStyle name="v 85" xfId="579"/>
    <cellStyle name="v 86" xfId="580"/>
    <cellStyle name="v 87" xfId="581"/>
    <cellStyle name="v 88" xfId="582"/>
    <cellStyle name="v 89" xfId="583"/>
    <cellStyle name="v 9" xfId="584"/>
    <cellStyle name="v 90" xfId="585"/>
    <cellStyle name="v 91" xfId="586"/>
    <cellStyle name="v 92" xfId="587"/>
    <cellStyle name="v 93" xfId="588"/>
    <cellStyle name="Verknüpfte Zelle" xfId="589"/>
    <cellStyle name="VerticalText" xfId="590"/>
    <cellStyle name="Warnender Text" xfId="591"/>
    <cellStyle name="WASP_PLStyle" xfId="592"/>
    <cellStyle name="working" xfId="593"/>
    <cellStyle name="WorksheetForm" xfId="594"/>
    <cellStyle name="Y2K Compliant Date Fmt" xfId="595"/>
    <cellStyle name="Year" xfId="596"/>
    <cellStyle name="Zelle überprüfen" xfId="597"/>
    <cellStyle name="パーセント 2" xfId="598"/>
    <cellStyle name="ハイパーリンク_Book1" xfId="599"/>
    <cellStyle name="桁区切り [0.00]_amendment" xfId="600"/>
    <cellStyle name="桁区切り_amendment" xfId="601"/>
    <cellStyle name="標準 10" xfId="602"/>
    <cellStyle name="標準 11" xfId="603"/>
    <cellStyle name="標準 12" xfId="604"/>
    <cellStyle name="標準 13" xfId="605"/>
    <cellStyle name="標準 14" xfId="606"/>
    <cellStyle name="標準 14 2" xfId="607"/>
    <cellStyle name="標準 15" xfId="608"/>
    <cellStyle name="標準 16" xfId="609"/>
    <cellStyle name="標準 17" xfId="610"/>
    <cellStyle name="標準 18" xfId="611"/>
    <cellStyle name="標準 18 10" xfId="612"/>
    <cellStyle name="標準 18 2" xfId="613"/>
    <cellStyle name="標準 18 3" xfId="614"/>
    <cellStyle name="標準 18 4" xfId="615"/>
    <cellStyle name="標準 18 5" xfId="616"/>
    <cellStyle name="標準 18 6" xfId="617"/>
    <cellStyle name="標準 18 7" xfId="618"/>
    <cellStyle name="標準 18 8" xfId="619"/>
    <cellStyle name="標準 18 9" xfId="620"/>
    <cellStyle name="標準 19" xfId="621"/>
    <cellStyle name="標準 19 2" xfId="622"/>
    <cellStyle name="標準 2" xfId="623"/>
    <cellStyle name="標準 2 10" xfId="624"/>
    <cellStyle name="標準 2 11" xfId="625"/>
    <cellStyle name="標準 2 12" xfId="626"/>
    <cellStyle name="標準 2 2" xfId="627"/>
    <cellStyle name="標準 2 3" xfId="628"/>
    <cellStyle name="標準 2 4" xfId="629"/>
    <cellStyle name="標準 2 5" xfId="630"/>
    <cellStyle name="標準 2 6" xfId="631"/>
    <cellStyle name="標準 2 7" xfId="632"/>
    <cellStyle name="標準 2 8" xfId="633"/>
    <cellStyle name="標準 2 9" xfId="634"/>
    <cellStyle name="標準 3" xfId="635"/>
    <cellStyle name="標準 4" xfId="636"/>
    <cellStyle name="標準 5" xfId="637"/>
    <cellStyle name="標準 6" xfId="638"/>
    <cellStyle name="標準 7" xfId="639"/>
    <cellStyle name="標準 8" xfId="640"/>
    <cellStyle name="標準 9" xfId="641"/>
    <cellStyle name="標準_10-03-11" xfId="642"/>
    <cellStyle name="表示済みのハイパーリンク_Book1" xfId="643"/>
    <cellStyle name="通貨 [0.00]_amendment" xfId="644"/>
    <cellStyle name="通貨_amendment" xfId="64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sharedStrings" Target="sharedStrings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CapletCalibration!$F$22:$F$80</c:f>
              <c:numCache>
                <c:formatCode>0.00%</c:formatCode>
                <c:ptCount val="59"/>
                <c:pt idx="0">
                  <c:v>3.905803181673953E-3</c:v>
                </c:pt>
                <c:pt idx="1">
                  <c:v>4.2367128855557998E-3</c:v>
                </c:pt>
                <c:pt idx="2">
                  <c:v>4.6793411373936009E-3</c:v>
                </c:pt>
                <c:pt idx="3">
                  <c:v>5.2027203298533747E-3</c:v>
                </c:pt>
                <c:pt idx="4">
                  <c:v>5.6776911639523217E-3</c:v>
                </c:pt>
                <c:pt idx="5">
                  <c:v>6.2784524315537341E-3</c:v>
                </c:pt>
                <c:pt idx="6">
                  <c:v>6.7509783719557131E-3</c:v>
                </c:pt>
                <c:pt idx="7">
                  <c:v>7.3168751876627981E-3</c:v>
                </c:pt>
                <c:pt idx="8">
                  <c:v>7.8842397657250523E-3</c:v>
                </c:pt>
                <c:pt idx="9">
                  <c:v>8.5228399081571874E-3</c:v>
                </c:pt>
                <c:pt idx="10">
                  <c:v>9.0180949981640245E-3</c:v>
                </c:pt>
                <c:pt idx="11">
                  <c:v>9.1848475925114595E-3</c:v>
                </c:pt>
                <c:pt idx="12">
                  <c:v>9.2521159438962441E-3</c:v>
                </c:pt>
                <c:pt idx="13">
                  <c:v>9.1475952478878766E-3</c:v>
                </c:pt>
                <c:pt idx="14">
                  <c:v>9.0069979033240745E-3</c:v>
                </c:pt>
                <c:pt idx="15">
                  <c:v>8.728884890641251E-3</c:v>
                </c:pt>
                <c:pt idx="16">
                  <c:v>8.4647560593214266E-3</c:v>
                </c:pt>
                <c:pt idx="17">
                  <c:v>8.1404328195983557E-3</c:v>
                </c:pt>
                <c:pt idx="18">
                  <c:v>7.8634845862989161E-3</c:v>
                </c:pt>
                <c:pt idx="19">
                  <c:v>7.6310042166998892E-3</c:v>
                </c:pt>
                <c:pt idx="20">
                  <c:v>7.4229473597156002E-3</c:v>
                </c:pt>
                <c:pt idx="21">
                  <c:v>7.2705609174953225E-3</c:v>
                </c:pt>
                <c:pt idx="22">
                  <c:v>7.1489348030982294E-3</c:v>
                </c:pt>
                <c:pt idx="23">
                  <c:v>7.1253796036906689E-3</c:v>
                </c:pt>
                <c:pt idx="24">
                  <c:v>7.0681134503102119E-3</c:v>
                </c:pt>
                <c:pt idx="25">
                  <c:v>7.0360263058866666E-3</c:v>
                </c:pt>
                <c:pt idx="26">
                  <c:v>6.9735469835975009E-3</c:v>
                </c:pt>
                <c:pt idx="27">
                  <c:v>6.9309312958763213E-3</c:v>
                </c:pt>
                <c:pt idx="28">
                  <c:v>6.8609592452450463E-3</c:v>
                </c:pt>
                <c:pt idx="29">
                  <c:v>6.8278480385354232E-3</c:v>
                </c:pt>
                <c:pt idx="30">
                  <c:v>6.7578405443746124E-3</c:v>
                </c:pt>
                <c:pt idx="31">
                  <c:v>6.7169123080943116E-3</c:v>
                </c:pt>
                <c:pt idx="32">
                  <c:v>6.6538566737853501E-3</c:v>
                </c:pt>
                <c:pt idx="33">
                  <c:v>6.6249728357098562E-3</c:v>
                </c:pt>
                <c:pt idx="34">
                  <c:v>6.5722737969258101E-3</c:v>
                </c:pt>
                <c:pt idx="35">
                  <c:v>6.5418260066411318E-3</c:v>
                </c:pt>
                <c:pt idx="36">
                  <c:v>6.4998386147726243E-3</c:v>
                </c:pt>
                <c:pt idx="37">
                  <c:v>6.4857949346055722E-3</c:v>
                </c:pt>
                <c:pt idx="38">
                  <c:v>6.4563216307506879E-3</c:v>
                </c:pt>
                <c:pt idx="39">
                  <c:v>6.4619834676391671E-3</c:v>
                </c:pt>
                <c:pt idx="40">
                  <c:v>6.4408391752066654E-3</c:v>
                </c:pt>
                <c:pt idx="41">
                  <c:v>6.4196036503385481E-3</c:v>
                </c:pt>
                <c:pt idx="42">
                  <c:v>6.3983809132974858E-3</c:v>
                </c:pt>
                <c:pt idx="43">
                  <c:v>6.3765668726591613E-3</c:v>
                </c:pt>
                <c:pt idx="44">
                  <c:v>6.3542056833149002E-3</c:v>
                </c:pt>
                <c:pt idx="45">
                  <c:v>6.330522361477478E-3</c:v>
                </c:pt>
                <c:pt idx="46">
                  <c:v>6.3055527270815329E-3</c:v>
                </c:pt>
                <c:pt idx="47">
                  <c:v>6.2787701396531349E-3</c:v>
                </c:pt>
                <c:pt idx="48">
                  <c:v>6.2496639644947921E-3</c:v>
                </c:pt>
                <c:pt idx="49">
                  <c:v>6.2282063412641758E-3</c:v>
                </c:pt>
                <c:pt idx="50">
                  <c:v>6.1971920876017737E-3</c:v>
                </c:pt>
                <c:pt idx="51">
                  <c:v>6.1658608441642034E-3</c:v>
                </c:pt>
                <c:pt idx="52">
                  <c:v>6.1338570379919502E-3</c:v>
                </c:pt>
                <c:pt idx="53">
                  <c:v>6.1011401555687138E-3</c:v>
                </c:pt>
                <c:pt idx="54">
                  <c:v>6.0677815439016715E-3</c:v>
                </c:pt>
                <c:pt idx="55">
                  <c:v>6.0334825666849669E-3</c:v>
                </c:pt>
                <c:pt idx="56">
                  <c:v>5.9982997272884329E-3</c:v>
                </c:pt>
                <c:pt idx="57">
                  <c:v>5.9619575098946304E-3</c:v>
                </c:pt>
                <c:pt idx="58">
                  <c:v>5.9246142163935141E-3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CapletCalibration!$G$22:$G$80</c:f>
              <c:numCache>
                <c:formatCode>0.00%</c:formatCode>
                <c:ptCount val="59"/>
                <c:pt idx="0">
                  <c:v>3.1255776448021223E-3</c:v>
                </c:pt>
                <c:pt idx="1">
                  <c:v>3.5431368419479962E-3</c:v>
                </c:pt>
                <c:pt idx="2">
                  <c:v>4.070328872894359E-3</c:v>
                </c:pt>
                <c:pt idx="3">
                  <c:v>4.6903611420092504E-3</c:v>
                </c:pt>
                <c:pt idx="4">
                  <c:v>5.2428856059813572E-3</c:v>
                </c:pt>
                <c:pt idx="5">
                  <c:v>5.9356889259463445E-3</c:v>
                </c:pt>
                <c:pt idx="6">
                  <c:v>6.4591000083363383E-3</c:v>
                </c:pt>
                <c:pt idx="7">
                  <c:v>7.0685958755762222E-3</c:v>
                </c:pt>
                <c:pt idx="8">
                  <c:v>7.6386506315949823E-3</c:v>
                </c:pt>
                <c:pt idx="9">
                  <c:v>8.25365354175122E-3</c:v>
                </c:pt>
                <c:pt idx="10">
                  <c:v>8.7404049335256841E-3</c:v>
                </c:pt>
                <c:pt idx="11">
                  <c:v>8.9290273385567564E-3</c:v>
                </c:pt>
                <c:pt idx="12">
                  <c:v>9.0344163854148372E-3</c:v>
                </c:pt>
                <c:pt idx="13">
                  <c:v>8.9597503435058564E-3</c:v>
                </c:pt>
                <c:pt idx="14">
                  <c:v>8.8419439293913327E-3</c:v>
                </c:pt>
                <c:pt idx="15">
                  <c:v>8.5629487452218069E-3</c:v>
                </c:pt>
                <c:pt idx="16">
                  <c:v>8.3435411914106715E-3</c:v>
                </c:pt>
                <c:pt idx="17">
                  <c:v>8.0866162474064248E-3</c:v>
                </c:pt>
                <c:pt idx="18">
                  <c:v>7.8701971649794856E-3</c:v>
                </c:pt>
                <c:pt idx="19">
                  <c:v>7.6361312620603092E-3</c:v>
                </c:pt>
                <c:pt idx="20">
                  <c:v>7.433549775885763E-3</c:v>
                </c:pt>
                <c:pt idx="21">
                  <c:v>7.2713863771634206E-3</c:v>
                </c:pt>
                <c:pt idx="22">
                  <c:v>7.1566669015682123E-3</c:v>
                </c:pt>
                <c:pt idx="23">
                  <c:v>7.1193387606251386E-3</c:v>
                </c:pt>
                <c:pt idx="24">
                  <c:v>7.0710978059343524E-3</c:v>
                </c:pt>
                <c:pt idx="25">
                  <c:v>7.0354481477554126E-3</c:v>
                </c:pt>
                <c:pt idx="26">
                  <c:v>6.9825885053297872E-3</c:v>
                </c:pt>
                <c:pt idx="27">
                  <c:v>6.9412786842994898E-3</c:v>
                </c:pt>
                <c:pt idx="28">
                  <c:v>6.8834526241446058E-3</c:v>
                </c:pt>
                <c:pt idx="29">
                  <c:v>6.8489648080951159E-3</c:v>
                </c:pt>
                <c:pt idx="30">
                  <c:v>6.7910782947615007E-3</c:v>
                </c:pt>
                <c:pt idx="31">
                  <c:v>6.7514781114922807E-3</c:v>
                </c:pt>
                <c:pt idx="32">
                  <c:v>6.6971697665857881E-3</c:v>
                </c:pt>
                <c:pt idx="33">
                  <c:v>6.6652875282624032E-3</c:v>
                </c:pt>
                <c:pt idx="34">
                  <c:v>6.617309773031251E-3</c:v>
                </c:pt>
                <c:pt idx="35">
                  <c:v>6.5842726532903788E-3</c:v>
                </c:pt>
                <c:pt idx="36">
                  <c:v>6.5430472627491052E-3</c:v>
                </c:pt>
                <c:pt idx="37">
                  <c:v>6.5212966015055262E-3</c:v>
                </c:pt>
                <c:pt idx="38">
                  <c:v>6.4884187394574355E-3</c:v>
                </c:pt>
                <c:pt idx="39">
                  <c:v>6.4814238133353314E-3</c:v>
                </c:pt>
                <c:pt idx="40">
                  <c:v>6.4551101869497977E-3</c:v>
                </c:pt>
                <c:pt idx="41">
                  <c:v>6.4290731800050772E-3</c:v>
                </c:pt>
                <c:pt idx="42">
                  <c:v>6.4036142313736088E-3</c:v>
                </c:pt>
                <c:pt idx="43">
                  <c:v>6.378378303171171E-3</c:v>
                </c:pt>
                <c:pt idx="44">
                  <c:v>6.3535619236693881E-3</c:v>
                </c:pt>
                <c:pt idx="45">
                  <c:v>6.3286900047055715E-3</c:v>
                </c:pt>
                <c:pt idx="46">
                  <c:v>6.3039597206773542E-3</c:v>
                </c:pt>
                <c:pt idx="47">
                  <c:v>6.2791041193288478E-3</c:v>
                </c:pt>
                <c:pt idx="48">
                  <c:v>6.2538732808103343E-3</c:v>
                </c:pt>
                <c:pt idx="49">
                  <c:v>6.2361977904825585E-3</c:v>
                </c:pt>
                <c:pt idx="50">
                  <c:v>6.2110234372771914E-3</c:v>
                </c:pt>
                <c:pt idx="51">
                  <c:v>6.1855082610959905E-3</c:v>
                </c:pt>
                <c:pt idx="52">
                  <c:v>6.1592770285897585E-3</c:v>
                </c:pt>
                <c:pt idx="53">
                  <c:v>6.1323156454216746E-3</c:v>
                </c:pt>
                <c:pt idx="54">
                  <c:v>6.1046469331140609E-3</c:v>
                </c:pt>
                <c:pt idx="55">
                  <c:v>6.0759963006724246E-3</c:v>
                </c:pt>
                <c:pt idx="56">
                  <c:v>6.0463871616376419E-3</c:v>
                </c:pt>
                <c:pt idx="57">
                  <c:v>6.0155667129398486E-3</c:v>
                </c:pt>
                <c:pt idx="58">
                  <c:v>5.9836449730827097E-3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CapletCalibration!$H$22:$H$80</c:f>
              <c:numCache>
                <c:formatCode>0.00%</c:formatCode>
                <c:ptCount val="59"/>
                <c:pt idx="0">
                  <c:v>2.7550827417675118E-3</c:v>
                </c:pt>
                <c:pt idx="1">
                  <c:v>3.2080434556143052E-3</c:v>
                </c:pt>
                <c:pt idx="2">
                  <c:v>3.7767584832235522E-3</c:v>
                </c:pt>
                <c:pt idx="3">
                  <c:v>4.4524916217770615E-3</c:v>
                </c:pt>
                <c:pt idx="4">
                  <c:v>5.054892035904264E-3</c:v>
                </c:pt>
                <c:pt idx="5">
                  <c:v>5.7962454555762271E-3</c:v>
                </c:pt>
                <c:pt idx="6">
                  <c:v>6.3326126164593233E-3</c:v>
                </c:pt>
                <c:pt idx="7">
                  <c:v>6.9361404437539523E-3</c:v>
                </c:pt>
                <c:pt idx="8">
                  <c:v>7.5078355962387407E-3</c:v>
                </c:pt>
                <c:pt idx="9">
                  <c:v>8.1485858312246775E-3</c:v>
                </c:pt>
                <c:pt idx="10">
                  <c:v>8.6425306302201424E-3</c:v>
                </c:pt>
                <c:pt idx="11">
                  <c:v>8.8060358101991996E-3</c:v>
                </c:pt>
                <c:pt idx="12">
                  <c:v>8.8933118977825975E-3</c:v>
                </c:pt>
                <c:pt idx="13">
                  <c:v>8.8174375371776904E-3</c:v>
                </c:pt>
                <c:pt idx="14">
                  <c:v>8.7155195658637705E-3</c:v>
                </c:pt>
                <c:pt idx="15">
                  <c:v>8.4650980483090763E-3</c:v>
                </c:pt>
                <c:pt idx="16">
                  <c:v>8.3006238767968574E-3</c:v>
                </c:pt>
                <c:pt idx="17">
                  <c:v>8.1014330684997908E-3</c:v>
                </c:pt>
                <c:pt idx="18">
                  <c:v>7.910870543456126E-3</c:v>
                </c:pt>
                <c:pt idx="19">
                  <c:v>7.6393779001212988E-3</c:v>
                </c:pt>
                <c:pt idx="20">
                  <c:v>7.403312506682194E-3</c:v>
                </c:pt>
                <c:pt idx="21">
                  <c:v>7.2174721490286418E-3</c:v>
                </c:pt>
                <c:pt idx="22">
                  <c:v>7.10460313830055E-3</c:v>
                </c:pt>
                <c:pt idx="23">
                  <c:v>7.0824471027422248E-3</c:v>
                </c:pt>
                <c:pt idx="24">
                  <c:v>7.0582530352910813E-3</c:v>
                </c:pt>
                <c:pt idx="25">
                  <c:v>7.0374070619282454E-3</c:v>
                </c:pt>
                <c:pt idx="26">
                  <c:v>7.0003023134778131E-3</c:v>
                </c:pt>
                <c:pt idx="27">
                  <c:v>6.9644187802488638E-3</c:v>
                </c:pt>
                <c:pt idx="28">
                  <c:v>6.9105372111431893E-3</c:v>
                </c:pt>
                <c:pt idx="29">
                  <c:v>6.8668092675761485E-3</c:v>
                </c:pt>
                <c:pt idx="30">
                  <c:v>6.8058024816016133E-3</c:v>
                </c:pt>
                <c:pt idx="31">
                  <c:v>6.7594209486900826E-3</c:v>
                </c:pt>
                <c:pt idx="32">
                  <c:v>6.7028256628030693E-3</c:v>
                </c:pt>
                <c:pt idx="33">
                  <c:v>6.6656564105249845E-3</c:v>
                </c:pt>
                <c:pt idx="34">
                  <c:v>6.6172146909110989E-3</c:v>
                </c:pt>
                <c:pt idx="35">
                  <c:v>6.5830622019964237E-3</c:v>
                </c:pt>
                <c:pt idx="36">
                  <c:v>6.5443115998825045E-3</c:v>
                </c:pt>
                <c:pt idx="37">
                  <c:v>6.524397994544631E-3</c:v>
                </c:pt>
                <c:pt idx="38">
                  <c:v>6.4979926328918155E-3</c:v>
                </c:pt>
                <c:pt idx="39">
                  <c:v>6.4955224302695111E-3</c:v>
                </c:pt>
                <c:pt idx="40">
                  <c:v>6.4767854749492523E-3</c:v>
                </c:pt>
                <c:pt idx="41">
                  <c:v>6.4573047992597206E-3</c:v>
                </c:pt>
                <c:pt idx="42">
                  <c:v>6.4371977813873051E-3</c:v>
                </c:pt>
                <c:pt idx="43">
                  <c:v>6.4159859319365591E-3</c:v>
                </c:pt>
                <c:pt idx="44">
                  <c:v>6.3936709265009963E-3</c:v>
                </c:pt>
                <c:pt idx="45">
                  <c:v>6.3696861746936756E-3</c:v>
                </c:pt>
                <c:pt idx="46">
                  <c:v>6.344029515685635E-3</c:v>
                </c:pt>
                <c:pt idx="47">
                  <c:v>6.3162989036434454E-3</c:v>
                </c:pt>
                <c:pt idx="48">
                  <c:v>6.2860239580943174E-3</c:v>
                </c:pt>
                <c:pt idx="49">
                  <c:v>6.260364646241412E-3</c:v>
                </c:pt>
                <c:pt idx="50">
                  <c:v>6.2282719947638777E-3</c:v>
                </c:pt>
                <c:pt idx="51">
                  <c:v>6.1962361582757692E-3</c:v>
                </c:pt>
                <c:pt idx="52">
                  <c:v>6.1639841082190621E-3</c:v>
                </c:pt>
                <c:pt idx="53">
                  <c:v>6.131605968596297E-3</c:v>
                </c:pt>
                <c:pt idx="54">
                  <c:v>6.099244836673819E-3</c:v>
                </c:pt>
                <c:pt idx="55">
                  <c:v>6.0667509133242609E-3</c:v>
                </c:pt>
                <c:pt idx="56">
                  <c:v>6.0342460910478039E-3</c:v>
                </c:pt>
                <c:pt idx="57">
                  <c:v>6.0016183627566722E-3</c:v>
                </c:pt>
                <c:pt idx="58">
                  <c:v>5.9690917851155569E-3</c:v>
                </c:pt>
              </c:numCache>
            </c:numRef>
          </c:yVal>
          <c:smooth val="0"/>
        </c:ser>
        <c:ser>
          <c:idx val="3"/>
          <c:order val="3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CapletCalibration!$I$22:$I$80</c:f>
              <c:numCache>
                <c:formatCode>0.00%</c:formatCode>
                <c:ptCount val="59"/>
                <c:pt idx="0">
                  <c:v>2.3943345741414606E-3</c:v>
                </c:pt>
                <c:pt idx="1">
                  <c:v>2.8959709833216293E-3</c:v>
                </c:pt>
                <c:pt idx="2">
                  <c:v>3.5078223829086998E-3</c:v>
                </c:pt>
                <c:pt idx="3">
                  <c:v>4.2303419775880126E-3</c:v>
                </c:pt>
                <c:pt idx="4">
                  <c:v>4.8813509535547495E-3</c:v>
                </c:pt>
                <c:pt idx="5">
                  <c:v>5.662776407314456E-3</c:v>
                </c:pt>
                <c:pt idx="6">
                  <c:v>6.217480428105885E-3</c:v>
                </c:pt>
                <c:pt idx="7">
                  <c:v>6.8200467370961512E-3</c:v>
                </c:pt>
                <c:pt idx="8">
                  <c:v>7.3719338564637296E-3</c:v>
                </c:pt>
                <c:pt idx="9">
                  <c:v>7.9841571708654489E-3</c:v>
                </c:pt>
                <c:pt idx="10">
                  <c:v>8.463954113091034E-3</c:v>
                </c:pt>
                <c:pt idx="11">
                  <c:v>8.6422727541854514E-3</c:v>
                </c:pt>
                <c:pt idx="12">
                  <c:v>8.7773610588994886E-3</c:v>
                </c:pt>
                <c:pt idx="13">
                  <c:v>8.7705848454420147E-3</c:v>
                </c:pt>
                <c:pt idx="14">
                  <c:v>8.7052753978080002E-3</c:v>
                </c:pt>
                <c:pt idx="15">
                  <c:v>8.4297443632621559E-3</c:v>
                </c:pt>
                <c:pt idx="16">
                  <c:v>8.231819244272541E-3</c:v>
                </c:pt>
                <c:pt idx="17">
                  <c:v>8.0014716002486698E-3</c:v>
                </c:pt>
                <c:pt idx="18">
                  <c:v>7.8193633999037206E-3</c:v>
                </c:pt>
                <c:pt idx="19">
                  <c:v>7.5951268807342362E-3</c:v>
                </c:pt>
                <c:pt idx="20">
                  <c:v>7.4117805208590622E-3</c:v>
                </c:pt>
                <c:pt idx="21">
                  <c:v>7.256435097938013E-3</c:v>
                </c:pt>
                <c:pt idx="22">
                  <c:v>7.159785298856863E-3</c:v>
                </c:pt>
                <c:pt idx="23">
                  <c:v>7.1201311702577411E-3</c:v>
                </c:pt>
                <c:pt idx="24">
                  <c:v>7.0868017409668515E-3</c:v>
                </c:pt>
                <c:pt idx="25">
                  <c:v>7.0525597311285899E-3</c:v>
                </c:pt>
                <c:pt idx="26">
                  <c:v>7.0101857153903099E-3</c:v>
                </c:pt>
                <c:pt idx="27">
                  <c:v>6.9686324090967779E-3</c:v>
                </c:pt>
                <c:pt idx="28">
                  <c:v>6.9167025991354863E-3</c:v>
                </c:pt>
                <c:pt idx="29">
                  <c:v>6.8732621910156085E-3</c:v>
                </c:pt>
                <c:pt idx="30">
                  <c:v>6.8182221495259729E-3</c:v>
                </c:pt>
                <c:pt idx="31">
                  <c:v>6.7737069688643394E-3</c:v>
                </c:pt>
                <c:pt idx="32">
                  <c:v>6.7217960287657757E-3</c:v>
                </c:pt>
                <c:pt idx="33">
                  <c:v>6.6846740403435122E-3</c:v>
                </c:pt>
                <c:pt idx="34">
                  <c:v>6.6392893210586784E-3</c:v>
                </c:pt>
                <c:pt idx="35">
                  <c:v>6.6052313156323653E-3</c:v>
                </c:pt>
                <c:pt idx="36">
                  <c:v>6.5679292875357792E-3</c:v>
                </c:pt>
                <c:pt idx="37">
                  <c:v>6.545921068722857E-3</c:v>
                </c:pt>
                <c:pt idx="38">
                  <c:v>6.5192256821476518E-3</c:v>
                </c:pt>
                <c:pt idx="39">
                  <c:v>6.5123586724052688E-3</c:v>
                </c:pt>
                <c:pt idx="40">
                  <c:v>6.4922505634667435E-3</c:v>
                </c:pt>
                <c:pt idx="41">
                  <c:v>6.4712616688815143E-3</c:v>
                </c:pt>
                <c:pt idx="42">
                  <c:v>6.4495511180862747E-3</c:v>
                </c:pt>
                <c:pt idx="43">
                  <c:v>6.4267079012308445E-3</c:v>
                </c:pt>
                <c:pt idx="44">
                  <c:v>6.4027547603125066E-3</c:v>
                </c:pt>
                <c:pt idx="45">
                  <c:v>6.3772158930961E-3</c:v>
                </c:pt>
                <c:pt idx="46">
                  <c:v>6.3501130820241749E-3</c:v>
                </c:pt>
                <c:pt idx="47">
                  <c:v>6.3211132521745206E-3</c:v>
                </c:pt>
                <c:pt idx="48">
                  <c:v>6.2897879886713781E-3</c:v>
                </c:pt>
                <c:pt idx="49">
                  <c:v>6.2625468618652778E-3</c:v>
                </c:pt>
                <c:pt idx="50">
                  <c:v>6.2297673421422301E-3</c:v>
                </c:pt>
                <c:pt idx="51">
                  <c:v>6.1971643797273128E-3</c:v>
                </c:pt>
                <c:pt idx="52">
                  <c:v>6.1644873025820694E-3</c:v>
                </c:pt>
                <c:pt idx="53">
                  <c:v>6.1318640242012338E-3</c:v>
                </c:pt>
                <c:pt idx="54">
                  <c:v>6.0994600938440949E-3</c:v>
                </c:pt>
                <c:pt idx="55">
                  <c:v>6.0671671959493132E-3</c:v>
                </c:pt>
                <c:pt idx="56">
                  <c:v>6.0351272159133258E-3</c:v>
                </c:pt>
                <c:pt idx="57">
                  <c:v>6.0032737776374622E-3</c:v>
                </c:pt>
                <c:pt idx="58">
                  <c:v>5.9718517107901553E-3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CapletCalibration!$J$22:$J$80</c:f>
              <c:numCache>
                <c:formatCode>0.00%</c:formatCode>
                <c:ptCount val="59"/>
                <c:pt idx="0">
                  <c:v>2.4553995155909146E-3</c:v>
                </c:pt>
                <c:pt idx="1">
                  <c:v>2.9170639090416116E-3</c:v>
                </c:pt>
                <c:pt idx="2">
                  <c:v>3.4904672820336644E-3</c:v>
                </c:pt>
                <c:pt idx="3">
                  <c:v>4.1687797253675656E-3</c:v>
                </c:pt>
                <c:pt idx="4">
                  <c:v>4.8183988598346737E-3</c:v>
                </c:pt>
                <c:pt idx="5">
                  <c:v>5.5593838613664766E-3</c:v>
                </c:pt>
                <c:pt idx="6">
                  <c:v>6.1000130320450381E-3</c:v>
                </c:pt>
                <c:pt idx="7">
                  <c:v>6.6682811387616591E-3</c:v>
                </c:pt>
                <c:pt idx="8">
                  <c:v>7.2306078075223398E-3</c:v>
                </c:pt>
                <c:pt idx="9">
                  <c:v>7.8904318055582172E-3</c:v>
                </c:pt>
                <c:pt idx="10">
                  <c:v>8.3754373445440108E-3</c:v>
                </c:pt>
                <c:pt idx="11">
                  <c:v>8.5036327155560733E-3</c:v>
                </c:pt>
                <c:pt idx="12">
                  <c:v>8.6089979457022008E-3</c:v>
                </c:pt>
                <c:pt idx="13">
                  <c:v>8.6246213218254819E-3</c:v>
                </c:pt>
                <c:pt idx="14">
                  <c:v>8.5750947842544098E-3</c:v>
                </c:pt>
                <c:pt idx="15">
                  <c:v>8.3073428143720304E-3</c:v>
                </c:pt>
                <c:pt idx="16">
                  <c:v>8.15770794703689E-3</c:v>
                </c:pt>
                <c:pt idx="17">
                  <c:v>8.0201168671812095E-3</c:v>
                </c:pt>
                <c:pt idx="18">
                  <c:v>7.8863469456981368E-3</c:v>
                </c:pt>
                <c:pt idx="19">
                  <c:v>7.6356325839026344E-3</c:v>
                </c:pt>
                <c:pt idx="20">
                  <c:v>7.4203743386160852E-3</c:v>
                </c:pt>
                <c:pt idx="21">
                  <c:v>7.2413333922256599E-3</c:v>
                </c:pt>
                <c:pt idx="22">
                  <c:v>7.1386655237829491E-3</c:v>
                </c:pt>
                <c:pt idx="23">
                  <c:v>7.1051591613056925E-3</c:v>
                </c:pt>
                <c:pt idx="24">
                  <c:v>7.083199544734551E-3</c:v>
                </c:pt>
                <c:pt idx="25">
                  <c:v>7.0559266416425617E-3</c:v>
                </c:pt>
                <c:pt idx="26">
                  <c:v>7.0206702795171409E-3</c:v>
                </c:pt>
                <c:pt idx="27">
                  <c:v>6.9812426642215149E-3</c:v>
                </c:pt>
                <c:pt idx="28">
                  <c:v>6.9304116998855974E-3</c:v>
                </c:pt>
                <c:pt idx="29">
                  <c:v>6.8817131611091965E-3</c:v>
                </c:pt>
                <c:pt idx="30">
                  <c:v>6.8243619529041377E-3</c:v>
                </c:pt>
                <c:pt idx="31">
                  <c:v>6.7759998343871301E-3</c:v>
                </c:pt>
                <c:pt idx="32">
                  <c:v>6.7227095542980852E-3</c:v>
                </c:pt>
                <c:pt idx="33">
                  <c:v>6.6829720432611244E-3</c:v>
                </c:pt>
                <c:pt idx="34">
                  <c:v>6.6377923881523549E-3</c:v>
                </c:pt>
                <c:pt idx="35">
                  <c:v>6.6039154930917915E-3</c:v>
                </c:pt>
                <c:pt idx="36">
                  <c:v>6.5691401755897157E-3</c:v>
                </c:pt>
                <c:pt idx="37">
                  <c:v>6.5496067575634871E-3</c:v>
                </c:pt>
                <c:pt idx="38">
                  <c:v>6.5284630526536973E-3</c:v>
                </c:pt>
                <c:pt idx="39">
                  <c:v>6.5261649037625146E-3</c:v>
                </c:pt>
                <c:pt idx="40">
                  <c:v>6.5125497723856566E-3</c:v>
                </c:pt>
                <c:pt idx="41">
                  <c:v>6.497402667909746E-3</c:v>
                </c:pt>
                <c:pt idx="42">
                  <c:v>6.4807461650037501E-3</c:v>
                </c:pt>
                <c:pt idx="43">
                  <c:v>6.4620714482025565E-3</c:v>
                </c:pt>
                <c:pt idx="44">
                  <c:v>6.4412584212200112E-3</c:v>
                </c:pt>
                <c:pt idx="45">
                  <c:v>6.4177559158389869E-3</c:v>
                </c:pt>
                <c:pt idx="46">
                  <c:v>6.3914388422620406E-3</c:v>
                </c:pt>
                <c:pt idx="47">
                  <c:v>6.3618705075810522E-3</c:v>
                </c:pt>
                <c:pt idx="48">
                  <c:v>6.3284712908802066E-3</c:v>
                </c:pt>
                <c:pt idx="49">
                  <c:v>6.2969592008066443E-3</c:v>
                </c:pt>
                <c:pt idx="50">
                  <c:v>6.2607116053064633E-3</c:v>
                </c:pt>
                <c:pt idx="51">
                  <c:v>6.2248940547577399E-3</c:v>
                </c:pt>
                <c:pt idx="52">
                  <c:v>6.1893121673397963E-3</c:v>
                </c:pt>
                <c:pt idx="53">
                  <c:v>6.1541613877373483E-3</c:v>
                </c:pt>
                <c:pt idx="54">
                  <c:v>6.1196719945175474E-3</c:v>
                </c:pt>
                <c:pt idx="55">
                  <c:v>6.0858134536370375E-3</c:v>
                </c:pt>
                <c:pt idx="56">
                  <c:v>6.0527812768135271E-3</c:v>
                </c:pt>
                <c:pt idx="57">
                  <c:v>6.0205956986042249E-3</c:v>
                </c:pt>
                <c:pt idx="58">
                  <c:v>5.989561963671809E-3</c:v>
                </c:pt>
              </c:numCache>
            </c:numRef>
          </c:yVal>
          <c:smooth val="0"/>
        </c:ser>
        <c:ser>
          <c:idx val="5"/>
          <c:order val="5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CapletCalibration!$K$22:$K$80</c:f>
              <c:numCache>
                <c:formatCode>0.00%</c:formatCode>
                <c:ptCount val="59"/>
                <c:pt idx="0">
                  <c:v>2.4845954595816991E-3</c:v>
                </c:pt>
                <c:pt idx="1">
                  <c:v>2.9050482795821698E-3</c:v>
                </c:pt>
                <c:pt idx="2">
                  <c:v>3.4452350954676252E-3</c:v>
                </c:pt>
                <c:pt idx="3">
                  <c:v>4.0843702731962958E-3</c:v>
                </c:pt>
                <c:pt idx="4">
                  <c:v>4.7389728142328133E-3</c:v>
                </c:pt>
                <c:pt idx="5">
                  <c:v>5.4554983502354036E-3</c:v>
                </c:pt>
                <c:pt idx="6">
                  <c:v>6.0175622761007904E-3</c:v>
                </c:pt>
                <c:pt idx="7">
                  <c:v>6.5922878002069663E-3</c:v>
                </c:pt>
                <c:pt idx="8">
                  <c:v>7.1377915448467052E-3</c:v>
                </c:pt>
                <c:pt idx="9">
                  <c:v>7.7436500015223685E-3</c:v>
                </c:pt>
                <c:pt idx="10">
                  <c:v>8.2165595888039466E-3</c:v>
                </c:pt>
                <c:pt idx="11">
                  <c:v>8.4016837696343181E-3</c:v>
                </c:pt>
                <c:pt idx="12">
                  <c:v>8.5322052999618706E-3</c:v>
                </c:pt>
                <c:pt idx="13">
                  <c:v>8.5259703448014468E-3</c:v>
                </c:pt>
                <c:pt idx="14">
                  <c:v>8.4726624867042123E-3</c:v>
                </c:pt>
                <c:pt idx="15">
                  <c:v>8.2465342622831967E-3</c:v>
                </c:pt>
                <c:pt idx="16">
                  <c:v>8.1173324966039503E-3</c:v>
                </c:pt>
                <c:pt idx="17">
                  <c:v>7.9723730137317497E-3</c:v>
                </c:pt>
                <c:pt idx="18">
                  <c:v>7.8366648243769817E-3</c:v>
                </c:pt>
                <c:pt idx="19">
                  <c:v>7.6041638296304856E-3</c:v>
                </c:pt>
                <c:pt idx="20">
                  <c:v>7.4095529792377879E-3</c:v>
                </c:pt>
                <c:pt idx="21">
                  <c:v>7.247812215382868E-3</c:v>
                </c:pt>
                <c:pt idx="22">
                  <c:v>7.1595717006551415E-3</c:v>
                </c:pt>
                <c:pt idx="23">
                  <c:v>7.1320418860284585E-3</c:v>
                </c:pt>
                <c:pt idx="24">
                  <c:v>7.1171823150284839E-3</c:v>
                </c:pt>
                <c:pt idx="25">
                  <c:v>7.0926138218633025E-3</c:v>
                </c:pt>
                <c:pt idx="26">
                  <c:v>7.0601090711174307E-3</c:v>
                </c:pt>
                <c:pt idx="27">
                  <c:v>7.0189082469661853E-3</c:v>
                </c:pt>
                <c:pt idx="28">
                  <c:v>6.9651432382611548E-3</c:v>
                </c:pt>
                <c:pt idx="29">
                  <c:v>6.9081857242877277E-3</c:v>
                </c:pt>
                <c:pt idx="30">
                  <c:v>6.8447665727056949E-3</c:v>
                </c:pt>
                <c:pt idx="31">
                  <c:v>6.7893559325922078E-3</c:v>
                </c:pt>
                <c:pt idx="32">
                  <c:v>6.7309015563100138E-3</c:v>
                </c:pt>
                <c:pt idx="33">
                  <c:v>6.6856111747455012E-3</c:v>
                </c:pt>
                <c:pt idx="34">
                  <c:v>6.6370793214536785E-3</c:v>
                </c:pt>
                <c:pt idx="35">
                  <c:v>6.6004783785297682E-3</c:v>
                </c:pt>
                <c:pt idx="36">
                  <c:v>6.5650144920428952E-3</c:v>
                </c:pt>
                <c:pt idx="37">
                  <c:v>6.5456974776016193E-3</c:v>
                </c:pt>
                <c:pt idx="38">
                  <c:v>6.5274059863089087E-3</c:v>
                </c:pt>
                <c:pt idx="39">
                  <c:v>6.5284411792644742E-3</c:v>
                </c:pt>
                <c:pt idx="40">
                  <c:v>6.5194615237213786E-3</c:v>
                </c:pt>
                <c:pt idx="41">
                  <c:v>6.508754918015898E-3</c:v>
                </c:pt>
                <c:pt idx="42">
                  <c:v>6.4962736399296703E-3</c:v>
                </c:pt>
                <c:pt idx="43">
                  <c:v>6.481457287033302E-3</c:v>
                </c:pt>
                <c:pt idx="44">
                  <c:v>6.4641128128665104E-3</c:v>
                </c:pt>
                <c:pt idx="45">
                  <c:v>6.443651551235878E-3</c:v>
                </c:pt>
                <c:pt idx="46">
                  <c:v>6.4198729420596387E-3</c:v>
                </c:pt>
                <c:pt idx="47">
                  <c:v>6.392289473437238E-3</c:v>
                </c:pt>
                <c:pt idx="48">
                  <c:v>6.3602656774233851E-3</c:v>
                </c:pt>
                <c:pt idx="49">
                  <c:v>6.3288943225307823E-3</c:v>
                </c:pt>
                <c:pt idx="50">
                  <c:v>6.2933364989211527E-3</c:v>
                </c:pt>
                <c:pt idx="51">
                  <c:v>6.2582737451260095E-3</c:v>
                </c:pt>
                <c:pt idx="52">
                  <c:v>6.2235159273174769E-3</c:v>
                </c:pt>
                <c:pt idx="53">
                  <c:v>6.1892817862337704E-3</c:v>
                </c:pt>
                <c:pt idx="54">
                  <c:v>6.1558021750332476E-3</c:v>
                </c:pt>
                <c:pt idx="55">
                  <c:v>6.1230695547604911E-3</c:v>
                </c:pt>
                <c:pt idx="56">
                  <c:v>6.0912823327532849E-3</c:v>
                </c:pt>
                <c:pt idx="57">
                  <c:v>6.0604846808002925E-3</c:v>
                </c:pt>
                <c:pt idx="58">
                  <c:v>6.0309821016995783E-3</c:v>
                </c:pt>
              </c:numCache>
            </c:numRef>
          </c:yVal>
          <c:smooth val="0"/>
        </c:ser>
        <c:ser>
          <c:idx val="6"/>
          <c:order val="6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CapletCalibration!$L$22:$L$80</c:f>
              <c:numCache>
                <c:formatCode>0.00%</c:formatCode>
                <c:ptCount val="59"/>
                <c:pt idx="0">
                  <c:v>3.191795992313849E-3</c:v>
                </c:pt>
                <c:pt idx="1">
                  <c:v>3.5268278430757995E-3</c:v>
                </c:pt>
                <c:pt idx="2">
                  <c:v>3.9319076855389148E-3</c:v>
                </c:pt>
                <c:pt idx="3">
                  <c:v>4.3665744962230624E-3</c:v>
                </c:pt>
                <c:pt idx="4">
                  <c:v>4.8437230728995669E-3</c:v>
                </c:pt>
                <c:pt idx="5">
                  <c:v>5.347396978841657E-3</c:v>
                </c:pt>
                <c:pt idx="6">
                  <c:v>5.8519196622703225E-3</c:v>
                </c:pt>
                <c:pt idx="7">
                  <c:v>6.4103117978798968E-3</c:v>
                </c:pt>
                <c:pt idx="8">
                  <c:v>6.9499876437783591E-3</c:v>
                </c:pt>
                <c:pt idx="9">
                  <c:v>7.4816613855258982E-3</c:v>
                </c:pt>
                <c:pt idx="10">
                  <c:v>7.9223098000850232E-3</c:v>
                </c:pt>
                <c:pt idx="11">
                  <c:v>8.1693027567330562E-3</c:v>
                </c:pt>
                <c:pt idx="12">
                  <c:v>8.3146810359273609E-3</c:v>
                </c:pt>
                <c:pt idx="13">
                  <c:v>8.2842199834531807E-3</c:v>
                </c:pt>
                <c:pt idx="14">
                  <c:v>8.2407159212689977E-3</c:v>
                </c:pt>
                <c:pt idx="15">
                  <c:v>8.1161406231372388E-3</c:v>
                </c:pt>
                <c:pt idx="16">
                  <c:v>8.044020346685719E-3</c:v>
                </c:pt>
                <c:pt idx="17">
                  <c:v>7.9179089116187904E-3</c:v>
                </c:pt>
                <c:pt idx="18">
                  <c:v>7.7943213795411345E-3</c:v>
                </c:pt>
                <c:pt idx="19">
                  <c:v>7.6002980140065738E-3</c:v>
                </c:pt>
                <c:pt idx="20">
                  <c:v>7.4350118630018428E-3</c:v>
                </c:pt>
                <c:pt idx="21">
                  <c:v>7.2903422392343147E-3</c:v>
                </c:pt>
                <c:pt idx="22">
                  <c:v>7.1999601207420926E-3</c:v>
                </c:pt>
                <c:pt idx="23">
                  <c:v>7.1537165595216869E-3</c:v>
                </c:pt>
                <c:pt idx="24">
                  <c:v>7.119081342126592E-3</c:v>
                </c:pt>
                <c:pt idx="25">
                  <c:v>7.0805891705835282E-3</c:v>
                </c:pt>
                <c:pt idx="26">
                  <c:v>7.0391025522021583E-3</c:v>
                </c:pt>
                <c:pt idx="27">
                  <c:v>6.9971893420267767E-3</c:v>
                </c:pt>
                <c:pt idx="28">
                  <c:v>6.9502450674653257E-3</c:v>
                </c:pt>
                <c:pt idx="29">
                  <c:v>6.9081557393622919E-3</c:v>
                </c:pt>
                <c:pt idx="30">
                  <c:v>6.860116944074319E-3</c:v>
                </c:pt>
                <c:pt idx="31">
                  <c:v>6.8180369776236266E-3</c:v>
                </c:pt>
                <c:pt idx="32">
                  <c:v>6.7722653286517824E-3</c:v>
                </c:pt>
                <c:pt idx="33">
                  <c:v>6.7356267577220706E-3</c:v>
                </c:pt>
                <c:pt idx="34">
                  <c:v>6.6951391068378364E-3</c:v>
                </c:pt>
                <c:pt idx="35">
                  <c:v>6.6622868501796974E-3</c:v>
                </c:pt>
                <c:pt idx="36">
                  <c:v>6.6287581220154839E-3</c:v>
                </c:pt>
                <c:pt idx="37">
                  <c:v>6.6056983918601131E-3</c:v>
                </c:pt>
                <c:pt idx="38">
                  <c:v>6.5815384514495727E-3</c:v>
                </c:pt>
                <c:pt idx="39">
                  <c:v>6.5710140171584873E-3</c:v>
                </c:pt>
                <c:pt idx="40">
                  <c:v>6.5528607217919185E-3</c:v>
                </c:pt>
                <c:pt idx="41">
                  <c:v>6.5340368060978699E-3</c:v>
                </c:pt>
                <c:pt idx="42">
                  <c:v>6.514759643298864E-3</c:v>
                </c:pt>
                <c:pt idx="43">
                  <c:v>6.4947041399563421E-3</c:v>
                </c:pt>
                <c:pt idx="44">
                  <c:v>6.4739117589102547E-3</c:v>
                </c:pt>
                <c:pt idx="45">
                  <c:v>6.4520417537807396E-3</c:v>
                </c:pt>
                <c:pt idx="46">
                  <c:v>6.4291363882086347E-3</c:v>
                </c:pt>
                <c:pt idx="47">
                  <c:v>6.4049642806373484E-3</c:v>
                </c:pt>
                <c:pt idx="48">
                  <c:v>6.3792104021649894E-3</c:v>
                </c:pt>
                <c:pt idx="49">
                  <c:v>6.355905792984228E-3</c:v>
                </c:pt>
                <c:pt idx="50">
                  <c:v>6.329248898064457E-3</c:v>
                </c:pt>
                <c:pt idx="51">
                  <c:v>6.3027622390242084E-3</c:v>
                </c:pt>
                <c:pt idx="52">
                  <c:v>6.2761484137736556E-3</c:v>
                </c:pt>
                <c:pt idx="53">
                  <c:v>6.2495701797418562E-3</c:v>
                </c:pt>
                <c:pt idx="54">
                  <c:v>6.2231300788013937E-3</c:v>
                </c:pt>
                <c:pt idx="55">
                  <c:v>6.1967375016054914E-3</c:v>
                </c:pt>
                <c:pt idx="56">
                  <c:v>6.1704926171850015E-3</c:v>
                </c:pt>
                <c:pt idx="57">
                  <c:v>6.1443432212976764E-3</c:v>
                </c:pt>
                <c:pt idx="58">
                  <c:v>6.1184767198379768E-3</c:v>
                </c:pt>
              </c:numCache>
            </c:numRef>
          </c:yVal>
          <c:smooth val="0"/>
        </c:ser>
        <c:ser>
          <c:idx val="7"/>
          <c:order val="7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CapletCalibration!$M$22:$M$80</c:f>
              <c:numCache>
                <c:formatCode>0.00%</c:formatCode>
                <c:ptCount val="59"/>
                <c:pt idx="0">
                  <c:v>5.0672919397554547E-3</c:v>
                </c:pt>
                <c:pt idx="1">
                  <c:v>5.276594775763796E-3</c:v>
                </c:pt>
                <c:pt idx="2">
                  <c:v>5.4463564956832595E-3</c:v>
                </c:pt>
                <c:pt idx="3">
                  <c:v>5.5428740451252626E-3</c:v>
                </c:pt>
                <c:pt idx="4">
                  <c:v>5.6181460835740297E-3</c:v>
                </c:pt>
                <c:pt idx="5">
                  <c:v>5.7153598998152359E-3</c:v>
                </c:pt>
                <c:pt idx="6">
                  <c:v>5.9081513140009142E-3</c:v>
                </c:pt>
                <c:pt idx="7">
                  <c:v>6.2503524316420223E-3</c:v>
                </c:pt>
                <c:pt idx="8">
                  <c:v>6.6580577657209591E-3</c:v>
                </c:pt>
                <c:pt idx="9">
                  <c:v>7.0656395381293617E-3</c:v>
                </c:pt>
                <c:pt idx="10">
                  <c:v>7.4311316060234837E-3</c:v>
                </c:pt>
                <c:pt idx="11">
                  <c:v>7.7017043688387887E-3</c:v>
                </c:pt>
                <c:pt idx="12">
                  <c:v>7.8801118305027781E-3</c:v>
                </c:pt>
                <c:pt idx="13">
                  <c:v>7.927055121090449E-3</c:v>
                </c:pt>
                <c:pt idx="14">
                  <c:v>7.9358144196703482E-3</c:v>
                </c:pt>
                <c:pt idx="15">
                  <c:v>7.8872706703221208E-3</c:v>
                </c:pt>
                <c:pt idx="16">
                  <c:v>7.8496564493996442E-3</c:v>
                </c:pt>
                <c:pt idx="17">
                  <c:v>7.7807991180654261E-3</c:v>
                </c:pt>
                <c:pt idx="18">
                  <c:v>7.7061809091265379E-3</c:v>
                </c:pt>
                <c:pt idx="19">
                  <c:v>7.5940566226951542E-3</c:v>
                </c:pt>
                <c:pt idx="20">
                  <c:v>7.4913695983059572E-3</c:v>
                </c:pt>
                <c:pt idx="21">
                  <c:v>7.3930742545352326E-3</c:v>
                </c:pt>
                <c:pt idx="22">
                  <c:v>7.3184692721004379E-3</c:v>
                </c:pt>
                <c:pt idx="23">
                  <c:v>7.2626967816533244E-3</c:v>
                </c:pt>
                <c:pt idx="24">
                  <c:v>7.2129794532372823E-3</c:v>
                </c:pt>
                <c:pt idx="25">
                  <c:v>7.16287472975549E-3</c:v>
                </c:pt>
                <c:pt idx="26">
                  <c:v>7.1130839641715109E-3</c:v>
                </c:pt>
                <c:pt idx="27">
                  <c:v>7.0679540788784051E-3</c:v>
                </c:pt>
                <c:pt idx="28">
                  <c:v>7.0234247917723164E-3</c:v>
                </c:pt>
                <c:pt idx="29">
                  <c:v>6.9882460569416441E-3</c:v>
                </c:pt>
                <c:pt idx="30">
                  <c:v>6.9488933940744608E-3</c:v>
                </c:pt>
                <c:pt idx="31">
                  <c:v>6.9136483501155473E-3</c:v>
                </c:pt>
                <c:pt idx="32">
                  <c:v>6.8756236484480635E-3</c:v>
                </c:pt>
                <c:pt idx="33">
                  <c:v>6.8434870484280052E-3</c:v>
                </c:pt>
                <c:pt idx="34">
                  <c:v>6.8088206490241679E-3</c:v>
                </c:pt>
                <c:pt idx="35">
                  <c:v>6.7788415440597554E-3</c:v>
                </c:pt>
                <c:pt idx="36">
                  <c:v>6.7485487024849635E-3</c:v>
                </c:pt>
                <c:pt idx="37">
                  <c:v>6.7245560493725395E-3</c:v>
                </c:pt>
                <c:pt idx="38">
                  <c:v>6.7002076596817039E-3</c:v>
                </c:pt>
                <c:pt idx="39">
                  <c:v>6.6842845424780898E-3</c:v>
                </c:pt>
                <c:pt idx="40">
                  <c:v>6.6636369304926609E-3</c:v>
                </c:pt>
                <c:pt idx="41">
                  <c:v>6.6419429259870115E-3</c:v>
                </c:pt>
                <c:pt idx="42">
                  <c:v>6.619436220560616E-3</c:v>
                </c:pt>
                <c:pt idx="43">
                  <c:v>6.5957745769502822E-3</c:v>
                </c:pt>
                <c:pt idx="44">
                  <c:v>6.5709795217144332E-3</c:v>
                </c:pt>
                <c:pt idx="45">
                  <c:v>6.5447113627806726E-3</c:v>
                </c:pt>
                <c:pt idx="46">
                  <c:v>6.5169936008815125E-3</c:v>
                </c:pt>
                <c:pt idx="47">
                  <c:v>6.4875869994353514E-3</c:v>
                </c:pt>
                <c:pt idx="48">
                  <c:v>6.456115426522034E-3</c:v>
                </c:pt>
                <c:pt idx="49">
                  <c:v>6.4255136446118291E-3</c:v>
                </c:pt>
                <c:pt idx="50">
                  <c:v>6.3928849165381975E-3</c:v>
                </c:pt>
                <c:pt idx="51">
                  <c:v>6.3606270082533691E-3</c:v>
                </c:pt>
                <c:pt idx="52">
                  <c:v>6.3284489904752829E-3</c:v>
                </c:pt>
                <c:pt idx="53">
                  <c:v>6.296571531069166E-3</c:v>
                </c:pt>
                <c:pt idx="54">
                  <c:v>6.2651513528723911E-3</c:v>
                </c:pt>
                <c:pt idx="55">
                  <c:v>6.2341404478353565E-3</c:v>
                </c:pt>
                <c:pt idx="56">
                  <c:v>6.2036799943684436E-3</c:v>
                </c:pt>
                <c:pt idx="57">
                  <c:v>6.1737725699900292E-3</c:v>
                </c:pt>
                <c:pt idx="58">
                  <c:v>6.1446653584161385E-3</c:v>
                </c:pt>
              </c:numCache>
            </c:numRef>
          </c:yVal>
          <c:smooth val="0"/>
        </c:ser>
        <c:ser>
          <c:idx val="8"/>
          <c:order val="8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CapletCalibration!$N$22:$N$80</c:f>
              <c:numCache>
                <c:formatCode>0.00%</c:formatCode>
                <c:ptCount val="59"/>
                <c:pt idx="0">
                  <c:v>7.1177924788441921E-3</c:v>
                </c:pt>
                <c:pt idx="1">
                  <c:v>7.1716954233247143E-3</c:v>
                </c:pt>
                <c:pt idx="2">
                  <c:v>7.1167294015939244E-3</c:v>
                </c:pt>
                <c:pt idx="3">
                  <c:v>6.945237218476224E-3</c:v>
                </c:pt>
                <c:pt idx="4">
                  <c:v>6.7112324607592876E-3</c:v>
                </c:pt>
                <c:pt idx="5">
                  <c:v>6.5325982344744161E-3</c:v>
                </c:pt>
                <c:pt idx="6">
                  <c:v>6.4342294484917798E-3</c:v>
                </c:pt>
                <c:pt idx="7">
                  <c:v>6.5209751638433721E-3</c:v>
                </c:pt>
                <c:pt idx="8">
                  <c:v>6.6795056046906939E-3</c:v>
                </c:pt>
                <c:pt idx="9">
                  <c:v>6.8692166513794287E-3</c:v>
                </c:pt>
                <c:pt idx="10">
                  <c:v>7.1082771426828478E-3</c:v>
                </c:pt>
                <c:pt idx="11">
                  <c:v>7.3816222775817762E-3</c:v>
                </c:pt>
                <c:pt idx="12">
                  <c:v>7.5703999921339195E-3</c:v>
                </c:pt>
                <c:pt idx="13">
                  <c:v>7.6191684636533865E-3</c:v>
                </c:pt>
                <c:pt idx="14">
                  <c:v>7.6612240763225363E-3</c:v>
                </c:pt>
                <c:pt idx="15">
                  <c:v>7.7274107889784178E-3</c:v>
                </c:pt>
                <c:pt idx="16">
                  <c:v>7.7636932911151913E-3</c:v>
                </c:pt>
                <c:pt idx="17">
                  <c:v>7.738375214087709E-3</c:v>
                </c:pt>
                <c:pt idx="18">
                  <c:v>7.6919691189413376E-3</c:v>
                </c:pt>
                <c:pt idx="19">
                  <c:v>7.6281866757344748E-3</c:v>
                </c:pt>
                <c:pt idx="20">
                  <c:v>7.5624750285484682E-3</c:v>
                </c:pt>
                <c:pt idx="21">
                  <c:v>7.4929126140536482E-3</c:v>
                </c:pt>
                <c:pt idx="22">
                  <c:v>7.4289911974845342E-3</c:v>
                </c:pt>
                <c:pt idx="23">
                  <c:v>7.3701467741636682E-3</c:v>
                </c:pt>
                <c:pt idx="24">
                  <c:v>7.313443779108553E-3</c:v>
                </c:pt>
                <c:pt idx="25">
                  <c:v>7.2581754134580833E-3</c:v>
                </c:pt>
                <c:pt idx="26">
                  <c:v>7.2056058772364401E-3</c:v>
                </c:pt>
                <c:pt idx="27">
                  <c:v>7.1603284808257608E-3</c:v>
                </c:pt>
                <c:pt idx="28">
                  <c:v>7.1198032266486791E-3</c:v>
                </c:pt>
                <c:pt idx="29">
                  <c:v>7.0903584864022038E-3</c:v>
                </c:pt>
                <c:pt idx="30">
                  <c:v>7.0588800107656826E-3</c:v>
                </c:pt>
                <c:pt idx="31">
                  <c:v>7.029360350643294E-3</c:v>
                </c:pt>
                <c:pt idx="32">
                  <c:v>6.9980587407890262E-3</c:v>
                </c:pt>
                <c:pt idx="33">
                  <c:v>6.9693477783461235E-3</c:v>
                </c:pt>
                <c:pt idx="34">
                  <c:v>6.9392249034589482E-3</c:v>
                </c:pt>
                <c:pt idx="35">
                  <c:v>6.9108357582907684E-3</c:v>
                </c:pt>
                <c:pt idx="36">
                  <c:v>6.8821527460950866E-3</c:v>
                </c:pt>
                <c:pt idx="37">
                  <c:v>6.8556809055098792E-3</c:v>
                </c:pt>
                <c:pt idx="38">
                  <c:v>6.8290889797937458E-3</c:v>
                </c:pt>
                <c:pt idx="39">
                  <c:v>6.8060164879022497E-3</c:v>
                </c:pt>
                <c:pt idx="40">
                  <c:v>6.7815552227246884E-3</c:v>
                </c:pt>
                <c:pt idx="41">
                  <c:v>6.7567892055909644E-3</c:v>
                </c:pt>
                <c:pt idx="42">
                  <c:v>6.7321173694427812E-3</c:v>
                </c:pt>
                <c:pt idx="43">
                  <c:v>6.7073168415400959E-3</c:v>
                </c:pt>
                <c:pt idx="44">
                  <c:v>6.6825323795370924E-3</c:v>
                </c:pt>
                <c:pt idx="45">
                  <c:v>6.6575650870905603E-3</c:v>
                </c:pt>
                <c:pt idx="46">
                  <c:v>6.6325642388978534E-3</c:v>
                </c:pt>
                <c:pt idx="47">
                  <c:v>6.6074336425785739E-3</c:v>
                </c:pt>
                <c:pt idx="48">
                  <c:v>6.5819902862635921E-3</c:v>
                </c:pt>
                <c:pt idx="49">
                  <c:v>6.5574298637078119E-3</c:v>
                </c:pt>
                <c:pt idx="50">
                  <c:v>6.5322960656192166E-3</c:v>
                </c:pt>
                <c:pt idx="51">
                  <c:v>6.5072788980721254E-3</c:v>
                </c:pt>
                <c:pt idx="52">
                  <c:v>6.4819741904162745E-3</c:v>
                </c:pt>
                <c:pt idx="53">
                  <c:v>6.4565867696989793E-3</c:v>
                </c:pt>
                <c:pt idx="54">
                  <c:v>6.4311629956078356E-3</c:v>
                </c:pt>
                <c:pt idx="55">
                  <c:v>6.4055961412295371E-3</c:v>
                </c:pt>
                <c:pt idx="56">
                  <c:v>6.3799506114732025E-3</c:v>
                </c:pt>
                <c:pt idx="57">
                  <c:v>6.3541567172372979E-3</c:v>
                </c:pt>
                <c:pt idx="58">
                  <c:v>6.328368705218885E-3</c:v>
                </c:pt>
              </c:numCache>
            </c:numRef>
          </c:yVal>
          <c:smooth val="0"/>
        </c:ser>
        <c:ser>
          <c:idx val="9"/>
          <c:order val="9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CapletCalibration!$O$22:$O$80</c:f>
              <c:numCache>
                <c:formatCode>0.00%</c:formatCode>
                <c:ptCount val="59"/>
                <c:pt idx="0">
                  <c:v>9.0362088352472208E-3</c:v>
                </c:pt>
                <c:pt idx="1">
                  <c:v>8.9402468562228953E-3</c:v>
                </c:pt>
                <c:pt idx="2">
                  <c:v>8.7037367837437558E-3</c:v>
                </c:pt>
                <c:pt idx="3">
                  <c:v>8.3383512365524069E-3</c:v>
                </c:pt>
                <c:pt idx="4">
                  <c:v>7.8925833101934576E-3</c:v>
                </c:pt>
                <c:pt idx="5">
                  <c:v>7.5229854202861941E-3</c:v>
                </c:pt>
                <c:pt idx="6">
                  <c:v>7.2245354138553838E-3</c:v>
                </c:pt>
                <c:pt idx="7">
                  <c:v>7.1097399261735939E-3</c:v>
                </c:pt>
                <c:pt idx="8">
                  <c:v>7.0325825958344815E-3</c:v>
                </c:pt>
                <c:pt idx="9">
                  <c:v>6.9593205709295647E-3</c:v>
                </c:pt>
                <c:pt idx="10">
                  <c:v>7.0284677004934654E-3</c:v>
                </c:pt>
                <c:pt idx="11">
                  <c:v>7.2781301775115487E-3</c:v>
                </c:pt>
                <c:pt idx="12">
                  <c:v>7.4798437781919474E-3</c:v>
                </c:pt>
                <c:pt idx="13">
                  <c:v>7.5220176413466483E-3</c:v>
                </c:pt>
                <c:pt idx="14">
                  <c:v>7.5454231035330735E-3</c:v>
                </c:pt>
                <c:pt idx="15">
                  <c:v>7.6051405959136915E-3</c:v>
                </c:pt>
                <c:pt idx="16">
                  <c:v>7.6777893664619597E-3</c:v>
                </c:pt>
                <c:pt idx="17">
                  <c:v>7.7395881790621344E-3</c:v>
                </c:pt>
                <c:pt idx="18">
                  <c:v>7.7625212376133063E-3</c:v>
                </c:pt>
                <c:pt idx="19">
                  <c:v>7.7283886962532366E-3</c:v>
                </c:pt>
                <c:pt idx="20">
                  <c:v>7.6786045158331127E-3</c:v>
                </c:pt>
                <c:pt idx="21">
                  <c:v>7.6268200626826181E-3</c:v>
                </c:pt>
                <c:pt idx="22">
                  <c:v>7.5778535737315283E-3</c:v>
                </c:pt>
                <c:pt idx="23">
                  <c:v>7.5330839431317735E-3</c:v>
                </c:pt>
                <c:pt idx="24">
                  <c:v>7.4869522495668557E-3</c:v>
                </c:pt>
                <c:pt idx="25">
                  <c:v>7.4383353200619604E-3</c:v>
                </c:pt>
                <c:pt idx="26">
                  <c:v>7.3885539821256386E-3</c:v>
                </c:pt>
                <c:pt idx="27">
                  <c:v>7.3387108987253416E-3</c:v>
                </c:pt>
                <c:pt idx="28">
                  <c:v>7.2909886257251106E-3</c:v>
                </c:pt>
                <c:pt idx="29">
                  <c:v>7.2445432939326534E-3</c:v>
                </c:pt>
                <c:pt idx="30">
                  <c:v>7.1999468569263099E-3</c:v>
                </c:pt>
                <c:pt idx="31">
                  <c:v>7.1563147478464033E-3</c:v>
                </c:pt>
                <c:pt idx="32">
                  <c:v>7.1147202746056036E-3</c:v>
                </c:pt>
                <c:pt idx="33">
                  <c:v>7.0764142065063247E-3</c:v>
                </c:pt>
                <c:pt idx="34">
                  <c:v>7.0420661687684806E-3</c:v>
                </c:pt>
                <c:pt idx="35">
                  <c:v>7.0118373849265073E-3</c:v>
                </c:pt>
                <c:pt idx="36">
                  <c:v>6.9871080514853981E-3</c:v>
                </c:pt>
                <c:pt idx="37">
                  <c:v>6.9675014687382644E-3</c:v>
                </c:pt>
                <c:pt idx="38">
                  <c:v>6.9553777345595308E-3</c:v>
                </c:pt>
                <c:pt idx="39">
                  <c:v>6.948176037974701E-3</c:v>
                </c:pt>
                <c:pt idx="40">
                  <c:v>6.9423482596034716E-3</c:v>
                </c:pt>
                <c:pt idx="41">
                  <c:v>6.9343638237172661E-3</c:v>
                </c:pt>
                <c:pt idx="42">
                  <c:v>6.9236056904744625E-3</c:v>
                </c:pt>
                <c:pt idx="43">
                  <c:v>6.9096731998644027E-3</c:v>
                </c:pt>
                <c:pt idx="44">
                  <c:v>6.8922492890970714E-3</c:v>
                </c:pt>
                <c:pt idx="45">
                  <c:v>6.8707006562858186E-3</c:v>
                </c:pt>
                <c:pt idx="46">
                  <c:v>6.8447037407180803E-3</c:v>
                </c:pt>
                <c:pt idx="47">
                  <c:v>6.8137026344484595E-3</c:v>
                </c:pt>
                <c:pt idx="48">
                  <c:v>6.776922981960822E-3</c:v>
                </c:pt>
                <c:pt idx="49">
                  <c:v>6.7347828147295199E-3</c:v>
                </c:pt>
                <c:pt idx="50">
                  <c:v>6.69328867415225E-3</c:v>
                </c:pt>
                <c:pt idx="51">
                  <c:v>6.6522366465814418E-3</c:v>
                </c:pt>
                <c:pt idx="52">
                  <c:v>6.6121879142841825E-3</c:v>
                </c:pt>
                <c:pt idx="53">
                  <c:v>6.5728978129743045E-3</c:v>
                </c:pt>
                <c:pt idx="54">
                  <c:v>6.5348347233138383E-3</c:v>
                </c:pt>
                <c:pt idx="55">
                  <c:v>6.4980712741324565E-3</c:v>
                </c:pt>
                <c:pt idx="56">
                  <c:v>6.4628435733249312E-3</c:v>
                </c:pt>
                <c:pt idx="57">
                  <c:v>6.4292878304989809E-3</c:v>
                </c:pt>
                <c:pt idx="58">
                  <c:v>6.3977702905564223E-3</c:v>
                </c:pt>
              </c:numCache>
            </c:numRef>
          </c:yVal>
          <c:smooth val="0"/>
        </c:ser>
        <c:ser>
          <c:idx val="10"/>
          <c:order val="10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CapletCalibration!$P$22:$P$80</c:f>
              <c:numCache>
                <c:formatCode>0.00%</c:formatCode>
                <c:ptCount val="59"/>
                <c:pt idx="0">
                  <c:v>1.2361728659748336E-2</c:v>
                </c:pt>
                <c:pt idx="1">
                  <c:v>1.2032855143296568E-2</c:v>
                </c:pt>
                <c:pt idx="2">
                  <c:v>1.1546685614701027E-2</c:v>
                </c:pt>
                <c:pt idx="3">
                  <c:v>1.0930145808878541E-2</c:v>
                </c:pt>
                <c:pt idx="4">
                  <c:v>1.0220800283022876E-2</c:v>
                </c:pt>
                <c:pt idx="5">
                  <c:v>9.6127007012109592E-3</c:v>
                </c:pt>
                <c:pt idx="6">
                  <c:v>9.0367990967430162E-3</c:v>
                </c:pt>
                <c:pt idx="7">
                  <c:v>8.6552608680446168E-3</c:v>
                </c:pt>
                <c:pt idx="8">
                  <c:v>8.257728473053793E-3</c:v>
                </c:pt>
                <c:pt idx="9">
                  <c:v>7.849894551358998E-3</c:v>
                </c:pt>
                <c:pt idx="10">
                  <c:v>7.6947006569040568E-3</c:v>
                </c:pt>
                <c:pt idx="11">
                  <c:v>7.8380908225605048E-3</c:v>
                </c:pt>
                <c:pt idx="12">
                  <c:v>7.959531119719138E-3</c:v>
                </c:pt>
                <c:pt idx="13">
                  <c:v>7.8859765834016545E-3</c:v>
                </c:pt>
                <c:pt idx="14">
                  <c:v>7.835357756650731E-3</c:v>
                </c:pt>
                <c:pt idx="15">
                  <c:v>7.8622692259391336E-3</c:v>
                </c:pt>
                <c:pt idx="16">
                  <c:v>7.9142461796945958E-3</c:v>
                </c:pt>
                <c:pt idx="17">
                  <c:v>7.9416968415158828E-3</c:v>
                </c:pt>
                <c:pt idx="18">
                  <c:v>7.973368801926492E-3</c:v>
                </c:pt>
                <c:pt idx="19">
                  <c:v>7.9983920058346435E-3</c:v>
                </c:pt>
                <c:pt idx="20">
                  <c:v>8.0160543620158217E-3</c:v>
                </c:pt>
                <c:pt idx="21">
                  <c:v>8.0186395683609253E-3</c:v>
                </c:pt>
                <c:pt idx="22">
                  <c:v>8.0016012292562604E-3</c:v>
                </c:pt>
                <c:pt idx="23">
                  <c:v>7.9615001103859537E-3</c:v>
                </c:pt>
                <c:pt idx="24">
                  <c:v>7.9158994710289924E-3</c:v>
                </c:pt>
                <c:pt idx="25">
                  <c:v>7.8663729828624268E-3</c:v>
                </c:pt>
                <c:pt idx="26">
                  <c:v>7.8179542229547278E-3</c:v>
                </c:pt>
                <c:pt idx="27">
                  <c:v>7.7674669224102174E-3</c:v>
                </c:pt>
                <c:pt idx="28">
                  <c:v>7.7210721549757985E-3</c:v>
                </c:pt>
                <c:pt idx="29">
                  <c:v>7.6709721084805595E-3</c:v>
                </c:pt>
                <c:pt idx="30">
                  <c:v>7.6272326461834959E-3</c:v>
                </c:pt>
                <c:pt idx="31">
                  <c:v>7.5802610723386408E-3</c:v>
                </c:pt>
                <c:pt idx="32">
                  <c:v>7.5388027616754829E-3</c:v>
                </c:pt>
                <c:pt idx="33">
                  <c:v>7.49511146723185E-3</c:v>
                </c:pt>
                <c:pt idx="34">
                  <c:v>7.459510421574082E-3</c:v>
                </c:pt>
                <c:pt idx="35">
                  <c:v>7.4238327462179676E-3</c:v>
                </c:pt>
                <c:pt idx="36">
                  <c:v>7.3958744526939459E-3</c:v>
                </c:pt>
                <c:pt idx="37">
                  <c:v>7.3672248387973557E-3</c:v>
                </c:pt>
                <c:pt idx="38">
                  <c:v>7.3492636421410044E-3</c:v>
                </c:pt>
                <c:pt idx="39">
                  <c:v>7.3289789246871132E-3</c:v>
                </c:pt>
                <c:pt idx="40">
                  <c:v>7.3170375917793505E-3</c:v>
                </c:pt>
                <c:pt idx="41">
                  <c:v>7.3039735386971434E-3</c:v>
                </c:pt>
                <c:pt idx="42">
                  <c:v>7.2893838658271998E-3</c:v>
                </c:pt>
                <c:pt idx="43">
                  <c:v>7.2729601502301705E-3</c:v>
                </c:pt>
                <c:pt idx="44">
                  <c:v>7.2545549919783014E-3</c:v>
                </c:pt>
                <c:pt idx="45">
                  <c:v>7.2336205259272753E-3</c:v>
                </c:pt>
                <c:pt idx="46">
                  <c:v>7.2100039118253483E-3</c:v>
                </c:pt>
                <c:pt idx="47">
                  <c:v>7.1832745340576244E-3</c:v>
                </c:pt>
                <c:pt idx="48">
                  <c:v>7.1528637697200002E-3</c:v>
                </c:pt>
                <c:pt idx="49">
                  <c:v>7.1164670243194844E-3</c:v>
                </c:pt>
                <c:pt idx="50">
                  <c:v>7.083019198512619E-3</c:v>
                </c:pt>
                <c:pt idx="51">
                  <c:v>7.0495668289515126E-3</c:v>
                </c:pt>
                <c:pt idx="52">
                  <c:v>7.0164911444672825E-3</c:v>
                </c:pt>
                <c:pt idx="53">
                  <c:v>6.9835012790362963E-3</c:v>
                </c:pt>
                <c:pt idx="54">
                  <c:v>6.9509181545955147E-3</c:v>
                </c:pt>
                <c:pt idx="55">
                  <c:v>6.9186937261007386E-3</c:v>
                </c:pt>
                <c:pt idx="56">
                  <c:v>6.8869655703231031E-3</c:v>
                </c:pt>
                <c:pt idx="57">
                  <c:v>6.8557212965776101E-3</c:v>
                </c:pt>
                <c:pt idx="58">
                  <c:v>6.8252140179273189E-3</c:v>
                </c:pt>
              </c:numCache>
            </c:numRef>
          </c:yVal>
          <c:smooth val="0"/>
        </c:ser>
        <c:ser>
          <c:idx val="11"/>
          <c:order val="11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CapletCalibration!$Q$22:$Q$80</c:f>
              <c:numCache>
                <c:formatCode>0.00%</c:formatCode>
                <c:ptCount val="59"/>
                <c:pt idx="0">
                  <c:v>1.8306143102273461E-2</c:v>
                </c:pt>
                <c:pt idx="1">
                  <c:v>1.7991030088249319E-2</c:v>
                </c:pt>
                <c:pt idx="2">
                  <c:v>1.7233332541393018E-2</c:v>
                </c:pt>
                <c:pt idx="3">
                  <c:v>1.6044089896318291E-2</c:v>
                </c:pt>
                <c:pt idx="4">
                  <c:v>1.4594131026116912E-2</c:v>
                </c:pt>
                <c:pt idx="5">
                  <c:v>1.3359426928340901E-2</c:v>
                </c:pt>
                <c:pt idx="6">
                  <c:v>1.2352894365683891E-2</c:v>
                </c:pt>
                <c:pt idx="7">
                  <c:v>1.191275558237896E-2</c:v>
                </c:pt>
                <c:pt idx="8">
                  <c:v>1.1292585078751796E-2</c:v>
                </c:pt>
                <c:pt idx="9">
                  <c:v>1.0343757902445303E-2</c:v>
                </c:pt>
                <c:pt idx="10">
                  <c:v>9.9023897573236302E-3</c:v>
                </c:pt>
                <c:pt idx="11">
                  <c:v>1.0121760642213507E-2</c:v>
                </c:pt>
                <c:pt idx="12">
                  <c:v>1.0222375897775171E-2</c:v>
                </c:pt>
                <c:pt idx="13">
                  <c:v>9.8789495019007342E-3</c:v>
                </c:pt>
                <c:pt idx="14">
                  <c:v>9.6245206624213826E-3</c:v>
                </c:pt>
                <c:pt idx="15">
                  <c:v>9.5353086560577664E-3</c:v>
                </c:pt>
                <c:pt idx="16">
                  <c:v>9.4304875136395541E-3</c:v>
                </c:pt>
                <c:pt idx="17">
                  <c:v>9.1308000105629634E-3</c:v>
                </c:pt>
                <c:pt idx="18">
                  <c:v>9.0089271061552945E-3</c:v>
                </c:pt>
                <c:pt idx="19">
                  <c:v>9.0491322961325383E-3</c:v>
                </c:pt>
                <c:pt idx="20">
                  <c:v>9.1571460047408133E-3</c:v>
                </c:pt>
                <c:pt idx="21">
                  <c:v>9.2113354357171474E-3</c:v>
                </c:pt>
                <c:pt idx="22">
                  <c:v>9.2285208746305074E-3</c:v>
                </c:pt>
                <c:pt idx="23">
                  <c:v>9.1604603668532254E-3</c:v>
                </c:pt>
                <c:pt idx="24">
                  <c:v>9.1018032833077196E-3</c:v>
                </c:pt>
                <c:pt idx="25">
                  <c:v>9.0292053131616947E-3</c:v>
                </c:pt>
                <c:pt idx="26">
                  <c:v>8.9741842159057859E-3</c:v>
                </c:pt>
                <c:pt idx="27">
                  <c:v>8.9089707408957202E-3</c:v>
                </c:pt>
                <c:pt idx="28">
                  <c:v>8.8593602589854409E-3</c:v>
                </c:pt>
                <c:pt idx="29">
                  <c:v>8.7898590453149329E-3</c:v>
                </c:pt>
                <c:pt idx="30">
                  <c:v>8.7452648655042074E-3</c:v>
                </c:pt>
                <c:pt idx="31">
                  <c:v>8.6863937055847613E-3</c:v>
                </c:pt>
                <c:pt idx="32">
                  <c:v>8.6450320402467126E-3</c:v>
                </c:pt>
                <c:pt idx="33">
                  <c:v>8.5883732149096351E-3</c:v>
                </c:pt>
                <c:pt idx="34">
                  <c:v>8.5518516049846206E-3</c:v>
                </c:pt>
                <c:pt idx="35">
                  <c:v>8.5056237738941089E-3</c:v>
                </c:pt>
                <c:pt idx="36">
                  <c:v>8.4730375144082288E-3</c:v>
                </c:pt>
                <c:pt idx="37">
                  <c:v>8.4261957929761492E-3</c:v>
                </c:pt>
                <c:pt idx="38">
                  <c:v>8.3975491732127382E-3</c:v>
                </c:pt>
                <c:pt idx="39">
                  <c:v>8.3488607817912407E-3</c:v>
                </c:pt>
                <c:pt idx="40">
                  <c:v>8.3247095377540683E-3</c:v>
                </c:pt>
                <c:pt idx="41">
                  <c:v>8.3012303176608383E-3</c:v>
                </c:pt>
                <c:pt idx="42">
                  <c:v>8.2783585286562555E-3</c:v>
                </c:pt>
                <c:pt idx="43">
                  <c:v>8.2558559693251994E-3</c:v>
                </c:pt>
                <c:pt idx="44">
                  <c:v>8.2339189261914619E-3</c:v>
                </c:pt>
                <c:pt idx="45">
                  <c:v>8.2119534282739867E-3</c:v>
                </c:pt>
                <c:pt idx="46">
                  <c:v>8.1901520940543798E-3</c:v>
                </c:pt>
                <c:pt idx="47">
                  <c:v>8.1682062023327E-3</c:v>
                </c:pt>
                <c:pt idx="48">
                  <c:v>8.1458440129077714E-3</c:v>
                </c:pt>
                <c:pt idx="49">
                  <c:v>8.1155470074373414E-3</c:v>
                </c:pt>
                <c:pt idx="50">
                  <c:v>8.0930213320289709E-3</c:v>
                </c:pt>
                <c:pt idx="51">
                  <c:v>8.0696428553061125E-3</c:v>
                </c:pt>
                <c:pt idx="52">
                  <c:v>8.0454993002514585E-3</c:v>
                </c:pt>
                <c:pt idx="53">
                  <c:v>8.0201424139953788E-3</c:v>
                </c:pt>
                <c:pt idx="54">
                  <c:v>7.993656172596517E-3</c:v>
                </c:pt>
                <c:pt idx="55">
                  <c:v>7.9657169894776676E-3</c:v>
                </c:pt>
                <c:pt idx="56">
                  <c:v>7.9363039514847421E-3</c:v>
                </c:pt>
                <c:pt idx="57">
                  <c:v>7.9050594536791488E-3</c:v>
                </c:pt>
                <c:pt idx="58">
                  <c:v>7.8720548876992213E-3</c:v>
                </c:pt>
              </c:numCache>
            </c:numRef>
          </c:yVal>
          <c:smooth val="0"/>
        </c:ser>
        <c:ser>
          <c:idx val="12"/>
          <c:order val="12"/>
          <c:marker>
            <c:symbol val="none"/>
          </c:marker>
          <c:xVal>
            <c:numRef>
              <c:f>CapletCalibration!$E$22:$E$80</c:f>
              <c:numCache>
                <c:formatCode>#.##00</c:formatCode>
                <c:ptCount val="59"/>
                <c:pt idx="0">
                  <c:v>0.50650239561943877</c:v>
                </c:pt>
                <c:pt idx="1">
                  <c:v>1.0075290896646132</c:v>
                </c:pt>
                <c:pt idx="2">
                  <c:v>1.5085557837097878</c:v>
                </c:pt>
                <c:pt idx="3">
                  <c:v>2.0068446269678302</c:v>
                </c:pt>
                <c:pt idx="4">
                  <c:v>2.5078713210130048</c:v>
                </c:pt>
                <c:pt idx="5">
                  <c:v>3.0061601642710474</c:v>
                </c:pt>
                <c:pt idx="6">
                  <c:v>3.5044490075290895</c:v>
                </c:pt>
                <c:pt idx="7">
                  <c:v>4.0027378507871321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5.508555783709788</c:v>
                </c:pt>
                <c:pt idx="11">
                  <c:v>6.0068446269678306</c:v>
                </c:pt>
                <c:pt idx="12">
                  <c:v>6.5078713210130044</c:v>
                </c:pt>
                <c:pt idx="13">
                  <c:v>7.0061601642710469</c:v>
                </c:pt>
                <c:pt idx="14">
                  <c:v>7.5071868583162216</c:v>
                </c:pt>
                <c:pt idx="15">
                  <c:v>8.0054757015742641</c:v>
                </c:pt>
                <c:pt idx="16">
                  <c:v>8.5065023956194388</c:v>
                </c:pt>
                <c:pt idx="17">
                  <c:v>9.0047912388774805</c:v>
                </c:pt>
                <c:pt idx="18">
                  <c:v>9.5030800821355239</c:v>
                </c:pt>
                <c:pt idx="19">
                  <c:v>10.001368925393566</c:v>
                </c:pt>
                <c:pt idx="20">
                  <c:v>10.50239561943874</c:v>
                </c:pt>
                <c:pt idx="21">
                  <c:v>11.000684462696784</c:v>
                </c:pt>
                <c:pt idx="22">
                  <c:v>11.507186858316222</c:v>
                </c:pt>
                <c:pt idx="23">
                  <c:v>12.005475701574264</c:v>
                </c:pt>
                <c:pt idx="24">
                  <c:v>12.506502395619439</c:v>
                </c:pt>
                <c:pt idx="25">
                  <c:v>13.007529089664613</c:v>
                </c:pt>
                <c:pt idx="26">
                  <c:v>13.508555783709788</c:v>
                </c:pt>
                <c:pt idx="27">
                  <c:v>14.00684462696783</c:v>
                </c:pt>
                <c:pt idx="28">
                  <c:v>14.505133470225873</c:v>
                </c:pt>
                <c:pt idx="29">
                  <c:v>15.003422313483915</c:v>
                </c:pt>
                <c:pt idx="30">
                  <c:v>15.501711156741958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17.007529089664612</c:v>
                </c:pt>
                <c:pt idx="34">
                  <c:v>17.508555783709788</c:v>
                </c:pt>
                <c:pt idx="35">
                  <c:v>18.00684462696783</c:v>
                </c:pt>
                <c:pt idx="36">
                  <c:v>18.507871321013006</c:v>
                </c:pt>
                <c:pt idx="37">
                  <c:v>19.006160164271048</c:v>
                </c:pt>
                <c:pt idx="38">
                  <c:v>19.507186858316221</c:v>
                </c:pt>
                <c:pt idx="39">
                  <c:v>20.005475701574266</c:v>
                </c:pt>
                <c:pt idx="40">
                  <c:v>20.503764544832308</c:v>
                </c:pt>
                <c:pt idx="41">
                  <c:v>21.002053388090349</c:v>
                </c:pt>
                <c:pt idx="42">
                  <c:v>21.503080082135522</c:v>
                </c:pt>
                <c:pt idx="43">
                  <c:v>22.001368925393567</c:v>
                </c:pt>
                <c:pt idx="44">
                  <c:v>22.507871321013006</c:v>
                </c:pt>
                <c:pt idx="45">
                  <c:v>23.006160164271048</c:v>
                </c:pt>
                <c:pt idx="46">
                  <c:v>23.507186858316221</c:v>
                </c:pt>
                <c:pt idx="47">
                  <c:v>24.005475701574266</c:v>
                </c:pt>
                <c:pt idx="48">
                  <c:v>24.506502395619439</c:v>
                </c:pt>
                <c:pt idx="49">
                  <c:v>25.007529089664612</c:v>
                </c:pt>
                <c:pt idx="50">
                  <c:v>25.505817932922657</c:v>
                </c:pt>
                <c:pt idx="51">
                  <c:v>26.004106776180699</c:v>
                </c:pt>
                <c:pt idx="52">
                  <c:v>26.50239561943874</c:v>
                </c:pt>
                <c:pt idx="53">
                  <c:v>27.000684462696782</c:v>
                </c:pt>
                <c:pt idx="54">
                  <c:v>27.501711156741958</c:v>
                </c:pt>
                <c:pt idx="55">
                  <c:v>28</c:v>
                </c:pt>
                <c:pt idx="56">
                  <c:v>28.506502395619439</c:v>
                </c:pt>
                <c:pt idx="57">
                  <c:v>29.007529089664612</c:v>
                </c:pt>
                <c:pt idx="58">
                  <c:v>29.508555783709788</c:v>
                </c:pt>
              </c:numCache>
            </c:numRef>
          </c:xVal>
          <c:yVal>
            <c:numRef>
              <c:f>CapletCalibration!$R$22:$R$80</c:f>
              <c:numCache>
                <c:formatCode>0.00%</c:formatCode>
                <c:ptCount val="59"/>
                <c:pt idx="0">
                  <c:v>3.1794876193409254E-2</c:v>
                </c:pt>
                <c:pt idx="1">
                  <c:v>3.0925546514432155E-2</c:v>
                </c:pt>
                <c:pt idx="2">
                  <c:v>2.9434384113430072E-2</c:v>
                </c:pt>
                <c:pt idx="3">
                  <c:v>2.7268059248355143E-2</c:v>
                </c:pt>
                <c:pt idx="4">
                  <c:v>2.4679744949447253E-2</c:v>
                </c:pt>
                <c:pt idx="5">
                  <c:v>2.2307803226314558E-2</c:v>
                </c:pt>
                <c:pt idx="6">
                  <c:v>2.0236266803552845E-2</c:v>
                </c:pt>
                <c:pt idx="7">
                  <c:v>1.9177481686903516E-2</c:v>
                </c:pt>
                <c:pt idx="8">
                  <c:v>1.8101309695906682E-2</c:v>
                </c:pt>
                <c:pt idx="9">
                  <c:v>1.6910835247472975E-2</c:v>
                </c:pt>
                <c:pt idx="10">
                  <c:v>1.6436303562454756E-2</c:v>
                </c:pt>
                <c:pt idx="11">
                  <c:v>1.6580389548771206E-2</c:v>
                </c:pt>
                <c:pt idx="12">
                  <c:v>1.6537212135427064E-2</c:v>
                </c:pt>
                <c:pt idx="13">
                  <c:v>1.5939532732390422E-2</c:v>
                </c:pt>
                <c:pt idx="14">
                  <c:v>1.5242743716968781E-2</c:v>
                </c:pt>
                <c:pt idx="15">
                  <c:v>1.4381023830057862E-2</c:v>
                </c:pt>
                <c:pt idx="16">
                  <c:v>1.3589855480171959E-2</c:v>
                </c:pt>
                <c:pt idx="17">
                  <c:v>1.2518902677183993E-2</c:v>
                </c:pt>
                <c:pt idx="18">
                  <c:v>1.2247817023971435E-2</c:v>
                </c:pt>
                <c:pt idx="19">
                  <c:v>1.2367638412929302E-2</c:v>
                </c:pt>
                <c:pt idx="20">
                  <c:v>1.2676254330119869E-2</c:v>
                </c:pt>
                <c:pt idx="21">
                  <c:v>1.2754443506895271E-2</c:v>
                </c:pt>
                <c:pt idx="22">
                  <c:v>1.2793854810787521E-2</c:v>
                </c:pt>
                <c:pt idx="23">
                  <c:v>1.2612346482511394E-2</c:v>
                </c:pt>
                <c:pt idx="24">
                  <c:v>1.2517849177663316E-2</c:v>
                </c:pt>
                <c:pt idx="25">
                  <c:v>1.2370516862368593E-2</c:v>
                </c:pt>
                <c:pt idx="26">
                  <c:v>1.2293227425573046E-2</c:v>
                </c:pt>
                <c:pt idx="27">
                  <c:v>1.217669606091977E-2</c:v>
                </c:pt>
                <c:pt idx="28">
                  <c:v>1.2108084988897733E-2</c:v>
                </c:pt>
                <c:pt idx="29">
                  <c:v>1.1971302244118241E-2</c:v>
                </c:pt>
                <c:pt idx="30">
                  <c:v>1.1913301455067953E-2</c:v>
                </c:pt>
                <c:pt idx="31">
                  <c:v>1.181388499786794E-2</c:v>
                </c:pt>
                <c:pt idx="32">
                  <c:v>1.176579352998648E-2</c:v>
                </c:pt>
                <c:pt idx="33">
                  <c:v>1.1674458663167284E-2</c:v>
                </c:pt>
                <c:pt idx="34">
                  <c:v>1.1635140788755431E-2</c:v>
                </c:pt>
                <c:pt idx="35">
                  <c:v>1.1567880287533227E-2</c:v>
                </c:pt>
                <c:pt idx="36">
                  <c:v>1.153058926338804E-2</c:v>
                </c:pt>
                <c:pt idx="37">
                  <c:v>1.1454962432113395E-2</c:v>
                </c:pt>
                <c:pt idx="38">
                  <c:v>1.1416271782970852E-2</c:v>
                </c:pt>
                <c:pt idx="39">
                  <c:v>1.1326470531732913E-2</c:v>
                </c:pt>
                <c:pt idx="40">
                  <c:v>1.1290164611402085E-2</c:v>
                </c:pt>
                <c:pt idx="41">
                  <c:v>1.1253894467701583E-2</c:v>
                </c:pt>
                <c:pt idx="42">
                  <c:v>1.121776423343372E-2</c:v>
                </c:pt>
                <c:pt idx="43">
                  <c:v>1.1180979490463497E-2</c:v>
                </c:pt>
                <c:pt idx="44">
                  <c:v>1.1144129802183706E-2</c:v>
                </c:pt>
                <c:pt idx="45">
                  <c:v>1.1105515618000305E-2</c:v>
                </c:pt>
                <c:pt idx="46">
                  <c:v>1.1065693931767033E-2</c:v>
                </c:pt>
                <c:pt idx="47">
                  <c:v>1.1023826743926705E-2</c:v>
                </c:pt>
                <c:pt idx="48">
                  <c:v>1.0979270240460502E-2</c:v>
                </c:pt>
                <c:pt idx="49">
                  <c:v>1.0916504922135915E-2</c:v>
                </c:pt>
                <c:pt idx="50">
                  <c:v>1.0870032120826921E-2</c:v>
                </c:pt>
                <c:pt idx="51">
                  <c:v>1.0822530349350183E-2</c:v>
                </c:pt>
                <c:pt idx="52">
                  <c:v>1.0773968595182593E-2</c:v>
                </c:pt>
                <c:pt idx="53">
                  <c:v>1.0723772752364743E-2</c:v>
                </c:pt>
                <c:pt idx="54">
                  <c:v>1.0672196188168856E-2</c:v>
                </c:pt>
                <c:pt idx="55">
                  <c:v>1.0618614852527415E-2</c:v>
                </c:pt>
                <c:pt idx="56">
                  <c:v>1.0563259972457799E-2</c:v>
                </c:pt>
                <c:pt idx="57">
                  <c:v>1.0505273927027057E-2</c:v>
                </c:pt>
                <c:pt idx="58">
                  <c:v>1.0445005546580727E-2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75872"/>
        <c:axId val="215377408"/>
      </c:scatterChart>
      <c:valAx>
        <c:axId val="215375872"/>
        <c:scaling>
          <c:orientation val="minMax"/>
        </c:scaling>
        <c:delete val="0"/>
        <c:axPos val="b"/>
        <c:numFmt formatCode="#.##00" sourceLinked="1"/>
        <c:majorTickMark val="out"/>
        <c:minorTickMark val="none"/>
        <c:tickLblPos val="nextTo"/>
        <c:crossAx val="215377408"/>
        <c:crosses val="autoZero"/>
        <c:crossBetween val="midCat"/>
      </c:valAx>
      <c:valAx>
        <c:axId val="2153774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5375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178734</xdr:colOff>
      <xdr:row>20</xdr:row>
      <xdr:rowOff>59390</xdr:rowOff>
    </xdr:from>
    <xdr:to>
      <xdr:col>27</xdr:col>
      <xdr:colOff>519393</xdr:colOff>
      <xdr:row>34</xdr:row>
      <xdr:rowOff>135590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Lonib\ZBS\IPV\Group\Reports\January_2010\20100129\InterestRates\Monthly\Bermudans\Analysis\EUR%20BERMUDAN%20MRP_2010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DE-O-01\GM-F_2.6.1.1\03%20FX%20&amp;%20IR\Totem\2013_03\IR\Analysis\Cap%20Floor%20Pricer_2.7_March1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MarketData%20(SSH,%202015-03-1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DE-O-01\GM-F_2.6.1.2\HYPFRA\Yield%20Curve\Prodigy_Multicurves\IR2_Override_Reuters_v2_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LONIB\ZBS\IPV\Group\Tools\Prod\InterestRates\Monthly\PRDC\ModelforTotem%20Reva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Berms\EUR%20BERMUDANS%20PVDiff_201002%20shifte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Berms\new\EUR%20Berms%20PVDiff%20Daily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DE-O-01\GM-F_2.6.1.1\03%20FX%20&amp;%20IR\Totem\2012_07\IR%20Analysis\Development\EURGBP_IPV%20BasisCEV_5.9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Berms\new\EUR%20BERMUDANS%20PVDiff_201005%20SRM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DE-O-01\GM-F_2.6.1.1\03%20FX%20&amp;%20IR\Totem\2012_07\IR%20Analysis\Swaption%20Pricer_2.53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Lonib\Bonds\IR%20Options\DivaXML\XL_Interface\DIVA_RISK_P&amp;L\FINAL\Development%20-%20SA\Basis\VanillaMarketData&amp;PortfolioGenerationFORBASISCURVE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Lonib\bonds\IR%20Options\ComplexRisk\Market&amp;Models\MARKET%20SHEET%20BBG%20DEV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Berms\EUR%20BERMUDAN_20100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DE-O-01\GM-F_2.6.1.1\03%20FX%20&amp;%20IR\Totem\2012_07\IR%20Analysis\ZBS\IPV\Group\Tools\Prod\InterestRates\Monthly\PRDC\ModelforTotem%20Reva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DE-O-01\GM-F_2.6.1.1\IR\Development\Market_Data\MarketDataSnap_Reuter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tb.icb.commerzbank.com\org\DE-O-01\GM-F_2.6.1.1\03%20FX%20&amp;%20IR\Totem\2012_07\IR%20Analysis\Swaption%20Pricer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DE-O-01\GM-F_2.6.1.1\03%20FX%20&amp;%20IR\Totem\2015_01\IR\Preparation\EURGBP_IPV%20BasisCEV_8-4_Jan15_jf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XML INDICES"/>
      <sheetName val="STATIC DATA and PTOT"/>
      <sheetName val="VOL DATA"/>
      <sheetName val="VOL MODEL"/>
      <sheetName val="Product"/>
      <sheetName val="Calibration &amp; Pricing"/>
      <sheetName val="MRP"/>
      <sheetName val="Tot_Sens"/>
      <sheetName val="STD_Price"/>
      <sheetName val="Outlier"/>
      <sheetName val="nonoutliers"/>
      <sheetName val="MRP Save"/>
      <sheetName val="DPV"/>
      <sheetName val="Cubes"/>
      <sheetName val="tmp"/>
    </sheetNames>
    <sheetDataSet>
      <sheetData sheetId="0" refreshError="1">
        <row r="2">
          <cell r="C2">
            <v>1</v>
          </cell>
        </row>
        <row r="6">
          <cell r="C6">
            <v>1.2999999999999999E-2</v>
          </cell>
        </row>
        <row r="7">
          <cell r="C7">
            <v>1.7999999999999999E-2</v>
          </cell>
        </row>
        <row r="8">
          <cell r="C8">
            <v>1457</v>
          </cell>
        </row>
        <row r="9">
          <cell r="C9">
            <v>13708.564668631561</v>
          </cell>
        </row>
        <row r="12">
          <cell r="B12">
            <v>1</v>
          </cell>
        </row>
        <row r="13">
          <cell r="B13">
            <v>2</v>
          </cell>
          <cell r="E13">
            <v>1</v>
          </cell>
        </row>
        <row r="14">
          <cell r="B14">
            <v>4</v>
          </cell>
          <cell r="E14">
            <v>1</v>
          </cell>
        </row>
        <row r="15">
          <cell r="C15">
            <v>1289</v>
          </cell>
        </row>
        <row r="21">
          <cell r="C21">
            <v>246</v>
          </cell>
        </row>
        <row r="23">
          <cell r="C23">
            <v>0.03</v>
          </cell>
        </row>
        <row r="24">
          <cell r="C24">
            <v>2.5000000000000001E-3</v>
          </cell>
        </row>
        <row r="25">
          <cell r="C25">
            <v>112</v>
          </cell>
        </row>
        <row r="26">
          <cell r="C26">
            <v>0.3075</v>
          </cell>
        </row>
        <row r="28">
          <cell r="C28">
            <v>2</v>
          </cell>
        </row>
        <row r="29">
          <cell r="C29" t="str">
            <v>P:\Lonib\ZBS\IPV\Group\Reports\January_2010\20100129\InterestRates\Monthly\Bermudans\Totem\Templates\20100129_EUR_BERM.xls</v>
          </cell>
        </row>
        <row r="30">
          <cell r="C30" t="str">
            <v>P:\Lonib\ZBS\IPV\Group\Reports\January_2010\20100129\InterestRates\Monthly\Bermudans\Totem\Results\210_20100129_EUR_Berm_Rep.xls</v>
          </cell>
        </row>
      </sheetData>
      <sheetData sheetId="1" refreshError="1">
        <row r="7">
          <cell r="E7" t="b">
            <v>0</v>
          </cell>
        </row>
        <row r="36">
          <cell r="H36" t="str">
            <v>3m</v>
          </cell>
          <cell r="I36" t="str">
            <v>Q</v>
          </cell>
        </row>
        <row r="37">
          <cell r="H37" t="str">
            <v>6m</v>
          </cell>
          <cell r="I37" t="str">
            <v>S</v>
          </cell>
        </row>
        <row r="38">
          <cell r="H38" t="str">
            <v>12m</v>
          </cell>
          <cell r="I38" t="str">
            <v>A</v>
          </cell>
        </row>
      </sheetData>
      <sheetData sheetId="2" refreshError="1">
        <row r="10">
          <cell r="B10" t="str">
            <v>SpotLag</v>
          </cell>
          <cell r="C10" t="str">
            <v>2B</v>
          </cell>
        </row>
        <row r="11">
          <cell r="B11" t="str">
            <v>Basis</v>
          </cell>
          <cell r="C11" t="str">
            <v>ACT/360</v>
          </cell>
          <cell r="I11" t="str">
            <v>FO</v>
          </cell>
        </row>
        <row r="12">
          <cell r="B12" t="str">
            <v>BusinessDayAdjustment</v>
          </cell>
          <cell r="C12" t="str">
            <v>MF</v>
          </cell>
          <cell r="M12" t="str">
            <v>MM</v>
          </cell>
        </row>
        <row r="13">
          <cell r="B13" t="str">
            <v>PaymentCities</v>
          </cell>
          <cell r="C13" t="str">
            <v>EUR</v>
          </cell>
          <cell r="M13" t="str">
            <v>1D</v>
          </cell>
        </row>
        <row r="14">
          <cell r="B14" t="str">
            <v>FixingCities</v>
          </cell>
          <cell r="C14" t="str">
            <v>EUR</v>
          </cell>
          <cell r="M14" t="str">
            <v>2D</v>
          </cell>
        </row>
        <row r="15">
          <cell r="M15" t="str">
            <v>1W</v>
          </cell>
        </row>
        <row r="16">
          <cell r="B16" t="str">
            <v>Type</v>
          </cell>
          <cell r="C16" t="str">
            <v>IMM</v>
          </cell>
          <cell r="M16" t="str">
            <v>1M</v>
          </cell>
        </row>
        <row r="17">
          <cell r="B17" t="str">
            <v>Tick Size</v>
          </cell>
          <cell r="C17">
            <v>0.01</v>
          </cell>
          <cell r="M17" t="str">
            <v>2M</v>
          </cell>
        </row>
        <row r="18">
          <cell r="B18" t="str">
            <v>TickValue</v>
          </cell>
          <cell r="C18">
            <v>25</v>
          </cell>
          <cell r="M18" t="str">
            <v>3M</v>
          </cell>
        </row>
        <row r="19">
          <cell r="M19" t="str">
            <v>FUT</v>
          </cell>
        </row>
        <row r="20">
          <cell r="B20" t="str">
            <v>FixedPeriod</v>
          </cell>
          <cell r="C20" t="str">
            <v>1Y</v>
          </cell>
          <cell r="M20" t="str">
            <v>MAR10</v>
          </cell>
        </row>
        <row r="21">
          <cell r="B21" t="str">
            <v>FixedBasis</v>
          </cell>
          <cell r="C21" t="str">
            <v>30/360</v>
          </cell>
          <cell r="M21" t="str">
            <v>JUN10</v>
          </cell>
        </row>
        <row r="22">
          <cell r="B22" t="str">
            <v>FixedBusinessDayAdjustment</v>
          </cell>
          <cell r="C22" t="str">
            <v>MF</v>
          </cell>
          <cell r="M22" t="str">
            <v>SEP10</v>
          </cell>
        </row>
        <row r="23">
          <cell r="B23" t="str">
            <v>PaymentCities</v>
          </cell>
          <cell r="C23" t="str">
            <v>EUR</v>
          </cell>
          <cell r="M23" t="str">
            <v>DEC10</v>
          </cell>
        </row>
        <row r="24">
          <cell r="M24" t="str">
            <v>MAR11</v>
          </cell>
        </row>
        <row r="25">
          <cell r="M25" t="str">
            <v>JUN11</v>
          </cell>
        </row>
        <row r="26">
          <cell r="M26" t="str">
            <v>SEP11</v>
          </cell>
        </row>
        <row r="27">
          <cell r="C27" t="str">
            <v>EUR_EURIBOR_3M</v>
          </cell>
          <cell r="M27" t="str">
            <v>DEC11</v>
          </cell>
        </row>
        <row r="28">
          <cell r="M28" t="str">
            <v>MAR12</v>
          </cell>
        </row>
        <row r="29">
          <cell r="M29" t="str">
            <v>JUN12</v>
          </cell>
        </row>
        <row r="30">
          <cell r="M30" t="str">
            <v>SEP12</v>
          </cell>
        </row>
        <row r="31">
          <cell r="C31" t="str">
            <v>EUR_USD</v>
          </cell>
          <cell r="M31" t="str">
            <v>DEC12</v>
          </cell>
        </row>
        <row r="32">
          <cell r="M32" t="str">
            <v>AIC</v>
          </cell>
        </row>
        <row r="33">
          <cell r="M33" t="str">
            <v>2Y</v>
          </cell>
        </row>
        <row r="34">
          <cell r="B34" t="str">
            <v>Interpolation</v>
          </cell>
          <cell r="C34" t="str">
            <v>LEFT_CONTINUOUS</v>
          </cell>
          <cell r="M34" t="str">
            <v>3Y</v>
          </cell>
        </row>
        <row r="35">
          <cell r="B35" t="str">
            <v>LinearInterpSwaps</v>
          </cell>
          <cell r="C35" t="b">
            <v>0</v>
          </cell>
          <cell r="M35" t="str">
            <v>4Y</v>
          </cell>
        </row>
        <row r="36">
          <cell r="B36" t="str">
            <v>PreferCashToFutures</v>
          </cell>
          <cell r="C36" t="b">
            <v>0</v>
          </cell>
          <cell r="M36" t="str">
            <v>5Y</v>
          </cell>
        </row>
        <row r="37">
          <cell r="B37" t="str">
            <v>SummitCashBlend</v>
          </cell>
          <cell r="C37" t="b">
            <v>1</v>
          </cell>
          <cell r="M37" t="str">
            <v>6Y</v>
          </cell>
        </row>
        <row r="38">
          <cell r="B38" t="str">
            <v>PreferCashToSwaps</v>
          </cell>
          <cell r="C38" t="b">
            <v>0</v>
          </cell>
          <cell r="M38" t="str">
            <v>7Y</v>
          </cell>
        </row>
        <row r="39">
          <cell r="B39" t="str">
            <v>PreferFuturesToSwaps</v>
          </cell>
          <cell r="C39" t="b">
            <v>1</v>
          </cell>
          <cell r="M39" t="str">
            <v>8Y</v>
          </cell>
        </row>
        <row r="40">
          <cell r="B40" t="str">
            <v>FwdPeriodForCash</v>
          </cell>
          <cell r="C40" t="str">
            <v>3m</v>
          </cell>
          <cell r="M40" t="str">
            <v>9Y</v>
          </cell>
        </row>
        <row r="41">
          <cell r="B41" t="str">
            <v>FwdPeriodForFutures</v>
          </cell>
          <cell r="C41" t="str">
            <v>3m</v>
          </cell>
          <cell r="M41" t="str">
            <v>10Y</v>
          </cell>
        </row>
        <row r="42">
          <cell r="B42" t="str">
            <v>FwdPeriodForSwaps</v>
          </cell>
          <cell r="C42" t="str">
            <v>1y</v>
          </cell>
          <cell r="M42" t="str">
            <v>11Y</v>
          </cell>
        </row>
        <row r="43">
          <cell r="B43" t="str">
            <v>FuturesUsed</v>
          </cell>
          <cell r="C43">
            <v>12</v>
          </cell>
          <cell r="M43" t="str">
            <v>12Y</v>
          </cell>
        </row>
        <row r="44">
          <cell r="B44" t="str">
            <v>AnalyticJacobi</v>
          </cell>
          <cell r="C44" t="b">
            <v>1</v>
          </cell>
          <cell r="M44" t="str">
            <v>13Y</v>
          </cell>
        </row>
        <row r="45">
          <cell r="B45" t="str">
            <v>BuildJacobiMatrix</v>
          </cell>
          <cell r="C45" t="b">
            <v>1</v>
          </cell>
          <cell r="M45" t="str">
            <v>14Y</v>
          </cell>
        </row>
        <row r="46">
          <cell r="M46" t="str">
            <v>15Y</v>
          </cell>
        </row>
        <row r="47">
          <cell r="M47" t="str">
            <v>16Y</v>
          </cell>
        </row>
        <row r="48">
          <cell r="C48" t="str">
            <v>EUR_EURIBOR_1M</v>
          </cell>
          <cell r="D48" t="str">
            <v>EUR_EURIBOR_3M</v>
          </cell>
          <cell r="E48" t="str">
            <v>EUR_EURIBOR_6M</v>
          </cell>
          <cell r="F48" t="str">
            <v>EUR_EURIBOR_12M</v>
          </cell>
          <cell r="M48" t="str">
            <v>17Y</v>
          </cell>
        </row>
        <row r="49">
          <cell r="B49" t="str">
            <v>UseZeroSpreadsOnly</v>
          </cell>
          <cell r="C49" t="b">
            <v>1</v>
          </cell>
          <cell r="D49" t="b">
            <v>1</v>
          </cell>
          <cell r="E49" t="b">
            <v>1</v>
          </cell>
          <cell r="F49" t="b">
            <v>1</v>
          </cell>
          <cell r="M49" t="str">
            <v>18Y</v>
          </cell>
        </row>
        <row r="50">
          <cell r="B50" t="str">
            <v>Interpolation</v>
          </cell>
          <cell r="C50" t="str">
            <v>LEFT_CONTINUOUS</v>
          </cell>
          <cell r="D50" t="str">
            <v>LEFT_CONTINUOUS</v>
          </cell>
          <cell r="E50" t="str">
            <v>LEFT_CONTINUOUS</v>
          </cell>
          <cell r="F50" t="str">
            <v>LEFT_CONTINUOUS</v>
          </cell>
          <cell r="M50" t="str">
            <v>19Y</v>
          </cell>
        </row>
        <row r="51">
          <cell r="B51" t="str">
            <v>AnalyticJacobi</v>
          </cell>
          <cell r="C51" t="b">
            <v>1</v>
          </cell>
          <cell r="D51" t="b">
            <v>1</v>
          </cell>
          <cell r="E51" t="b">
            <v>1</v>
          </cell>
          <cell r="F51" t="b">
            <v>1</v>
          </cell>
          <cell r="M51" t="str">
            <v>20Y</v>
          </cell>
        </row>
        <row r="52">
          <cell r="B52" t="str">
            <v>BuildJacobianMatrix</v>
          </cell>
          <cell r="C52" t="b">
            <v>1</v>
          </cell>
          <cell r="D52" t="b">
            <v>1</v>
          </cell>
          <cell r="E52" t="b">
            <v>1</v>
          </cell>
          <cell r="F52" t="b">
            <v>1</v>
          </cell>
          <cell r="M52" t="str">
            <v>25Y</v>
          </cell>
        </row>
        <row r="53">
          <cell r="M53" t="str">
            <v>30Y</v>
          </cell>
        </row>
        <row r="54">
          <cell r="M54" t="str">
            <v>40Y</v>
          </cell>
        </row>
        <row r="55">
          <cell r="M55" t="str">
            <v>50Y</v>
          </cell>
        </row>
        <row r="56">
          <cell r="B56" t="str">
            <v>UseZeroSpreadsOnly</v>
          </cell>
          <cell r="C56" t="b">
            <v>0</v>
          </cell>
          <cell r="D56" t="b">
            <v>0</v>
          </cell>
          <cell r="E56" t="b">
            <v>0</v>
          </cell>
          <cell r="F56" t="b">
            <v>0</v>
          </cell>
          <cell r="M56" t="str">
            <v>60Y</v>
          </cell>
        </row>
        <row r="57">
          <cell r="B57" t="str">
            <v>Interpolation</v>
          </cell>
          <cell r="C57" t="str">
            <v>LEFT_CONTINUOUS</v>
          </cell>
          <cell r="D57" t="str">
            <v>LEFT_CONTINUOUS</v>
          </cell>
          <cell r="E57" t="str">
            <v>LEFT_CONTINUOUS</v>
          </cell>
          <cell r="F57" t="str">
            <v>LEFT_CONTINUOUS</v>
          </cell>
          <cell r="M57" t="e">
            <v>#N/A</v>
          </cell>
        </row>
        <row r="58">
          <cell r="B58" t="str">
            <v>AnalyticJacobi</v>
          </cell>
          <cell r="C58" t="b">
            <v>0</v>
          </cell>
          <cell r="D58" t="b">
            <v>0</v>
          </cell>
          <cell r="E58" t="b">
            <v>0</v>
          </cell>
          <cell r="F58" t="b">
            <v>0</v>
          </cell>
        </row>
        <row r="59">
          <cell r="B59" t="str">
            <v>BuildJacobianMatrix</v>
          </cell>
          <cell r="C59" t="b">
            <v>0</v>
          </cell>
          <cell r="D59" t="b">
            <v>0</v>
          </cell>
          <cell r="E59" t="b">
            <v>0</v>
          </cell>
          <cell r="F59" t="b">
            <v>0</v>
          </cell>
        </row>
      </sheetData>
      <sheetData sheetId="3" refreshError="1">
        <row r="5">
          <cell r="D5" t="str">
            <v>ATM Vol_EUR.1</v>
          </cell>
        </row>
        <row r="15">
          <cell r="D15" t="str">
            <v>Smile_EUR.1</v>
          </cell>
        </row>
      </sheetData>
      <sheetData sheetId="4" refreshError="1"/>
      <sheetData sheetId="5" refreshError="1">
        <row r="6">
          <cell r="C6">
            <v>40392</v>
          </cell>
          <cell r="AC6" t="b">
            <v>0</v>
          </cell>
        </row>
        <row r="7">
          <cell r="C7" t="str">
            <v>360M</v>
          </cell>
        </row>
        <row r="8">
          <cell r="C8">
            <v>3.8748100000000001</v>
          </cell>
        </row>
        <row r="9">
          <cell r="C9">
            <v>0</v>
          </cell>
        </row>
        <row r="10">
          <cell r="C10" t="str">
            <v>BERM</v>
          </cell>
        </row>
        <row r="11">
          <cell r="C11" t="str">
            <v>6m</v>
          </cell>
        </row>
        <row r="14">
          <cell r="C14">
            <v>0</v>
          </cell>
        </row>
        <row r="15">
          <cell r="C15">
            <v>40392</v>
          </cell>
        </row>
        <row r="16">
          <cell r="C16" t="str">
            <v>6m</v>
          </cell>
        </row>
        <row r="52">
          <cell r="G52">
            <v>2</v>
          </cell>
        </row>
      </sheetData>
      <sheetData sheetId="6" refreshError="1">
        <row r="1">
          <cell r="F1" t="e">
            <v>#REF!</v>
          </cell>
          <cell r="G1" t="str">
            <v>MIN</v>
          </cell>
        </row>
        <row r="3">
          <cell r="L3">
            <v>1459.0214072737945</v>
          </cell>
        </row>
        <row r="4">
          <cell r="L4">
            <v>6817.5071920937717</v>
          </cell>
        </row>
        <row r="5">
          <cell r="L5">
            <v>-6831.2747682399931</v>
          </cell>
        </row>
        <row r="7">
          <cell r="L7">
            <v>1472.7889834200159</v>
          </cell>
        </row>
        <row r="8">
          <cell r="F8">
            <v>1.7999999999999999E-2</v>
          </cell>
          <cell r="L8">
            <v>378.79625729341427</v>
          </cell>
        </row>
        <row r="9">
          <cell r="C9" t="str">
            <v>ATM</v>
          </cell>
          <cell r="L9">
            <v>378.58352068158638</v>
          </cell>
        </row>
        <row r="13">
          <cell r="N13" t="e">
            <v>#VALUE!</v>
          </cell>
        </row>
        <row r="15">
          <cell r="L15">
            <v>1459.0214072737945</v>
          </cell>
        </row>
        <row r="18">
          <cell r="P18">
            <v>1.6832742694940919</v>
          </cell>
        </row>
      </sheetData>
      <sheetData sheetId="7" refreshError="1">
        <row r="8">
          <cell r="AI8" t="str">
            <v>BERM</v>
          </cell>
        </row>
        <row r="9">
          <cell r="AI9" t="str">
            <v>Payer</v>
          </cell>
        </row>
        <row r="10">
          <cell r="AI10">
            <v>0.5</v>
          </cell>
        </row>
        <row r="11">
          <cell r="AI11">
            <v>30</v>
          </cell>
        </row>
        <row r="12">
          <cell r="AI12">
            <v>0</v>
          </cell>
        </row>
        <row r="14">
          <cell r="AI14">
            <v>0.01</v>
          </cell>
        </row>
      </sheetData>
      <sheetData sheetId="8" refreshError="1">
        <row r="5">
          <cell r="D5">
            <v>8.3500372369030643E-2</v>
          </cell>
          <cell r="E5">
            <v>8.3500372369030643E-2</v>
          </cell>
          <cell r="F5">
            <v>6.903598086327635E-2</v>
          </cell>
          <cell r="G5">
            <v>6.4384816005627968E-2</v>
          </cell>
          <cell r="H5">
            <v>1.1218369256880012</v>
          </cell>
          <cell r="I5">
            <v>1.1460079401708756</v>
          </cell>
          <cell r="J5">
            <v>1.2446217588394577</v>
          </cell>
          <cell r="K5">
            <v>4.8438839608963926</v>
          </cell>
          <cell r="L5">
            <v>6.3915236790116987</v>
          </cell>
          <cell r="M5">
            <v>12.501508899189277</v>
          </cell>
          <cell r="N5">
            <v>15.655773085635021</v>
          </cell>
          <cell r="T5">
            <v>0.11551245948666634</v>
          </cell>
          <cell r="U5">
            <v>0.11551245948666634</v>
          </cell>
          <cell r="V5">
            <v>0.11403207067564837</v>
          </cell>
          <cell r="W5">
            <v>0.20265542013805773</v>
          </cell>
          <cell r="X5">
            <v>1.7038725242845205</v>
          </cell>
          <cell r="Y5">
            <v>1.8339711238774046</v>
          </cell>
          <cell r="Z5">
            <v>1.8312190534286403</v>
          </cell>
          <cell r="AA5">
            <v>6.0144126161501399</v>
          </cell>
          <cell r="AB5">
            <v>6.6630166777410986</v>
          </cell>
          <cell r="AC5">
            <v>10.668052921144183</v>
          </cell>
          <cell r="AD5">
            <v>16.324758154628174</v>
          </cell>
          <cell r="AH5">
            <v>3.0092979180262778</v>
          </cell>
          <cell r="AI5">
            <v>5.4290361062401198</v>
          </cell>
          <cell r="AJ5">
            <v>6.5306974974857903</v>
          </cell>
        </row>
        <row r="6">
          <cell r="D6">
            <v>0.61025258749532452</v>
          </cell>
          <cell r="E6">
            <v>0.61025258749532452</v>
          </cell>
          <cell r="F6">
            <v>0.63159621569178637</v>
          </cell>
          <cell r="G6">
            <v>0.87008051109091877</v>
          </cell>
          <cell r="H6">
            <v>1.1218369256880012</v>
          </cell>
          <cell r="I6">
            <v>1.1460079401708756</v>
          </cell>
          <cell r="J6">
            <v>1.2446217588394577</v>
          </cell>
          <cell r="K6">
            <v>4.8438839608963926</v>
          </cell>
          <cell r="L6">
            <v>6.3915236790116987</v>
          </cell>
          <cell r="M6">
            <v>12.501508899189277</v>
          </cell>
          <cell r="N6">
            <v>15.655773085635021</v>
          </cell>
          <cell r="T6">
            <v>1.2105488731200469</v>
          </cell>
          <cell r="U6">
            <v>1.2105488731200469</v>
          </cell>
          <cell r="V6">
            <v>1.1482838499731545</v>
          </cell>
          <cell r="W6">
            <v>1.5803182206118438</v>
          </cell>
          <cell r="X6">
            <v>1.7038725242845205</v>
          </cell>
          <cell r="Y6">
            <v>1.8339711238774046</v>
          </cell>
          <cell r="Z6">
            <v>1.8312190534286403</v>
          </cell>
          <cell r="AA6">
            <v>6.0144126161501399</v>
          </cell>
          <cell r="AB6">
            <v>6.6630166777410986</v>
          </cell>
          <cell r="AC6">
            <v>10.668052921144183</v>
          </cell>
          <cell r="AD6">
            <v>16.324758154628174</v>
          </cell>
          <cell r="AH6">
            <v>16.679269709321037</v>
          </cell>
          <cell r="AI6">
            <v>24.366622648434262</v>
          </cell>
          <cell r="AJ6">
            <v>25.155352758672965</v>
          </cell>
        </row>
        <row r="7">
          <cell r="D7">
            <v>2.3576098512630215</v>
          </cell>
          <cell r="E7">
            <v>2.3576098512630215</v>
          </cell>
          <cell r="F7">
            <v>2.4252518676029244</v>
          </cell>
          <cell r="G7">
            <v>3.1903224015613891</v>
          </cell>
          <cell r="H7">
            <v>3.8046801755203892</v>
          </cell>
          <cell r="I7">
            <v>4.0926824698008213</v>
          </cell>
          <cell r="J7">
            <v>4.4457688093169745</v>
          </cell>
          <cell r="K7">
            <v>4.8438839608963926</v>
          </cell>
          <cell r="L7">
            <v>6.3915236790116987</v>
          </cell>
          <cell r="M7">
            <v>12.501508899189277</v>
          </cell>
          <cell r="N7">
            <v>15.655773085635021</v>
          </cell>
          <cell r="T7">
            <v>4.5837852684539948</v>
          </cell>
          <cell r="U7">
            <v>4.5837852684539948</v>
          </cell>
          <cell r="V7">
            <v>4.5450812071806022</v>
          </cell>
          <cell r="W7">
            <v>5.518722973981995</v>
          </cell>
          <cell r="X7">
            <v>6.0466697757292431</v>
          </cell>
          <cell r="Y7">
            <v>6.3199585173319983</v>
          </cell>
          <cell r="Z7">
            <v>6.2760616974187551</v>
          </cell>
          <cell r="AA7">
            <v>6.0144126161501399</v>
          </cell>
          <cell r="AB7">
            <v>6.6630166777410986</v>
          </cell>
          <cell r="AC7">
            <v>10.668052921144183</v>
          </cell>
          <cell r="AD7">
            <v>16.324758154628174</v>
          </cell>
          <cell r="AH7">
            <v>44.642704719391993</v>
          </cell>
          <cell r="AI7">
            <v>52.93640180922467</v>
          </cell>
          <cell r="AJ7">
            <v>50.366975233902856</v>
          </cell>
        </row>
        <row r="8">
          <cell r="D8">
            <v>2.968872337590938</v>
          </cell>
          <cell r="E8">
            <v>2.968872337590938</v>
          </cell>
          <cell r="F8">
            <v>3.1181138001932145</v>
          </cell>
          <cell r="G8">
            <v>4.0186928307986145</v>
          </cell>
          <cell r="H8">
            <v>4.7786022869941016</v>
          </cell>
          <cell r="I8">
            <v>5.122621058631581</v>
          </cell>
          <cell r="J8">
            <v>5.4904792114923575</v>
          </cell>
          <cell r="K8">
            <v>5.9840997522182997</v>
          </cell>
          <cell r="L8">
            <v>6.3915236790116987</v>
          </cell>
          <cell r="M8">
            <v>12.501508899189277</v>
          </cell>
          <cell r="N8">
            <v>15.655773085635021</v>
          </cell>
          <cell r="T8">
            <v>5.7951848580833039</v>
          </cell>
          <cell r="U8">
            <v>5.7951848580833039</v>
          </cell>
          <cell r="V8">
            <v>5.773647713577021</v>
          </cell>
          <cell r="W8">
            <v>6.8851568597985997</v>
          </cell>
          <cell r="X8">
            <v>7.5314031613413599</v>
          </cell>
          <cell r="Y8">
            <v>7.7778636497459965</v>
          </cell>
          <cell r="Z8">
            <v>7.7610301369277304</v>
          </cell>
          <cell r="AA8">
            <v>7.3842457798357382</v>
          </cell>
          <cell r="AB8">
            <v>6.6630166777410986</v>
          </cell>
          <cell r="AC8">
            <v>10.668052921144183</v>
          </cell>
          <cell r="AD8">
            <v>16.324758154628174</v>
          </cell>
        </row>
        <row r="9">
          <cell r="D9">
            <v>7.8687143434312938</v>
          </cell>
          <cell r="E9">
            <v>7.8687143434312938</v>
          </cell>
          <cell r="F9">
            <v>8.1790495170218964</v>
          </cell>
          <cell r="G9">
            <v>9.7445604366876086</v>
          </cell>
          <cell r="H9">
            <v>11.074760695217721</v>
          </cell>
          <cell r="I9">
            <v>11.807096773173273</v>
          </cell>
          <cell r="J9">
            <v>12.520256529949622</v>
          </cell>
          <cell r="K9">
            <v>13.465014205704849</v>
          </cell>
          <cell r="L9">
            <v>13.91210931750402</v>
          </cell>
          <cell r="M9">
            <v>12.501508899189277</v>
          </cell>
          <cell r="N9">
            <v>15.655773085635021</v>
          </cell>
          <cell r="T9">
            <v>13.962917228384642</v>
          </cell>
          <cell r="U9">
            <v>13.962917228384642</v>
          </cell>
          <cell r="V9">
            <v>13.709240885404826</v>
          </cell>
          <cell r="W9">
            <v>15.174571120880957</v>
          </cell>
          <cell r="X9">
            <v>15.858014460462984</v>
          </cell>
          <cell r="Y9">
            <v>16.253755900904938</v>
          </cell>
          <cell r="Z9">
            <v>15.987391812592934</v>
          </cell>
          <cell r="AA9">
            <v>14.99306776845083</v>
          </cell>
          <cell r="AB9">
            <v>13.061090424362648</v>
          </cell>
          <cell r="AC9">
            <v>10.668052921144183</v>
          </cell>
          <cell r="AD9">
            <v>16.324758154628174</v>
          </cell>
        </row>
        <row r="10">
          <cell r="D10">
            <v>13.450733036576141</v>
          </cell>
          <cell r="E10">
            <v>13.450733036576141</v>
          </cell>
          <cell r="F10">
            <v>13.910158609025531</v>
          </cell>
          <cell r="G10">
            <v>16.165496577249545</v>
          </cell>
          <cell r="H10">
            <v>17.942573136080231</v>
          </cell>
          <cell r="I10">
            <v>19.04839991794984</v>
          </cell>
          <cell r="J10">
            <v>20.034708541112881</v>
          </cell>
          <cell r="K10">
            <v>21.000229321579585</v>
          </cell>
          <cell r="L10">
            <v>21.048882889911287</v>
          </cell>
          <cell r="M10">
            <v>18.781276478579006</v>
          </cell>
          <cell r="N10">
            <v>15.655773085635021</v>
          </cell>
          <cell r="T10">
            <v>21.807656255389251</v>
          </cell>
          <cell r="U10">
            <v>21.807656255389251</v>
          </cell>
          <cell r="V10">
            <v>21.518813599793251</v>
          </cell>
          <cell r="W10">
            <v>23.013289990391062</v>
          </cell>
          <cell r="X10">
            <v>23.863313832827775</v>
          </cell>
          <cell r="Y10">
            <v>23.792913541166175</v>
          </cell>
          <cell r="Z10">
            <v>23.239187685643632</v>
          </cell>
          <cell r="AA10">
            <v>21.416039128367405</v>
          </cell>
          <cell r="AB10">
            <v>18.89132225698177</v>
          </cell>
          <cell r="AC10">
            <v>16.695368512605231</v>
          </cell>
          <cell r="AD10">
            <v>16.324758154628174</v>
          </cell>
        </row>
        <row r="11">
          <cell r="D11">
            <v>15.151102581371335</v>
          </cell>
          <cell r="E11">
            <v>15.151102581371335</v>
          </cell>
          <cell r="F11">
            <v>15.549358453893094</v>
          </cell>
          <cell r="G11">
            <v>17.957852647964959</v>
          </cell>
          <cell r="H11">
            <v>19.832813721751112</v>
          </cell>
          <cell r="I11">
            <v>20.983379032149745</v>
          </cell>
          <cell r="J11">
            <v>22.026232190790328</v>
          </cell>
          <cell r="K11">
            <v>22.998158006436146</v>
          </cell>
          <cell r="L11">
            <v>22.761579817155283</v>
          </cell>
          <cell r="M11">
            <v>20.278556532528459</v>
          </cell>
          <cell r="N11">
            <v>16.966091168872712</v>
          </cell>
          <cell r="T11">
            <v>23.886544793180295</v>
          </cell>
          <cell r="U11">
            <v>23.886544793180295</v>
          </cell>
          <cell r="V11">
            <v>23.405192108632949</v>
          </cell>
          <cell r="W11">
            <v>25.117216801785165</v>
          </cell>
          <cell r="X11">
            <v>25.8748836619468</v>
          </cell>
          <cell r="Y11">
            <v>25.608040936785532</v>
          </cell>
          <cell r="Z11">
            <v>25.001713207935158</v>
          </cell>
          <cell r="AA11">
            <v>23.109498598380245</v>
          </cell>
          <cell r="AB11">
            <v>20.428793727013957</v>
          </cell>
          <cell r="AC11">
            <v>18.3109474211135</v>
          </cell>
          <cell r="AD11">
            <v>17.843084607648965</v>
          </cell>
        </row>
        <row r="12">
          <cell r="D12">
            <v>24.976469474690024</v>
          </cell>
          <cell r="E12">
            <v>24.976469474690024</v>
          </cell>
          <cell r="F12">
            <v>25.490085230072285</v>
          </cell>
          <cell r="G12">
            <v>28.292472857945317</v>
          </cell>
          <cell r="H12">
            <v>30.624733015042697</v>
          </cell>
          <cell r="I12">
            <v>31.856790429141714</v>
          </cell>
          <cell r="J12">
            <v>32.704828172824826</v>
          </cell>
          <cell r="K12">
            <v>33.626488226271711</v>
          </cell>
          <cell r="L12">
            <v>32.9397467777194</v>
          </cell>
          <cell r="M12">
            <v>29.043350932319985</v>
          </cell>
          <cell r="N12">
            <v>23.250681528503495</v>
          </cell>
          <cell r="T12">
            <v>34.789582563626944</v>
          </cell>
          <cell r="U12">
            <v>34.789582563626944</v>
          </cell>
          <cell r="V12">
            <v>33.916041946828962</v>
          </cell>
          <cell r="W12">
            <v>35.553997982567587</v>
          </cell>
          <cell r="X12">
            <v>36.344649521682648</v>
          </cell>
          <cell r="Y12">
            <v>36.05345199457134</v>
          </cell>
          <cell r="Z12">
            <v>34.867969154763621</v>
          </cell>
          <cell r="AA12">
            <v>32.665057443135545</v>
          </cell>
          <cell r="AB12">
            <v>29.650857586935675</v>
          </cell>
          <cell r="AC12">
            <v>26.864307719388538</v>
          </cell>
          <cell r="AD12">
            <v>27.057449210948111</v>
          </cell>
        </row>
        <row r="13">
          <cell r="D13">
            <v>33.70672317125787</v>
          </cell>
          <cell r="E13">
            <v>33.70672317125787</v>
          </cell>
          <cell r="F13">
            <v>34.089083893057712</v>
          </cell>
          <cell r="G13">
            <v>37.575220837894911</v>
          </cell>
          <cell r="H13">
            <v>39.985479420939562</v>
          </cell>
          <cell r="I13">
            <v>41.38204528405732</v>
          </cell>
          <cell r="J13">
            <v>42.54509762884755</v>
          </cell>
          <cell r="K13">
            <v>42.910211994668778</v>
          </cell>
          <cell r="L13">
            <v>41.672743683373035</v>
          </cell>
          <cell r="M13">
            <v>36.017615085315363</v>
          </cell>
          <cell r="N13">
            <v>28.560890825352548</v>
          </cell>
          <cell r="T13">
            <v>44.021738357052534</v>
          </cell>
          <cell r="U13">
            <v>44.021738357052534</v>
          </cell>
          <cell r="V13">
            <v>42.724325636089368</v>
          </cell>
          <cell r="W13">
            <v>44.856329890910736</v>
          </cell>
          <cell r="X13">
            <v>45.679145069311751</v>
          </cell>
          <cell r="Y13">
            <v>45.591482143804122</v>
          </cell>
          <cell r="Z13">
            <v>44.406653159648165</v>
          </cell>
          <cell r="AA13">
            <v>41.824286766450321</v>
          </cell>
          <cell r="AB13">
            <v>38.063595300975074</v>
          </cell>
          <cell r="AC13">
            <v>35.469441088898982</v>
          </cell>
          <cell r="AD13">
            <v>37.788134426109544</v>
          </cell>
          <cell r="AH13">
            <v>6.3051697306150354</v>
          </cell>
          <cell r="AI13">
            <v>8.1882890676936331</v>
          </cell>
          <cell r="AJ13">
            <v>6.7594411965430945</v>
          </cell>
        </row>
        <row r="14">
          <cell r="D14">
            <v>35.948630750820719</v>
          </cell>
          <cell r="E14">
            <v>35.948630750820719</v>
          </cell>
          <cell r="F14">
            <v>36.298122924456045</v>
          </cell>
          <cell r="G14">
            <v>39.972197175617573</v>
          </cell>
          <cell r="H14">
            <v>42.525550990978907</v>
          </cell>
          <cell r="I14">
            <v>44.118143219494421</v>
          </cell>
          <cell r="J14">
            <v>45.043714923554496</v>
          </cell>
          <cell r="K14">
            <v>45.333991562367835</v>
          </cell>
          <cell r="L14">
            <v>43.928081063664202</v>
          </cell>
          <cell r="M14">
            <v>37.807248104000799</v>
          </cell>
          <cell r="N14">
            <v>29.267099899401732</v>
          </cell>
          <cell r="T14">
            <v>46.133673154508422</v>
          </cell>
          <cell r="U14">
            <v>46.133673154508422</v>
          </cell>
          <cell r="V14">
            <v>45.017315849801442</v>
          </cell>
          <cell r="W14">
            <v>47.296776141325161</v>
          </cell>
          <cell r="X14">
            <v>48.213108397545973</v>
          </cell>
          <cell r="Y14">
            <v>48.063280154859974</v>
          </cell>
          <cell r="Z14">
            <v>47.100590629209371</v>
          </cell>
          <cell r="AA14">
            <v>43.917541176205312</v>
          </cell>
          <cell r="AB14">
            <v>40.310983750702697</v>
          </cell>
          <cell r="AC14">
            <v>38.023093129555953</v>
          </cell>
          <cell r="AD14">
            <v>40.93394952125778</v>
          </cell>
          <cell r="AH14">
            <v>27.42685811326692</v>
          </cell>
          <cell r="AI14">
            <v>26.10376156750954</v>
          </cell>
          <cell r="AJ14">
            <v>20.30536003581938</v>
          </cell>
        </row>
        <row r="15">
          <cell r="AH15">
            <v>49.830794815738052</v>
          </cell>
          <cell r="AI15">
            <v>46.973792882060486</v>
          </cell>
          <cell r="AJ15">
            <v>40.930170174698567</v>
          </cell>
        </row>
      </sheetData>
      <sheetData sheetId="9" refreshError="1">
        <row r="5">
          <cell r="D5">
            <v>1.6454180425112106</v>
          </cell>
          <cell r="E5">
            <v>1.6454180425112106</v>
          </cell>
          <cell r="F5">
            <v>1.5796055805813061</v>
          </cell>
          <cell r="G5">
            <v>2.4780910602681794</v>
          </cell>
          <cell r="H5">
            <v>4.0667547949661635</v>
          </cell>
          <cell r="I5">
            <v>3.5252923464232975</v>
          </cell>
          <cell r="J5">
            <v>3.2203572204143112</v>
          </cell>
          <cell r="K5">
            <v>5.7517349545681018</v>
          </cell>
          <cell r="L5">
            <v>6.8241009520605003</v>
          </cell>
          <cell r="M5">
            <v>8.5611220803746768</v>
          </cell>
          <cell r="N5">
            <v>11.681305862751763</v>
          </cell>
          <cell r="T5">
            <v>2.2969419898312395</v>
          </cell>
          <cell r="U5">
            <v>2.2969419898312395</v>
          </cell>
          <cell r="V5">
            <v>2.0875100782113782</v>
          </cell>
          <cell r="W5">
            <v>2.5102569298397901</v>
          </cell>
          <cell r="X5">
            <v>6.4533170298208189</v>
          </cell>
          <cell r="Y5">
            <v>5.7205843997367465</v>
          </cell>
          <cell r="Z5">
            <v>4.728123420100248</v>
          </cell>
          <cell r="AA5">
            <v>10.780700506372806</v>
          </cell>
          <cell r="AB5">
            <v>7.6370277576417864</v>
          </cell>
          <cell r="AC5">
            <v>14.606887438187652</v>
          </cell>
          <cell r="AD5">
            <v>21.820415030534893</v>
          </cell>
        </row>
        <row r="6">
          <cell r="D6">
            <v>5.5265869526367828</v>
          </cell>
          <cell r="E6">
            <v>5.5265869526367828</v>
          </cell>
          <cell r="F6">
            <v>3.9263878987596841</v>
          </cell>
          <cell r="G6">
            <v>4.3972521268382234</v>
          </cell>
          <cell r="H6">
            <v>4.0667547949661635</v>
          </cell>
          <cell r="I6">
            <v>3.5252923464232975</v>
          </cell>
          <cell r="J6">
            <v>3.2203572204143112</v>
          </cell>
          <cell r="K6">
            <v>5.7517349545681018</v>
          </cell>
          <cell r="L6">
            <v>6.8241009520605003</v>
          </cell>
          <cell r="M6">
            <v>8.5611220803746768</v>
          </cell>
          <cell r="N6">
            <v>11.681305862751763</v>
          </cell>
          <cell r="T6">
            <v>5.4242592609208984</v>
          </cell>
          <cell r="U6">
            <v>5.4242592609208984</v>
          </cell>
          <cell r="V6">
            <v>5.4288335263180443</v>
          </cell>
          <cell r="W6">
            <v>5.9440744960026075</v>
          </cell>
          <cell r="X6">
            <v>6.4533170298208189</v>
          </cell>
          <cell r="Y6">
            <v>5.7205843997367465</v>
          </cell>
          <cell r="Z6">
            <v>4.728123420100248</v>
          </cell>
          <cell r="AA6">
            <v>10.780700506372806</v>
          </cell>
          <cell r="AB6">
            <v>7.6370277576417864</v>
          </cell>
          <cell r="AC6">
            <v>14.606887438187652</v>
          </cell>
          <cell r="AD6">
            <v>21.820415030534893</v>
          </cell>
        </row>
        <row r="7">
          <cell r="D7">
            <v>6.7323921365751769</v>
          </cell>
          <cell r="E7">
            <v>6.7323921365751769</v>
          </cell>
          <cell r="F7">
            <v>6.6397886923689287</v>
          </cell>
          <cell r="G7">
            <v>7.0158105142269003</v>
          </cell>
          <cell r="H7">
            <v>6.915582226405486</v>
          </cell>
          <cell r="I7">
            <v>6.2773251423654983</v>
          </cell>
          <cell r="J7">
            <v>5.9668530378640501</v>
          </cell>
          <cell r="K7">
            <v>5.7517349545681018</v>
          </cell>
          <cell r="L7">
            <v>6.8241009520605003</v>
          </cell>
          <cell r="M7">
            <v>8.5611220803746768</v>
          </cell>
          <cell r="N7">
            <v>11.681305862751763</v>
          </cell>
          <cell r="T7">
            <v>13.972087679900397</v>
          </cell>
          <cell r="U7">
            <v>13.972087679900397</v>
          </cell>
          <cell r="V7">
            <v>12.82958627541549</v>
          </cell>
          <cell r="W7">
            <v>13.680558300779788</v>
          </cell>
          <cell r="X7">
            <v>12.736737934640377</v>
          </cell>
          <cell r="Y7">
            <v>12.470379867119833</v>
          </cell>
          <cell r="Z7">
            <v>10.962986317396687</v>
          </cell>
          <cell r="AA7">
            <v>10.780700506372806</v>
          </cell>
          <cell r="AB7">
            <v>7.6370277576417864</v>
          </cell>
          <cell r="AC7">
            <v>14.606887438187652</v>
          </cell>
          <cell r="AD7">
            <v>21.820415030534893</v>
          </cell>
        </row>
        <row r="8">
          <cell r="D8">
            <v>8.0122639902620616</v>
          </cell>
          <cell r="E8">
            <v>8.0122639902620616</v>
          </cell>
          <cell r="F8">
            <v>7.800705486974187</v>
          </cell>
          <cell r="G8">
            <v>8.1626908889005243</v>
          </cell>
          <cell r="H8">
            <v>7.8487394489790168</v>
          </cell>
          <cell r="I8">
            <v>7.2806231787064855</v>
          </cell>
          <cell r="J8">
            <v>6.9888149248976932</v>
          </cell>
          <cell r="K8">
            <v>7.0246309842795851</v>
          </cell>
          <cell r="L8">
            <v>6.8241009520605003</v>
          </cell>
          <cell r="M8">
            <v>8.5611220803746768</v>
          </cell>
          <cell r="N8">
            <v>11.681305862751763</v>
          </cell>
          <cell r="T8">
            <v>16.116283081713732</v>
          </cell>
          <cell r="U8">
            <v>16.116283081713732</v>
          </cell>
          <cell r="V8">
            <v>14.903175198160801</v>
          </cell>
          <cell r="W8">
            <v>15.624469835379404</v>
          </cell>
          <cell r="X8">
            <v>15.611854137219165</v>
          </cell>
          <cell r="Y8">
            <v>12.927142749772482</v>
          </cell>
          <cell r="Z8">
            <v>10.555892934523609</v>
          </cell>
          <cell r="AA8">
            <v>12.724615396354356</v>
          </cell>
          <cell r="AB8">
            <v>7.6370277576417864</v>
          </cell>
          <cell r="AC8">
            <v>14.606887438187652</v>
          </cell>
          <cell r="AD8">
            <v>21.820415030534893</v>
          </cell>
        </row>
        <row r="9">
          <cell r="D9">
            <v>13.156353806199146</v>
          </cell>
          <cell r="E9">
            <v>13.156353806199146</v>
          </cell>
          <cell r="F9">
            <v>11.473145863356439</v>
          </cell>
          <cell r="G9">
            <v>10.697302114836592</v>
          </cell>
          <cell r="H9">
            <v>10.412601773383583</v>
          </cell>
          <cell r="I9">
            <v>10.562769930766784</v>
          </cell>
          <cell r="J9">
            <v>10.294920336551689</v>
          </cell>
          <cell r="K9">
            <v>9.8745021491802962</v>
          </cell>
          <cell r="L9">
            <v>11.612997220308049</v>
          </cell>
          <cell r="M9">
            <v>8.5611220803746768</v>
          </cell>
          <cell r="N9">
            <v>11.681305862751763</v>
          </cell>
          <cell r="T9">
            <v>28.799239183455864</v>
          </cell>
          <cell r="U9">
            <v>28.799239183455864</v>
          </cell>
          <cell r="V9">
            <v>27.506880698452044</v>
          </cell>
          <cell r="W9">
            <v>27.025978014476991</v>
          </cell>
          <cell r="X9">
            <v>25.871953043099868</v>
          </cell>
          <cell r="Y9">
            <v>22.79402871536012</v>
          </cell>
          <cell r="Z9">
            <v>17.426331916338214</v>
          </cell>
          <cell r="AA9">
            <v>18.046292600219285</v>
          </cell>
          <cell r="AB9">
            <v>12.453835441211018</v>
          </cell>
          <cell r="AC9">
            <v>14.606887438187652</v>
          </cell>
          <cell r="AD9">
            <v>21.820415030534893</v>
          </cell>
          <cell r="AO9">
            <v>10.403108423835674</v>
          </cell>
          <cell r="AP9">
            <v>7.1921451132938818</v>
          </cell>
          <cell r="AQ9">
            <v>6.3854749056254212</v>
          </cell>
          <cell r="AU9">
            <v>20.157704902661692</v>
          </cell>
          <cell r="AV9">
            <v>10.220908174554294</v>
          </cell>
          <cell r="AW9">
            <v>8.3394074576583428</v>
          </cell>
        </row>
        <row r="10">
          <cell r="D10">
            <v>16.909715381216252</v>
          </cell>
          <cell r="E10">
            <v>16.909715381216252</v>
          </cell>
          <cell r="F10">
            <v>15.085645492478601</v>
          </cell>
          <cell r="G10">
            <v>13.935300660236226</v>
          </cell>
          <cell r="H10">
            <v>13.840827258604254</v>
          </cell>
          <cell r="I10">
            <v>12.807262747503142</v>
          </cell>
          <cell r="J10">
            <v>12.442617341367164</v>
          </cell>
          <cell r="K10">
            <v>12.90772564942958</v>
          </cell>
          <cell r="L10">
            <v>12.023987859069281</v>
          </cell>
          <cell r="M10">
            <v>11.381540097902523</v>
          </cell>
          <cell r="N10">
            <v>11.681305862751763</v>
          </cell>
          <cell r="T10">
            <v>35.120243310598646</v>
          </cell>
          <cell r="U10">
            <v>35.120243310598646</v>
          </cell>
          <cell r="V10">
            <v>30.411680229075362</v>
          </cell>
          <cell r="W10">
            <v>29.827398466375673</v>
          </cell>
          <cell r="X10">
            <v>25.607748852491898</v>
          </cell>
          <cell r="Y10">
            <v>23.747620424273048</v>
          </cell>
          <cell r="Z10">
            <v>20.618708817062092</v>
          </cell>
          <cell r="AA10">
            <v>18.705857166355351</v>
          </cell>
          <cell r="AB10">
            <v>17.949967228657929</v>
          </cell>
          <cell r="AC10">
            <v>22.75249707383411</v>
          </cell>
          <cell r="AD10">
            <v>21.820415030534893</v>
          </cell>
          <cell r="AO10">
            <v>35.385393432870785</v>
          </cell>
          <cell r="AP10">
            <v>27.833864848695825</v>
          </cell>
          <cell r="AQ10">
            <v>22.465701245088471</v>
          </cell>
          <cell r="AU10">
            <v>41.991488671483474</v>
          </cell>
          <cell r="AV10">
            <v>27.219149732136323</v>
          </cell>
          <cell r="AW10">
            <v>28.973229269067762</v>
          </cell>
        </row>
        <row r="11">
          <cell r="D11">
            <v>17.917045154825281</v>
          </cell>
          <cell r="E11">
            <v>17.917045154825281</v>
          </cell>
          <cell r="F11">
            <v>15.646130608017483</v>
          </cell>
          <cell r="G11">
            <v>13.393681727694922</v>
          </cell>
          <cell r="H11">
            <v>13.419334907180666</v>
          </cell>
          <cell r="I11">
            <v>13.240095157286971</v>
          </cell>
          <cell r="J11">
            <v>12.569946425418117</v>
          </cell>
          <cell r="K11">
            <v>13.615813987644872</v>
          </cell>
          <cell r="L11">
            <v>11.854969421513731</v>
          </cell>
          <cell r="M11">
            <v>13.584507614952841</v>
          </cell>
          <cell r="N11">
            <v>10.816058334999525</v>
          </cell>
          <cell r="T11">
            <v>36.113969002156146</v>
          </cell>
          <cell r="U11">
            <v>36.113969002156146</v>
          </cell>
          <cell r="V11">
            <v>32.156989871237151</v>
          </cell>
          <cell r="W11">
            <v>30.149896101528697</v>
          </cell>
          <cell r="X11">
            <v>26.426342930713592</v>
          </cell>
          <cell r="Y11">
            <v>25.408782914302009</v>
          </cell>
          <cell r="Z11">
            <v>20.449634461327214</v>
          </cell>
          <cell r="AA11">
            <v>21.806626257938088</v>
          </cell>
          <cell r="AB11">
            <v>21.055815825116696</v>
          </cell>
          <cell r="AC11">
            <v>26.111636079914941</v>
          </cell>
          <cell r="AD11">
            <v>24.90775207876748</v>
          </cell>
          <cell r="AO11">
            <v>24.709392040798694</v>
          </cell>
          <cell r="AP11">
            <v>31.770890706467483</v>
          </cell>
          <cell r="AQ11">
            <v>22.850997878999678</v>
          </cell>
          <cell r="AU11">
            <v>60.815396996272106</v>
          </cell>
          <cell r="AV11">
            <v>48.950555641762108</v>
          </cell>
          <cell r="AW11">
            <v>32.934755093768061</v>
          </cell>
        </row>
        <row r="12">
          <cell r="D12">
            <v>18.779242631517238</v>
          </cell>
          <cell r="E12">
            <v>18.779242631517238</v>
          </cell>
          <cell r="F12">
            <v>18.907377379963293</v>
          </cell>
          <cell r="G12">
            <v>15.337808221386334</v>
          </cell>
          <cell r="H12">
            <v>17.147317518334091</v>
          </cell>
          <cell r="I12">
            <v>17.015424757123188</v>
          </cell>
          <cell r="J12">
            <v>16.560893335837751</v>
          </cell>
          <cell r="K12">
            <v>16.69528143152051</v>
          </cell>
          <cell r="L12">
            <v>17.602841814344892</v>
          </cell>
          <cell r="M12">
            <v>14.005927526958875</v>
          </cell>
          <cell r="N12">
            <v>12.562537363342743</v>
          </cell>
          <cell r="T12">
            <v>45.120646329515303</v>
          </cell>
          <cell r="U12">
            <v>45.120646329515303</v>
          </cell>
          <cell r="V12">
            <v>41.105446297133511</v>
          </cell>
          <cell r="W12">
            <v>37.662890855863417</v>
          </cell>
          <cell r="X12">
            <v>32.131123590474665</v>
          </cell>
          <cell r="Y12">
            <v>28.378087287502428</v>
          </cell>
          <cell r="Z12">
            <v>27.150027301628537</v>
          </cell>
          <cell r="AA12">
            <v>27.528113084193354</v>
          </cell>
          <cell r="AB12">
            <v>28.436289246560065</v>
          </cell>
          <cell r="AC12">
            <v>23.233902122800785</v>
          </cell>
          <cell r="AD12">
            <v>16.296257390595333</v>
          </cell>
        </row>
        <row r="13">
          <cell r="D13">
            <v>19.852491708327403</v>
          </cell>
          <cell r="E13">
            <v>19.852491708327403</v>
          </cell>
          <cell r="F13">
            <v>18.357971803843991</v>
          </cell>
          <cell r="G13">
            <v>17.676455948576088</v>
          </cell>
          <cell r="H13">
            <v>20.575743865397005</v>
          </cell>
          <cell r="I13">
            <v>19.131887506567516</v>
          </cell>
          <cell r="J13">
            <v>18.484523212381955</v>
          </cell>
          <cell r="K13">
            <v>18.73980096185176</v>
          </cell>
          <cell r="L13">
            <v>18.400541225344572</v>
          </cell>
          <cell r="M13">
            <v>8.0617560887575035</v>
          </cell>
          <cell r="N13">
            <v>12.197960359509729</v>
          </cell>
          <cell r="T13">
            <v>47.339579406668811</v>
          </cell>
          <cell r="U13">
            <v>47.339579406668811</v>
          </cell>
          <cell r="V13">
            <v>43.293523196027586</v>
          </cell>
          <cell r="W13">
            <v>40.641927713357553</v>
          </cell>
          <cell r="X13">
            <v>33.328721635309456</v>
          </cell>
          <cell r="Y13">
            <v>34.149591330720391</v>
          </cell>
          <cell r="Z13">
            <v>27.389083964649117</v>
          </cell>
          <cell r="AA13">
            <v>31.274038207015334</v>
          </cell>
          <cell r="AB13">
            <v>28.19886999024229</v>
          </cell>
          <cell r="AC13">
            <v>19.31054338146269</v>
          </cell>
          <cell r="AD13">
            <v>18.564233009571975</v>
          </cell>
        </row>
        <row r="14">
          <cell r="D14">
            <v>22.357020140815596</v>
          </cell>
          <cell r="E14">
            <v>22.357020140815596</v>
          </cell>
          <cell r="F14">
            <v>19.544707456798086</v>
          </cell>
          <cell r="G14">
            <v>16.281214661982293</v>
          </cell>
          <cell r="H14">
            <v>16.31309751445189</v>
          </cell>
          <cell r="I14">
            <v>16.600069900646247</v>
          </cell>
          <cell r="J14">
            <v>19.370536306088564</v>
          </cell>
          <cell r="K14">
            <v>17.178352182942053</v>
          </cell>
          <cell r="L14">
            <v>17.282321236914463</v>
          </cell>
          <cell r="M14">
            <v>7.8506718872212291</v>
          </cell>
          <cell r="N14">
            <v>13.078127082756781</v>
          </cell>
          <cell r="T14">
            <v>43.865745608411764</v>
          </cell>
          <cell r="U14">
            <v>43.865745608411764</v>
          </cell>
          <cell r="V14">
            <v>41.403151734443028</v>
          </cell>
          <cell r="W14">
            <v>36.415592467370359</v>
          </cell>
          <cell r="X14">
            <v>34.284126752039469</v>
          </cell>
          <cell r="Y14">
            <v>30.683526776858059</v>
          </cell>
          <cell r="Z14">
            <v>25.105537616646561</v>
          </cell>
          <cell r="AA14">
            <v>28.395081994056202</v>
          </cell>
          <cell r="AB14">
            <v>24.083566183122937</v>
          </cell>
          <cell r="AC14">
            <v>17.771414241527967</v>
          </cell>
          <cell r="AD14">
            <v>22.033881653492568</v>
          </cell>
          <cell r="AO14">
            <v>8.9461909232540489</v>
          </cell>
          <cell r="AP14">
            <v>6.2929285925651515</v>
          </cell>
          <cell r="AQ14">
            <v>5.4310813213460465</v>
          </cell>
          <cell r="AU14">
            <v>19.495332909549962</v>
          </cell>
          <cell r="AV14">
            <v>9.5153323230888027</v>
          </cell>
          <cell r="AW14">
            <v>7.3342859212333877</v>
          </cell>
        </row>
        <row r="15">
          <cell r="AO15">
            <v>32.764966110790176</v>
          </cell>
          <cell r="AP15">
            <v>19.094800930816131</v>
          </cell>
          <cell r="AQ15">
            <v>25.94537459583433</v>
          </cell>
          <cell r="AU15">
            <v>34.590501755954136</v>
          </cell>
          <cell r="AV15">
            <v>26.62672914469422</v>
          </cell>
          <cell r="AW15">
            <v>24.294260622022833</v>
          </cell>
        </row>
        <row r="16">
          <cell r="AO16">
            <v>25.156418342066786</v>
          </cell>
          <cell r="AP16">
            <v>36.137609751782655</v>
          </cell>
          <cell r="AQ16">
            <v>44.224727541068567</v>
          </cell>
          <cell r="AU16">
            <v>49.237896845344856</v>
          </cell>
          <cell r="AV16">
            <v>37.600829702988619</v>
          </cell>
          <cell r="AW16">
            <v>33.654485960451289</v>
          </cell>
        </row>
        <row r="19">
          <cell r="AO19">
            <v>5.7848859627350073</v>
          </cell>
          <cell r="AP19">
            <v>5.1294686223125598</v>
          </cell>
          <cell r="AQ19">
            <v>7.1253257356848971</v>
          </cell>
          <cell r="AU19">
            <v>14.264140310758892</v>
          </cell>
          <cell r="AV19">
            <v>9.4325515555661497</v>
          </cell>
          <cell r="AW19">
            <v>5.985446934980871</v>
          </cell>
        </row>
        <row r="20">
          <cell r="D20">
            <v>1.6416521613637136</v>
          </cell>
          <cell r="E20">
            <v>1.6416521613637136</v>
          </cell>
          <cell r="F20">
            <v>1.8038047833600075</v>
          </cell>
          <cell r="G20">
            <v>2.3157494678631365</v>
          </cell>
          <cell r="H20">
            <v>4.3875562770957153</v>
          </cell>
          <cell r="I20">
            <v>3.8564341813446528</v>
          </cell>
          <cell r="J20">
            <v>2.839031172149959</v>
          </cell>
          <cell r="K20">
            <v>5.7657252597337765</v>
          </cell>
          <cell r="L20">
            <v>7.1432049841925238</v>
          </cell>
          <cell r="M20">
            <v>8.6825965700008982</v>
          </cell>
          <cell r="N20">
            <v>9.8064026364138748</v>
          </cell>
          <cell r="T20">
            <v>2.5757410180417062</v>
          </cell>
          <cell r="U20">
            <v>2.5757410180417062</v>
          </cell>
          <cell r="V20">
            <v>2.1846058737654395</v>
          </cell>
          <cell r="W20">
            <v>2.8071479492204823</v>
          </cell>
          <cell r="X20">
            <v>6.3893681716437012</v>
          </cell>
          <cell r="Y20">
            <v>4.9282015305959117</v>
          </cell>
          <cell r="Z20">
            <v>3.5270367320215352</v>
          </cell>
          <cell r="AA20">
            <v>9.0600037334694381</v>
          </cell>
          <cell r="AB20">
            <v>7.4777855176740555</v>
          </cell>
          <cell r="AC20">
            <v>12.242992632935373</v>
          </cell>
          <cell r="AD20">
            <v>18.823038860059945</v>
          </cell>
          <cell r="AO20">
            <v>16.572734695540625</v>
          </cell>
          <cell r="AP20">
            <v>19.695334840372478</v>
          </cell>
          <cell r="AQ20">
            <v>22.012774299051824</v>
          </cell>
          <cell r="AU20">
            <v>31.630942134448588</v>
          </cell>
          <cell r="AV20">
            <v>26.821086403146904</v>
          </cell>
          <cell r="AW20">
            <v>18.371919990751472</v>
          </cell>
        </row>
        <row r="21">
          <cell r="D21">
            <v>6.5561464384976507</v>
          </cell>
          <cell r="E21">
            <v>6.5561464384976507</v>
          </cell>
          <cell r="F21">
            <v>4.6281257542659002</v>
          </cell>
          <cell r="G21">
            <v>4.5575602597304288</v>
          </cell>
          <cell r="H21">
            <v>4.3875562770957153</v>
          </cell>
          <cell r="I21">
            <v>3.8564341813446528</v>
          </cell>
          <cell r="J21">
            <v>2.839031172149959</v>
          </cell>
          <cell r="K21">
            <v>5.7657252597337765</v>
          </cell>
          <cell r="L21">
            <v>7.1432049841925238</v>
          </cell>
          <cell r="M21">
            <v>8.6825965700008982</v>
          </cell>
          <cell r="N21">
            <v>9.8064026364138748</v>
          </cell>
          <cell r="T21">
            <v>7.4320204156533789</v>
          </cell>
          <cell r="U21">
            <v>7.4320204156533789</v>
          </cell>
          <cell r="V21">
            <v>6.5365402350581645</v>
          </cell>
          <cell r="W21">
            <v>6.8451228974231109</v>
          </cell>
          <cell r="X21">
            <v>6.3893681716437012</v>
          </cell>
          <cell r="Y21">
            <v>4.9282015305959117</v>
          </cell>
          <cell r="Z21">
            <v>3.5270367320215352</v>
          </cell>
          <cell r="AA21">
            <v>9.0600037334694381</v>
          </cell>
          <cell r="AB21">
            <v>7.4777855176740555</v>
          </cell>
          <cell r="AC21">
            <v>12.242992632935373</v>
          </cell>
          <cell r="AD21">
            <v>18.823038860059945</v>
          </cell>
          <cell r="AO21">
            <v>41.59420955443462</v>
          </cell>
          <cell r="AP21">
            <v>33.343662877804704</v>
          </cell>
          <cell r="AQ21">
            <v>29.579450695465127</v>
          </cell>
          <cell r="AU21">
            <v>42.236740078815913</v>
          </cell>
          <cell r="AV21">
            <v>32.259168707026227</v>
          </cell>
          <cell r="AW21">
            <v>23.32071782790225</v>
          </cell>
        </row>
        <row r="22">
          <cell r="D22">
            <v>7.0296084411269675</v>
          </cell>
          <cell r="E22">
            <v>7.0296084411269675</v>
          </cell>
          <cell r="F22">
            <v>6.0957493452785494</v>
          </cell>
          <cell r="G22">
            <v>5.6279389658786734</v>
          </cell>
          <cell r="H22">
            <v>5.5290036072786251</v>
          </cell>
          <cell r="I22">
            <v>5.0640266972021939</v>
          </cell>
          <cell r="J22">
            <v>5.6320259552192544</v>
          </cell>
          <cell r="K22">
            <v>5.7657252597337765</v>
          </cell>
          <cell r="L22">
            <v>7.1432049841925238</v>
          </cell>
          <cell r="M22">
            <v>8.6825965700008982</v>
          </cell>
          <cell r="N22">
            <v>9.8064026364138748</v>
          </cell>
          <cell r="T22">
            <v>12.928720861411527</v>
          </cell>
          <cell r="U22">
            <v>12.928720861411527</v>
          </cell>
          <cell r="V22">
            <v>11.877650273170723</v>
          </cell>
          <cell r="W22">
            <v>12.702629527550727</v>
          </cell>
          <cell r="X22">
            <v>10.704666719068342</v>
          </cell>
          <cell r="Y22">
            <v>8.8865662229559845</v>
          </cell>
          <cell r="Z22">
            <v>9.4256590843296113</v>
          </cell>
          <cell r="AA22">
            <v>9.0600037334694381</v>
          </cell>
          <cell r="AB22">
            <v>7.4777855176740555</v>
          </cell>
          <cell r="AC22">
            <v>12.242992632935373</v>
          </cell>
          <cell r="AD22">
            <v>18.823038860059945</v>
          </cell>
        </row>
        <row r="23">
          <cell r="D23">
            <v>8.1524900934835713</v>
          </cell>
          <cell r="E23">
            <v>8.1524900934835713</v>
          </cell>
          <cell r="F23">
            <v>6.9285640963531421</v>
          </cell>
          <cell r="G23">
            <v>6.5692505655706874</v>
          </cell>
          <cell r="H23">
            <v>6.6685059342037354</v>
          </cell>
          <cell r="I23">
            <v>6.1345361022172407</v>
          </cell>
          <cell r="J23">
            <v>6.2693681105935202</v>
          </cell>
          <cell r="K23">
            <v>6.7492090240077314</v>
          </cell>
          <cell r="L23">
            <v>7.1432049841925238</v>
          </cell>
          <cell r="M23">
            <v>8.6825965700008982</v>
          </cell>
          <cell r="N23">
            <v>9.8064026364138748</v>
          </cell>
          <cell r="T23">
            <v>14.819589022483893</v>
          </cell>
          <cell r="U23">
            <v>14.819589022483893</v>
          </cell>
          <cell r="V23">
            <v>13.660370170016439</v>
          </cell>
          <cell r="W23">
            <v>14.75087640029289</v>
          </cell>
          <cell r="X23">
            <v>11.652154873246149</v>
          </cell>
          <cell r="Y23">
            <v>10.168266956901293</v>
          </cell>
          <cell r="Z23">
            <v>8.9063524131004854</v>
          </cell>
          <cell r="AA23">
            <v>10.72124805937012</v>
          </cell>
          <cell r="AB23">
            <v>7.4777855176740555</v>
          </cell>
          <cell r="AC23">
            <v>12.242992632935373</v>
          </cell>
          <cell r="AD23">
            <v>18.823038860059945</v>
          </cell>
        </row>
        <row r="24">
          <cell r="D24">
            <v>12.2002774872965</v>
          </cell>
          <cell r="E24">
            <v>12.2002774872965</v>
          </cell>
          <cell r="F24">
            <v>10.628817622009841</v>
          </cell>
          <cell r="G24">
            <v>10.756562912332555</v>
          </cell>
          <cell r="H24">
            <v>10.406425902815901</v>
          </cell>
          <cell r="I24">
            <v>10.386423249981597</v>
          </cell>
          <cell r="J24">
            <v>10.284540479331374</v>
          </cell>
          <cell r="K24">
            <v>9.417750083003595</v>
          </cell>
          <cell r="L24">
            <v>10.299990731684986</v>
          </cell>
          <cell r="M24">
            <v>8.6825965700008982</v>
          </cell>
          <cell r="N24">
            <v>9.8064026364138748</v>
          </cell>
          <cell r="T24">
            <v>27.535323327172254</v>
          </cell>
          <cell r="U24">
            <v>27.535323327172254</v>
          </cell>
          <cell r="V24">
            <v>23.273436549687055</v>
          </cell>
          <cell r="W24">
            <v>23.391619491481961</v>
          </cell>
          <cell r="X24">
            <v>21.899399179971812</v>
          </cell>
          <cell r="Y24">
            <v>19.679936500555058</v>
          </cell>
          <cell r="Z24">
            <v>17.537462345518335</v>
          </cell>
          <cell r="AA24">
            <v>14.93872521720079</v>
          </cell>
          <cell r="AB24">
            <v>10.151691220569116</v>
          </cell>
          <cell r="AC24">
            <v>12.242992632935373</v>
          </cell>
          <cell r="AD24">
            <v>18.823038860059945</v>
          </cell>
          <cell r="AO24">
            <v>4.0436991458083869</v>
          </cell>
          <cell r="AP24">
            <v>5.4607556107397226</v>
          </cell>
          <cell r="AQ24">
            <v>4.878164523550967</v>
          </cell>
          <cell r="AU24">
            <v>9.5074480209615118</v>
          </cell>
          <cell r="AV24">
            <v>4.8857190877683641</v>
          </cell>
          <cell r="AW24">
            <v>3.9217221598484211</v>
          </cell>
        </row>
        <row r="25">
          <cell r="D25">
            <v>16.714424144553092</v>
          </cell>
          <cell r="E25">
            <v>16.714424144553092</v>
          </cell>
          <cell r="F25">
            <v>15.737475374248175</v>
          </cell>
          <cell r="G25">
            <v>12.802497958568541</v>
          </cell>
          <cell r="H25">
            <v>13.431469702578006</v>
          </cell>
          <cell r="I25">
            <v>12.658874276138597</v>
          </cell>
          <cell r="J25">
            <v>11.562901381987661</v>
          </cell>
          <cell r="K25">
            <v>11.844062241958964</v>
          </cell>
          <cell r="L25">
            <v>11.041267715898673</v>
          </cell>
          <cell r="M25">
            <v>9.9792017875767893</v>
          </cell>
          <cell r="N25">
            <v>9.8064026364138748</v>
          </cell>
          <cell r="T25">
            <v>30.242183567493651</v>
          </cell>
          <cell r="U25">
            <v>30.242183567493651</v>
          </cell>
          <cell r="V25">
            <v>25.542348207444242</v>
          </cell>
          <cell r="W25">
            <v>26.333376044710796</v>
          </cell>
          <cell r="X25">
            <v>23.687053462941083</v>
          </cell>
          <cell r="Y25">
            <v>18.632977298827871</v>
          </cell>
          <cell r="Z25">
            <v>17.463450411729482</v>
          </cell>
          <cell r="AA25">
            <v>16.350390087673723</v>
          </cell>
          <cell r="AB25">
            <v>14.491346667513133</v>
          </cell>
          <cell r="AC25">
            <v>18.27557272846612</v>
          </cell>
          <cell r="AD25">
            <v>18.823038860059945</v>
          </cell>
          <cell r="AO25">
            <v>18.185936531044938</v>
          </cell>
          <cell r="AP25">
            <v>20.414517363349901</v>
          </cell>
          <cell r="AQ25">
            <v>20.036766438115649</v>
          </cell>
          <cell r="AU25">
            <v>29.090058791632838</v>
          </cell>
          <cell r="AV25">
            <v>19.81712959278283</v>
          </cell>
          <cell r="AW25">
            <v>15.446441017920119</v>
          </cell>
        </row>
        <row r="26">
          <cell r="D26">
            <v>18.331591859842788</v>
          </cell>
          <cell r="E26">
            <v>18.331591859842788</v>
          </cell>
          <cell r="F26">
            <v>16.501286076865206</v>
          </cell>
          <cell r="G26">
            <v>15.008338408579714</v>
          </cell>
          <cell r="H26">
            <v>12.763537154515204</v>
          </cell>
          <cell r="I26">
            <v>12.907146995384029</v>
          </cell>
          <cell r="J26">
            <v>12.392421002085038</v>
          </cell>
          <cell r="K26">
            <v>13.172413997324465</v>
          </cell>
          <cell r="L26">
            <v>10.133861473722039</v>
          </cell>
          <cell r="M26">
            <v>10.721907759090518</v>
          </cell>
          <cell r="N26">
            <v>8.4809789031196026</v>
          </cell>
          <cell r="T26">
            <v>32.330443060841567</v>
          </cell>
          <cell r="U26">
            <v>32.330443060841567</v>
          </cell>
          <cell r="V26">
            <v>27.368843398485406</v>
          </cell>
          <cell r="W26">
            <v>26.949571146171085</v>
          </cell>
          <cell r="X26">
            <v>22.306687644325763</v>
          </cell>
          <cell r="Y26">
            <v>20.478064166519616</v>
          </cell>
          <cell r="Z26">
            <v>20.466408331841272</v>
          </cell>
          <cell r="AA26">
            <v>18.744016638599611</v>
          </cell>
          <cell r="AB26">
            <v>19.881314890345269</v>
          </cell>
          <cell r="AC26">
            <v>18.263376636125898</v>
          </cell>
          <cell r="AD26">
            <v>20.648081138087125</v>
          </cell>
          <cell r="AO26">
            <v>48.731943797482877</v>
          </cell>
          <cell r="AP26">
            <v>39.177004068905639</v>
          </cell>
          <cell r="AQ26">
            <v>29.865109330254125</v>
          </cell>
          <cell r="AU26">
            <v>32.762601227952239</v>
          </cell>
          <cell r="AV26">
            <v>30.437271460503986</v>
          </cell>
          <cell r="AW26">
            <v>26.757362253856126</v>
          </cell>
        </row>
        <row r="27">
          <cell r="D27">
            <v>18.737749223626977</v>
          </cell>
          <cell r="E27">
            <v>18.737749223626977</v>
          </cell>
          <cell r="F27">
            <v>18.417683151664615</v>
          </cell>
          <cell r="G27">
            <v>14.761195435241287</v>
          </cell>
          <cell r="H27">
            <v>15.130530275792085</v>
          </cell>
          <cell r="I27">
            <v>16.539478430707781</v>
          </cell>
          <cell r="J27">
            <v>17.557360758139509</v>
          </cell>
          <cell r="K27">
            <v>16.020883972105885</v>
          </cell>
          <cell r="L27">
            <v>18.923982390816981</v>
          </cell>
          <cell r="M27">
            <v>12.051880758869526</v>
          </cell>
          <cell r="N27">
            <v>9.7485358765305659</v>
          </cell>
          <cell r="T27">
            <v>41.249569216469254</v>
          </cell>
          <cell r="U27">
            <v>41.249569216469254</v>
          </cell>
          <cell r="V27">
            <v>35.855467609641813</v>
          </cell>
          <cell r="W27">
            <v>35.671934371612231</v>
          </cell>
          <cell r="X27">
            <v>28.27746803612656</v>
          </cell>
          <cell r="Y27">
            <v>24.239974630004919</v>
          </cell>
          <cell r="Z27">
            <v>23.794890378136902</v>
          </cell>
          <cell r="AA27">
            <v>25.822665160724213</v>
          </cell>
          <cell r="AB27">
            <v>21.411103972760291</v>
          </cell>
          <cell r="AC27">
            <v>19.528282065660349</v>
          </cell>
          <cell r="AD27">
            <v>15.66981729715066</v>
          </cell>
        </row>
        <row r="28">
          <cell r="D28">
            <v>21.66650628375373</v>
          </cell>
          <cell r="E28">
            <v>21.66650628375373</v>
          </cell>
          <cell r="F28">
            <v>17.858478272375695</v>
          </cell>
          <cell r="G28">
            <v>16.325896178817352</v>
          </cell>
          <cell r="H28">
            <v>17.592217404251699</v>
          </cell>
          <cell r="I28">
            <v>21.882349571238514</v>
          </cell>
          <cell r="J28">
            <v>23.753360009283206</v>
          </cell>
          <cell r="K28">
            <v>19.264800232019613</v>
          </cell>
          <cell r="L28">
            <v>15.839094678517229</v>
          </cell>
          <cell r="M28">
            <v>9.9644063540428593</v>
          </cell>
          <cell r="N28">
            <v>8.7193819305164144</v>
          </cell>
          <cell r="T28">
            <v>41.63923720165657</v>
          </cell>
          <cell r="U28">
            <v>41.63923720165657</v>
          </cell>
          <cell r="V28">
            <v>35.191044021651372</v>
          </cell>
          <cell r="W28">
            <v>37.644704146543191</v>
          </cell>
          <cell r="X28">
            <v>32.032021827481358</v>
          </cell>
          <cell r="Y28">
            <v>32.728090908181443</v>
          </cell>
          <cell r="Z28">
            <v>28.123734408064671</v>
          </cell>
          <cell r="AA28">
            <v>19.833114330038384</v>
          </cell>
          <cell r="AB28">
            <v>20.592956685247533</v>
          </cell>
          <cell r="AC28">
            <v>21.698220837824735</v>
          </cell>
          <cell r="AD28">
            <v>17.380273849502601</v>
          </cell>
        </row>
        <row r="29">
          <cell r="D29">
            <v>18.843885292099145</v>
          </cell>
          <cell r="E29">
            <v>18.843885292099145</v>
          </cell>
          <cell r="F29">
            <v>18.236867475876046</v>
          </cell>
          <cell r="G29">
            <v>13.648012563977359</v>
          </cell>
          <cell r="H29">
            <v>17.319325496992004</v>
          </cell>
          <cell r="I29">
            <v>20.766983194696898</v>
          </cell>
          <cell r="J29">
            <v>21.467984585985413</v>
          </cell>
          <cell r="K29">
            <v>16.768798460381738</v>
          </cell>
          <cell r="L29">
            <v>15.604008071798813</v>
          </cell>
          <cell r="M29">
            <v>9.5386227049257393</v>
          </cell>
          <cell r="N29">
            <v>9.6277701936875086</v>
          </cell>
          <cell r="T29">
            <v>39.123921486785477</v>
          </cell>
          <cell r="U29">
            <v>39.123921486785477</v>
          </cell>
          <cell r="V29">
            <v>34.469186975622158</v>
          </cell>
          <cell r="W29">
            <v>35.045852657106124</v>
          </cell>
          <cell r="X29">
            <v>31.322549243329668</v>
          </cell>
          <cell r="Y29">
            <v>29.558829973264238</v>
          </cell>
          <cell r="Z29">
            <v>22.302302608357834</v>
          </cell>
          <cell r="AA29">
            <v>21.184635216521162</v>
          </cell>
          <cell r="AB29">
            <v>21.421229051183737</v>
          </cell>
          <cell r="AC29">
            <v>17.728159858124162</v>
          </cell>
          <cell r="AD29">
            <v>18.159649924609418</v>
          </cell>
          <cell r="AO29">
            <v>5.9416210774405016</v>
          </cell>
          <cell r="AP29">
            <v>7.3867913570732364</v>
          </cell>
          <cell r="AQ29">
            <v>5.4666404498445536</v>
          </cell>
          <cell r="AU29">
            <v>7.2115074687707228</v>
          </cell>
          <cell r="AV29">
            <v>6.3869268259636387</v>
          </cell>
          <cell r="AW29">
            <v>5.5197572756340989</v>
          </cell>
        </row>
        <row r="30">
          <cell r="AO30">
            <v>21.784774961176399</v>
          </cell>
          <cell r="AP30">
            <v>22.622642046112702</v>
          </cell>
          <cell r="AQ30">
            <v>17.77955886555317</v>
          </cell>
          <cell r="AU30">
            <v>23.149832649914828</v>
          </cell>
          <cell r="AV30">
            <v>18.687606645138469</v>
          </cell>
          <cell r="AW30">
            <v>15.28377222584432</v>
          </cell>
        </row>
        <row r="31">
          <cell r="AO31">
            <v>44.447289637103736</v>
          </cell>
          <cell r="AP31">
            <v>31.762954080663782</v>
          </cell>
          <cell r="AQ31">
            <v>34.693244034710126</v>
          </cell>
          <cell r="AU31">
            <v>35.448455013375728</v>
          </cell>
          <cell r="AV31">
            <v>20.050310870813519</v>
          </cell>
          <cell r="AW31">
            <v>15.573111303208488</v>
          </cell>
        </row>
        <row r="34">
          <cell r="AO34">
            <v>8.9311963004624477</v>
          </cell>
          <cell r="AP34">
            <v>11.226307612049524</v>
          </cell>
          <cell r="AQ34">
            <v>9.0670219217754866</v>
          </cell>
          <cell r="AU34">
            <v>5.4545786110543331</v>
          </cell>
          <cell r="AV34">
            <v>2.6479355799638644</v>
          </cell>
          <cell r="AW34">
            <v>4.1961638247761188</v>
          </cell>
        </row>
        <row r="35">
          <cell r="D35">
            <v>2.0340913038268793</v>
          </cell>
          <cell r="E35">
            <v>2.0340913038268793</v>
          </cell>
          <cell r="F35">
            <v>1.342240532923811</v>
          </cell>
          <cell r="G35">
            <v>1.3651957936561725</v>
          </cell>
          <cell r="H35">
            <v>3.7886215465536237</v>
          </cell>
          <cell r="I35">
            <v>2.9941206347909151</v>
          </cell>
          <cell r="J35">
            <v>2.472255778292646</v>
          </cell>
          <cell r="K35">
            <v>5.7113395095099753</v>
          </cell>
          <cell r="L35">
            <v>6.6717997925367953</v>
          </cell>
          <cell r="M35">
            <v>9.2759953111115419</v>
          </cell>
          <cell r="N35">
            <v>8.6072211229021587</v>
          </cell>
          <cell r="T35">
            <v>2.4552697189815231</v>
          </cell>
          <cell r="U35">
            <v>2.4552697189815231</v>
          </cell>
          <cell r="V35">
            <v>2.2356904693381718</v>
          </cell>
          <cell r="W35">
            <v>2.9300158937556158</v>
          </cell>
          <cell r="X35">
            <v>5.874081167872677</v>
          </cell>
          <cell r="Y35">
            <v>4.3793939543658826</v>
          </cell>
          <cell r="Z35">
            <v>3.2057943563835325</v>
          </cell>
          <cell r="AA35">
            <v>7.1311743753295262</v>
          </cell>
          <cell r="AB35">
            <v>7.0434102373265155</v>
          </cell>
          <cell r="AC35">
            <v>10.980219742345312</v>
          </cell>
          <cell r="AD35">
            <v>14.676575945486654</v>
          </cell>
          <cell r="AO35">
            <v>24.921646687279974</v>
          </cell>
          <cell r="AP35">
            <v>29.412690930010928</v>
          </cell>
          <cell r="AQ35">
            <v>23.858806539632315</v>
          </cell>
          <cell r="AU35">
            <v>25.918258043974149</v>
          </cell>
          <cell r="AV35">
            <v>21.364721655491106</v>
          </cell>
          <cell r="AW35">
            <v>22.062382010212936</v>
          </cell>
        </row>
        <row r="36">
          <cell r="D36">
            <v>4.4508410471893605</v>
          </cell>
          <cell r="E36">
            <v>4.4508410471893605</v>
          </cell>
          <cell r="F36">
            <v>3.700422177588202</v>
          </cell>
          <cell r="G36">
            <v>4.1565871998499855</v>
          </cell>
          <cell r="H36">
            <v>3.7886215465536237</v>
          </cell>
          <cell r="I36">
            <v>2.9941206347909151</v>
          </cell>
          <cell r="J36">
            <v>2.472255778292646</v>
          </cell>
          <cell r="K36">
            <v>5.7113395095099753</v>
          </cell>
          <cell r="L36">
            <v>6.6717997925367953</v>
          </cell>
          <cell r="M36">
            <v>9.2759953111115419</v>
          </cell>
          <cell r="N36">
            <v>8.6072211229021587</v>
          </cell>
          <cell r="T36">
            <v>8.0679113148859543</v>
          </cell>
          <cell r="U36">
            <v>8.0679113148859543</v>
          </cell>
          <cell r="V36">
            <v>7.1630111937232144</v>
          </cell>
          <cell r="W36">
            <v>6.6738492293083409</v>
          </cell>
          <cell r="X36">
            <v>5.874081167872677</v>
          </cell>
          <cell r="Y36">
            <v>4.3793939543658826</v>
          </cell>
          <cell r="Z36">
            <v>3.2057943563835325</v>
          </cell>
          <cell r="AA36">
            <v>7.1311743753295262</v>
          </cell>
          <cell r="AB36">
            <v>7.0434102373265155</v>
          </cell>
          <cell r="AC36">
            <v>10.980219742345312</v>
          </cell>
          <cell r="AD36">
            <v>14.676575945486654</v>
          </cell>
          <cell r="AO36">
            <v>58.046386285608087</v>
          </cell>
          <cell r="AP36">
            <v>61.862773483359412</v>
          </cell>
          <cell r="AQ36">
            <v>54.50894321839683</v>
          </cell>
          <cell r="AU36">
            <v>34.654959597796889</v>
          </cell>
          <cell r="AV36">
            <v>43.829684992781786</v>
          </cell>
          <cell r="AW36">
            <v>42.703482021610419</v>
          </cell>
        </row>
        <row r="37">
          <cell r="D37">
            <v>5.5995816073638478</v>
          </cell>
          <cell r="E37">
            <v>5.5995816073638478</v>
          </cell>
          <cell r="F37">
            <v>4.6506171898828361</v>
          </cell>
          <cell r="G37">
            <v>6.0155641401268118</v>
          </cell>
          <cell r="H37">
            <v>4.3496417246394481</v>
          </cell>
          <cell r="I37">
            <v>3.5858816111553766</v>
          </cell>
          <cell r="J37">
            <v>4.3352553672736587</v>
          </cell>
          <cell r="K37">
            <v>5.7113395095099753</v>
          </cell>
          <cell r="L37">
            <v>6.6717997925367953</v>
          </cell>
          <cell r="M37">
            <v>9.2759953111115419</v>
          </cell>
          <cell r="N37">
            <v>8.6072211229021587</v>
          </cell>
          <cell r="T37">
            <v>10.885567523516002</v>
          </cell>
          <cell r="U37">
            <v>10.885567523516002</v>
          </cell>
          <cell r="V37">
            <v>8.8650997503056388</v>
          </cell>
          <cell r="W37">
            <v>9.8296439070008592</v>
          </cell>
          <cell r="X37">
            <v>7.0516253561576638</v>
          </cell>
          <cell r="Y37">
            <v>5.425864986908512</v>
          </cell>
          <cell r="Z37">
            <v>6.8119670021586574</v>
          </cell>
          <cell r="AA37">
            <v>7.1311743753295262</v>
          </cell>
          <cell r="AB37">
            <v>7.0434102373265155</v>
          </cell>
          <cell r="AC37">
            <v>10.980219742345312</v>
          </cell>
          <cell r="AD37">
            <v>14.676575945486654</v>
          </cell>
        </row>
        <row r="38">
          <cell r="D38">
            <v>8.7389847343666336</v>
          </cell>
          <cell r="E38">
            <v>8.7389847343666336</v>
          </cell>
          <cell r="F38">
            <v>5.1046277142957539</v>
          </cell>
          <cell r="G38">
            <v>5.47952343752132</v>
          </cell>
          <cell r="H38">
            <v>4.2042495066329266</v>
          </cell>
          <cell r="I38">
            <v>5.3021491491657224</v>
          </cell>
          <cell r="J38">
            <v>6.0019360315738632</v>
          </cell>
          <cell r="K38">
            <v>6.4359690493289063</v>
          </cell>
          <cell r="L38">
            <v>6.6717997925367953</v>
          </cell>
          <cell r="M38">
            <v>9.2759953111115419</v>
          </cell>
          <cell r="N38">
            <v>8.6072211229021587</v>
          </cell>
          <cell r="T38">
            <v>12.213327206100244</v>
          </cell>
          <cell r="U38">
            <v>12.213327206100244</v>
          </cell>
          <cell r="V38">
            <v>10.785921556432346</v>
          </cell>
          <cell r="W38">
            <v>9.6199609451574428</v>
          </cell>
          <cell r="X38">
            <v>8.959699784603071</v>
          </cell>
          <cell r="Y38">
            <v>7.9139883497842218</v>
          </cell>
          <cell r="Z38">
            <v>7.4678401238059466</v>
          </cell>
          <cell r="AA38">
            <v>8.4980664161151704</v>
          </cell>
          <cell r="AB38">
            <v>7.0434102373265155</v>
          </cell>
          <cell r="AC38">
            <v>10.980219742345312</v>
          </cell>
          <cell r="AD38">
            <v>14.676575945486654</v>
          </cell>
        </row>
        <row r="39">
          <cell r="D39">
            <v>11.109810733561719</v>
          </cell>
          <cell r="E39">
            <v>11.109810733561719</v>
          </cell>
          <cell r="F39">
            <v>8.2937791909846936</v>
          </cell>
          <cell r="G39">
            <v>9.593360963313696</v>
          </cell>
          <cell r="H39">
            <v>10.335860434691426</v>
          </cell>
          <cell r="I39">
            <v>10.668119972834532</v>
          </cell>
          <cell r="J39">
            <v>10.370545010767886</v>
          </cell>
          <cell r="K39">
            <v>12.942185087697951</v>
          </cell>
          <cell r="L39">
            <v>9.3295683664852689</v>
          </cell>
          <cell r="M39">
            <v>9.2759953111115419</v>
          </cell>
          <cell r="N39">
            <v>8.6072211229021587</v>
          </cell>
          <cell r="T39">
            <v>19.903796000815028</v>
          </cell>
          <cell r="U39">
            <v>19.903796000815028</v>
          </cell>
          <cell r="V39">
            <v>15.444879716119607</v>
          </cell>
          <cell r="W39">
            <v>17.359354192742988</v>
          </cell>
          <cell r="X39">
            <v>17.218923802372689</v>
          </cell>
          <cell r="Y39">
            <v>13.401997881058369</v>
          </cell>
          <cell r="Z39">
            <v>12.572558948359829</v>
          </cell>
          <cell r="AA39">
            <v>12.846951511296771</v>
          </cell>
          <cell r="AB39">
            <v>8.7626983052549647</v>
          </cell>
          <cell r="AC39">
            <v>10.980219742345312</v>
          </cell>
          <cell r="AD39">
            <v>14.676575945486654</v>
          </cell>
          <cell r="AO39">
            <v>10.993580991539002</v>
          </cell>
          <cell r="AP39">
            <v>15.839309098337443</v>
          </cell>
          <cell r="AQ39">
            <v>12.492793767830522</v>
          </cell>
          <cell r="AU39">
            <v>6.8483677837069239</v>
          </cell>
          <cell r="AV39">
            <v>6.722749290447557</v>
          </cell>
          <cell r="AW39">
            <v>6.8097201923479673</v>
          </cell>
        </row>
        <row r="40">
          <cell r="D40">
            <v>11.554033113743435</v>
          </cell>
          <cell r="E40">
            <v>11.554033113743435</v>
          </cell>
          <cell r="F40">
            <v>11.124429683985069</v>
          </cell>
          <cell r="G40">
            <v>11.05819972248041</v>
          </cell>
          <cell r="H40">
            <v>10.798880752534089</v>
          </cell>
          <cell r="I40">
            <v>11.198808781167271</v>
          </cell>
          <cell r="J40">
            <v>14.575350731218103</v>
          </cell>
          <cell r="K40">
            <v>14.40252529030119</v>
          </cell>
          <cell r="L40">
            <v>11.518737056053963</v>
          </cell>
          <cell r="M40">
            <v>12.275502449366934</v>
          </cell>
          <cell r="N40">
            <v>8.6072211229021587</v>
          </cell>
          <cell r="T40">
            <v>24.137412871002116</v>
          </cell>
          <cell r="U40">
            <v>24.137412871002116</v>
          </cell>
          <cell r="V40">
            <v>18.777489444310934</v>
          </cell>
          <cell r="W40">
            <v>17.498931594884059</v>
          </cell>
          <cell r="X40">
            <v>15.04613031330325</v>
          </cell>
          <cell r="Y40">
            <v>13.916973708906413</v>
          </cell>
          <cell r="Z40">
            <v>12.74319382137735</v>
          </cell>
          <cell r="AA40">
            <v>12.995708145208448</v>
          </cell>
          <cell r="AB40">
            <v>13.378404273214182</v>
          </cell>
          <cell r="AC40">
            <v>15.444744462442578</v>
          </cell>
          <cell r="AD40">
            <v>14.676575945486654</v>
          </cell>
          <cell r="AO40">
            <v>34.798120968246771</v>
          </cell>
          <cell r="AP40">
            <v>49.549578815165596</v>
          </cell>
          <cell r="AQ40">
            <v>32.960763327732202</v>
          </cell>
          <cell r="AU40">
            <v>26.875000275541527</v>
          </cell>
          <cell r="AV40">
            <v>29.327126272488297</v>
          </cell>
          <cell r="AW40">
            <v>31.933580959866283</v>
          </cell>
        </row>
        <row r="41">
          <cell r="D41">
            <v>13.689156006547369</v>
          </cell>
          <cell r="E41">
            <v>13.689156006547369</v>
          </cell>
          <cell r="F41">
            <v>11.708161949658114</v>
          </cell>
          <cell r="G41">
            <v>11.126255474455949</v>
          </cell>
          <cell r="H41">
            <v>11.15918892665095</v>
          </cell>
          <cell r="I41">
            <v>16.545153669675354</v>
          </cell>
          <cell r="J41">
            <v>13.74412407174828</v>
          </cell>
          <cell r="K41">
            <v>14.27931358334148</v>
          </cell>
          <cell r="L41">
            <v>11.541038372887149</v>
          </cell>
          <cell r="M41">
            <v>10.45799393259332</v>
          </cell>
          <cell r="N41">
            <v>7.512723919265949</v>
          </cell>
          <cell r="T41">
            <v>25.317320616738943</v>
          </cell>
          <cell r="U41">
            <v>25.317320616738943</v>
          </cell>
          <cell r="V41">
            <v>17.301298676517511</v>
          </cell>
          <cell r="W41">
            <v>19.167993642266911</v>
          </cell>
          <cell r="X41">
            <v>17.553310350223619</v>
          </cell>
          <cell r="Y41">
            <v>13.855469335569754</v>
          </cell>
          <cell r="Z41">
            <v>13.772968583159511</v>
          </cell>
          <cell r="AA41">
            <v>14.483936514415193</v>
          </cell>
          <cell r="AB41">
            <v>14.284617494619274</v>
          </cell>
          <cell r="AC41">
            <v>13.572280389809576</v>
          </cell>
          <cell r="AD41">
            <v>12.247957042382296</v>
          </cell>
          <cell r="AO41">
            <v>74.580442891103075</v>
          </cell>
          <cell r="AP41">
            <v>91.594332588058379</v>
          </cell>
          <cell r="AQ41">
            <v>74.641307907861417</v>
          </cell>
          <cell r="AU41">
            <v>46.346455264139877</v>
          </cell>
          <cell r="AV41">
            <v>55.310183442747118</v>
          </cell>
          <cell r="AW41">
            <v>60.539116922496042</v>
          </cell>
        </row>
        <row r="42">
          <cell r="D42">
            <v>17.23594530894588</v>
          </cell>
          <cell r="E42">
            <v>17.23594530894588</v>
          </cell>
          <cell r="F42">
            <v>14.876326062422715</v>
          </cell>
          <cell r="G42">
            <v>16.24463133920186</v>
          </cell>
          <cell r="H42">
            <v>20.778586911929604</v>
          </cell>
          <cell r="I42">
            <v>24.456152417347194</v>
          </cell>
          <cell r="J42">
            <v>22.519433355093039</v>
          </cell>
          <cell r="K42">
            <v>21.093897446553523</v>
          </cell>
          <cell r="L42">
            <v>19.806915238670413</v>
          </cell>
          <cell r="M42">
            <v>14.60678072402011</v>
          </cell>
          <cell r="N42">
            <v>8.8649166794077257</v>
          </cell>
          <cell r="T42">
            <v>31.517129580167605</v>
          </cell>
          <cell r="U42">
            <v>31.517129580167605</v>
          </cell>
          <cell r="V42">
            <v>23.602045620186441</v>
          </cell>
          <cell r="W42">
            <v>25.635862095530527</v>
          </cell>
          <cell r="X42">
            <v>23.000807035554317</v>
          </cell>
          <cell r="Y42">
            <v>20.125368805887007</v>
          </cell>
          <cell r="Z42">
            <v>17.616903918133421</v>
          </cell>
          <cell r="AA42">
            <v>19.293232012233666</v>
          </cell>
          <cell r="AB42">
            <v>17.002831301416272</v>
          </cell>
          <cell r="AC42">
            <v>14.349916025651037</v>
          </cell>
          <cell r="AD42">
            <v>15.252045112914104</v>
          </cell>
        </row>
        <row r="43">
          <cell r="D43">
            <v>25.668328618784589</v>
          </cell>
          <cell r="E43">
            <v>25.668328618784589</v>
          </cell>
          <cell r="F43">
            <v>21.015294894332744</v>
          </cell>
          <cell r="G43">
            <v>27.496143752965594</v>
          </cell>
          <cell r="H43">
            <v>28.226259030328482</v>
          </cell>
          <cell r="I43">
            <v>29.080541225672238</v>
          </cell>
          <cell r="J43">
            <v>29.85181804312742</v>
          </cell>
          <cell r="K43">
            <v>25.903418228791629</v>
          </cell>
          <cell r="L43">
            <v>21.282116359562348</v>
          </cell>
          <cell r="M43">
            <v>14.733639685740524</v>
          </cell>
          <cell r="N43">
            <v>12.616521914320012</v>
          </cell>
          <cell r="T43">
            <v>32.609946040877929</v>
          </cell>
          <cell r="U43">
            <v>32.609946040877929</v>
          </cell>
          <cell r="V43">
            <v>28.563793320322912</v>
          </cell>
          <cell r="W43">
            <v>29.390396760207057</v>
          </cell>
          <cell r="X43">
            <v>29.848217807483163</v>
          </cell>
          <cell r="Y43">
            <v>27.802423312979354</v>
          </cell>
          <cell r="Z43">
            <v>23.393539904634405</v>
          </cell>
          <cell r="AA43">
            <v>21.459405675886227</v>
          </cell>
          <cell r="AB43">
            <v>19.012249213503843</v>
          </cell>
          <cell r="AC43">
            <v>20.990161599928879</v>
          </cell>
          <cell r="AD43">
            <v>13.071961614825501</v>
          </cell>
        </row>
        <row r="44">
          <cell r="D44">
            <v>23.751187420633435</v>
          </cell>
          <cell r="E44">
            <v>23.751187420633435</v>
          </cell>
          <cell r="F44">
            <v>25.090535789969707</v>
          </cell>
          <cell r="G44">
            <v>27.262465148580997</v>
          </cell>
          <cell r="H44">
            <v>25.637188530088732</v>
          </cell>
          <cell r="I44">
            <v>24.8893236209916</v>
          </cell>
          <cell r="J44">
            <v>23.648446166612217</v>
          </cell>
          <cell r="K44">
            <v>23.590384376358369</v>
          </cell>
          <cell r="L44">
            <v>21.765978975457369</v>
          </cell>
          <cell r="M44">
            <v>11.192825242950999</v>
          </cell>
          <cell r="N44">
            <v>12.917946535085198</v>
          </cell>
          <cell r="T44">
            <v>33.648055492875926</v>
          </cell>
          <cell r="U44">
            <v>33.648055492875926</v>
          </cell>
          <cell r="V44">
            <v>25.57774176773647</v>
          </cell>
          <cell r="W44">
            <v>32.791218135857555</v>
          </cell>
          <cell r="X44">
            <v>27.598865954336052</v>
          </cell>
          <cell r="Y44">
            <v>25.464471482272334</v>
          </cell>
          <cell r="Z44">
            <v>22.057349033814059</v>
          </cell>
          <cell r="AA44">
            <v>18.735883906608066</v>
          </cell>
          <cell r="AB44">
            <v>19.094396231218859</v>
          </cell>
          <cell r="AC44">
            <v>14.580568042587663</v>
          </cell>
          <cell r="AD44">
            <v>14.157769325197723</v>
          </cell>
        </row>
        <row r="50">
          <cell r="D50">
            <v>2.5942309729024071</v>
          </cell>
          <cell r="E50">
            <v>2.5942309729024071</v>
          </cell>
          <cell r="F50">
            <v>1.5645507708652608</v>
          </cell>
          <cell r="G50">
            <v>1.6237556354892722</v>
          </cell>
          <cell r="H50">
            <v>3.9906702410491559</v>
          </cell>
          <cell r="I50">
            <v>3.0811945695680749</v>
          </cell>
          <cell r="J50">
            <v>2.7753107345485613</v>
          </cell>
          <cell r="K50">
            <v>5.6891996558131739</v>
          </cell>
          <cell r="L50">
            <v>7.0122911232007006</v>
          </cell>
          <cell r="M50">
            <v>12.172646504154287</v>
          </cell>
          <cell r="N50">
            <v>12.48837824563277</v>
          </cell>
          <cell r="T50">
            <v>2.1672572782770163</v>
          </cell>
          <cell r="U50">
            <v>2.1672572782770163</v>
          </cell>
          <cell r="V50">
            <v>2.2189071365270352</v>
          </cell>
          <cell r="W50">
            <v>2.4437161578524669</v>
          </cell>
          <cell r="X50">
            <v>6.0793217944150708</v>
          </cell>
          <cell r="Y50">
            <v>3.9150443956408476</v>
          </cell>
          <cell r="Z50">
            <v>3.0869514945522272</v>
          </cell>
          <cell r="AA50">
            <v>5.9650104270409718</v>
          </cell>
          <cell r="AB50">
            <v>5.5977806966716104</v>
          </cell>
          <cell r="AC50">
            <v>7.9940006078813077</v>
          </cell>
          <cell r="AD50">
            <v>10.72748545285495</v>
          </cell>
        </row>
        <row r="51">
          <cell r="D51">
            <v>4.7563299791825013</v>
          </cell>
          <cell r="E51">
            <v>4.7563299791825013</v>
          </cell>
          <cell r="F51">
            <v>3.8239103595192878</v>
          </cell>
          <cell r="G51">
            <v>4.0592579723491182</v>
          </cell>
          <cell r="H51">
            <v>3.9906702410491559</v>
          </cell>
          <cell r="I51">
            <v>3.0811945695680749</v>
          </cell>
          <cell r="J51">
            <v>2.7753107345485613</v>
          </cell>
          <cell r="K51">
            <v>5.6891996558131739</v>
          </cell>
          <cell r="L51">
            <v>7.0122911232007006</v>
          </cell>
          <cell r="M51">
            <v>12.172646504154287</v>
          </cell>
          <cell r="N51">
            <v>12.48837824563277</v>
          </cell>
          <cell r="T51">
            <v>8.3625349156447442</v>
          </cell>
          <cell r="U51">
            <v>8.3625349156447442</v>
          </cell>
          <cell r="V51">
            <v>7.0893679706957506</v>
          </cell>
          <cell r="W51">
            <v>7.0978044687602582</v>
          </cell>
          <cell r="X51">
            <v>6.0793217944150708</v>
          </cell>
          <cell r="Y51">
            <v>3.9150443956408476</v>
          </cell>
          <cell r="Z51">
            <v>3.0869514945522272</v>
          </cell>
          <cell r="AA51">
            <v>5.9650104270409718</v>
          </cell>
          <cell r="AB51">
            <v>5.5977806966716104</v>
          </cell>
          <cell r="AC51">
            <v>7.9940006078813077</v>
          </cell>
          <cell r="AD51">
            <v>10.72748545285495</v>
          </cell>
        </row>
        <row r="52">
          <cell r="D52">
            <v>5.315867017135143</v>
          </cell>
          <cell r="E52">
            <v>5.315867017135143</v>
          </cell>
          <cell r="F52">
            <v>5.6121833407975643</v>
          </cell>
          <cell r="G52">
            <v>5.8155069955452827</v>
          </cell>
          <cell r="H52">
            <v>5.2657271072896208</v>
          </cell>
          <cell r="I52">
            <v>4.2919596764330068</v>
          </cell>
          <cell r="J52">
            <v>4.6052552784604597</v>
          </cell>
          <cell r="K52">
            <v>5.6891996558131739</v>
          </cell>
          <cell r="L52">
            <v>7.0122911232007006</v>
          </cell>
          <cell r="M52">
            <v>12.172646504154287</v>
          </cell>
          <cell r="N52">
            <v>12.48837824563277</v>
          </cell>
          <cell r="T52">
            <v>8.5408023538456526</v>
          </cell>
          <cell r="U52">
            <v>8.5408023538456526</v>
          </cell>
          <cell r="V52">
            <v>6.4986316892824441</v>
          </cell>
          <cell r="W52">
            <v>7.41898311764123</v>
          </cell>
          <cell r="X52">
            <v>5.4794236961714402</v>
          </cell>
          <cell r="Y52">
            <v>4.5087462704269212</v>
          </cell>
          <cell r="Z52">
            <v>4.8220909770898404</v>
          </cell>
          <cell r="AA52">
            <v>5.9650104270409718</v>
          </cell>
          <cell r="AB52">
            <v>5.5977806966716104</v>
          </cell>
          <cell r="AC52">
            <v>7.9940006078813077</v>
          </cell>
          <cell r="AD52">
            <v>10.72748545285495</v>
          </cell>
        </row>
        <row r="53">
          <cell r="D53">
            <v>7.2031849849018021</v>
          </cell>
          <cell r="E53">
            <v>7.2031849849018021</v>
          </cell>
          <cell r="F53">
            <v>6.1842021399507194</v>
          </cell>
          <cell r="G53">
            <v>6.0638517020739622</v>
          </cell>
          <cell r="H53">
            <v>5.7334652369308712</v>
          </cell>
          <cell r="I53">
            <v>5.0043856367586868</v>
          </cell>
          <cell r="J53">
            <v>5.6547101236131354</v>
          </cell>
          <cell r="K53">
            <v>6.8724787520050743</v>
          </cell>
          <cell r="L53">
            <v>7.0122911232007006</v>
          </cell>
          <cell r="M53">
            <v>12.172646504154287</v>
          </cell>
          <cell r="N53">
            <v>12.48837824563277</v>
          </cell>
          <cell r="T53">
            <v>12.254703999184548</v>
          </cell>
          <cell r="U53">
            <v>12.254703999184548</v>
          </cell>
          <cell r="V53">
            <v>7.8599788682780245</v>
          </cell>
          <cell r="W53">
            <v>6.8325333751424386</v>
          </cell>
          <cell r="X53">
            <v>6.3484237670181765</v>
          </cell>
          <cell r="Y53">
            <v>5.480391220898805</v>
          </cell>
          <cell r="Z53">
            <v>6.6882689471107399</v>
          </cell>
          <cell r="AA53">
            <v>7.1312620560654452</v>
          </cell>
          <cell r="AB53">
            <v>5.5977806966716104</v>
          </cell>
          <cell r="AC53">
            <v>7.9940006078813077</v>
          </cell>
          <cell r="AD53">
            <v>10.72748545285495</v>
          </cell>
        </row>
        <row r="54">
          <cell r="D54">
            <v>10.216738103447735</v>
          </cell>
          <cell r="E54">
            <v>10.216738103447735</v>
          </cell>
          <cell r="F54">
            <v>9.6657768813343523</v>
          </cell>
          <cell r="G54">
            <v>10.717954907692958</v>
          </cell>
          <cell r="H54">
            <v>9.9711964409627054</v>
          </cell>
          <cell r="I54">
            <v>10.458558723196417</v>
          </cell>
          <cell r="J54">
            <v>11.423335445815072</v>
          </cell>
          <cell r="K54">
            <v>13.240936295445522</v>
          </cell>
          <cell r="L54">
            <v>12.248521656090665</v>
          </cell>
          <cell r="M54">
            <v>12.172646504154287</v>
          </cell>
          <cell r="N54">
            <v>12.48837824563277</v>
          </cell>
          <cell r="T54">
            <v>13.063592457887207</v>
          </cell>
          <cell r="U54">
            <v>13.063592457887207</v>
          </cell>
          <cell r="V54">
            <v>10.826266665343461</v>
          </cell>
          <cell r="W54">
            <v>12.263641714883212</v>
          </cell>
          <cell r="X54">
            <v>13.13364660598257</v>
          </cell>
          <cell r="Y54">
            <v>10.868990048083141</v>
          </cell>
          <cell r="Z54">
            <v>9.7486861327268723</v>
          </cell>
          <cell r="AA54">
            <v>10.737586706640846</v>
          </cell>
          <cell r="AB54">
            <v>7.5802298308696061</v>
          </cell>
          <cell r="AC54">
            <v>7.9940006078813077</v>
          </cell>
          <cell r="AD54">
            <v>10.72748545285495</v>
          </cell>
        </row>
        <row r="55">
          <cell r="D55">
            <v>11.945050128836694</v>
          </cell>
          <cell r="E55">
            <v>11.945050128836694</v>
          </cell>
          <cell r="F55">
            <v>11.035097823874493</v>
          </cell>
          <cell r="G55">
            <v>11.433184450846191</v>
          </cell>
          <cell r="H55">
            <v>13.958445984951073</v>
          </cell>
          <cell r="I55">
            <v>14.219658848532891</v>
          </cell>
          <cell r="J55">
            <v>16.104889585856991</v>
          </cell>
          <cell r="K55">
            <v>18.084440777984117</v>
          </cell>
          <cell r="L55">
            <v>15.003433046478477</v>
          </cell>
          <cell r="M55">
            <v>14.811600861393636</v>
          </cell>
          <cell r="N55">
            <v>12.48837824563277</v>
          </cell>
          <cell r="T55">
            <v>14.862508888459487</v>
          </cell>
          <cell r="U55">
            <v>14.862508888459487</v>
          </cell>
          <cell r="V55">
            <v>12.416004012867232</v>
          </cell>
          <cell r="W55">
            <v>14.625784827408918</v>
          </cell>
          <cell r="X55">
            <v>14.168494042239798</v>
          </cell>
          <cell r="Y55">
            <v>12.736421358897065</v>
          </cell>
          <cell r="Z55">
            <v>13.23636304318376</v>
          </cell>
          <cell r="AA55">
            <v>10.726166916296549</v>
          </cell>
          <cell r="AB55">
            <v>8.9541961732833038</v>
          </cell>
          <cell r="AC55">
            <v>10.804763873093398</v>
          </cell>
          <cell r="AD55">
            <v>10.72748545285495</v>
          </cell>
        </row>
        <row r="56">
          <cell r="D56">
            <v>12.5947265567393</v>
          </cell>
          <cell r="E56">
            <v>12.5947265567393</v>
          </cell>
          <cell r="F56">
            <v>12.699812610053716</v>
          </cell>
          <cell r="G56">
            <v>12.793574073892728</v>
          </cell>
          <cell r="H56">
            <v>14.395655794314273</v>
          </cell>
          <cell r="I56">
            <v>15.881010149979367</v>
          </cell>
          <cell r="J56">
            <v>17.533539927833043</v>
          </cell>
          <cell r="K56">
            <v>18.84827724492995</v>
          </cell>
          <cell r="L56">
            <v>15.540923529393114</v>
          </cell>
          <cell r="M56">
            <v>12.519115463648621</v>
          </cell>
          <cell r="N56">
            <v>11.545167856918697</v>
          </cell>
          <cell r="T56">
            <v>15.605138619414722</v>
          </cell>
          <cell r="U56">
            <v>15.605138619414722</v>
          </cell>
          <cell r="V56">
            <v>12.767686830358898</v>
          </cell>
          <cell r="W56">
            <v>14.151839464094115</v>
          </cell>
          <cell r="X56">
            <v>14.889025662609189</v>
          </cell>
          <cell r="Y56">
            <v>12.91661023158243</v>
          </cell>
          <cell r="Z56">
            <v>13.075453893638901</v>
          </cell>
          <cell r="AA56">
            <v>13.46844051642451</v>
          </cell>
          <cell r="AB56">
            <v>9.4999740673785471</v>
          </cell>
          <cell r="AC56">
            <v>11.096689498943693</v>
          </cell>
          <cell r="AD56">
            <v>10.261346278584247</v>
          </cell>
        </row>
        <row r="57">
          <cell r="D57">
            <v>17.237974305232779</v>
          </cell>
          <cell r="E57">
            <v>17.237974305232779</v>
          </cell>
          <cell r="F57">
            <v>17.991106829550809</v>
          </cell>
          <cell r="G57">
            <v>23.840828783373102</v>
          </cell>
          <cell r="H57">
            <v>24.246474052429772</v>
          </cell>
          <cell r="I57">
            <v>24.051565521712661</v>
          </cell>
          <cell r="J57">
            <v>25.814088831979792</v>
          </cell>
          <cell r="K57">
            <v>25.736443393751195</v>
          </cell>
          <cell r="L57">
            <v>21.463309783289663</v>
          </cell>
          <cell r="M57">
            <v>17.245846322468619</v>
          </cell>
          <cell r="N57">
            <v>12.902521856271582</v>
          </cell>
          <cell r="T57">
            <v>22.218585882338608</v>
          </cell>
          <cell r="U57">
            <v>22.218585882338608</v>
          </cell>
          <cell r="V57">
            <v>18.687176277269771</v>
          </cell>
          <cell r="W57">
            <v>20.298178056709247</v>
          </cell>
          <cell r="X57">
            <v>19.889977909285747</v>
          </cell>
          <cell r="Y57">
            <v>19.188940694852512</v>
          </cell>
          <cell r="Z57">
            <v>18.773602856633385</v>
          </cell>
          <cell r="AA57">
            <v>15.736262638956797</v>
          </cell>
          <cell r="AB57">
            <v>15.273257316888749</v>
          </cell>
          <cell r="AC57">
            <v>11.532426712872841</v>
          </cell>
          <cell r="AD57">
            <v>12.27194610204306</v>
          </cell>
        </row>
        <row r="58">
          <cell r="D58">
            <v>27.413950707019321</v>
          </cell>
          <cell r="E58">
            <v>27.413950707019321</v>
          </cell>
          <cell r="F58">
            <v>28.768816214877898</v>
          </cell>
          <cell r="G58">
            <v>30.624800236084504</v>
          </cell>
          <cell r="H58">
            <v>29.67569396099762</v>
          </cell>
          <cell r="I58">
            <v>32.916881086269512</v>
          </cell>
          <cell r="J58">
            <v>32.42985370432158</v>
          </cell>
          <cell r="K58">
            <v>31.844143827432244</v>
          </cell>
          <cell r="L58">
            <v>23.212991293158971</v>
          </cell>
          <cell r="M58">
            <v>17.620168403154942</v>
          </cell>
          <cell r="N58">
            <v>14.569182930596005</v>
          </cell>
          <cell r="T58">
            <v>25.570757272131864</v>
          </cell>
          <cell r="U58">
            <v>25.570757272131864</v>
          </cell>
          <cell r="V58">
            <v>20.927303796858453</v>
          </cell>
          <cell r="W58">
            <v>23.653958694565066</v>
          </cell>
          <cell r="X58">
            <v>22.375988305700911</v>
          </cell>
          <cell r="Y58">
            <v>25.041838248542568</v>
          </cell>
          <cell r="Z58">
            <v>23.997477338694519</v>
          </cell>
          <cell r="AA58">
            <v>22.916060942376799</v>
          </cell>
          <cell r="AB58">
            <v>17.348365821183243</v>
          </cell>
          <cell r="AC58">
            <v>14.678215343416177</v>
          </cell>
          <cell r="AD58">
            <v>10.618630408044348</v>
          </cell>
        </row>
        <row r="59">
          <cell r="D59">
            <v>31.907596729017115</v>
          </cell>
          <cell r="E59">
            <v>31.907596729017115</v>
          </cell>
          <cell r="F59">
            <v>29.280907574879613</v>
          </cell>
          <cell r="G59">
            <v>32.606177714170414</v>
          </cell>
          <cell r="H59">
            <v>30.062835306519016</v>
          </cell>
          <cell r="I59">
            <v>32.647932634594326</v>
          </cell>
          <cell r="J59">
            <v>28.859648350214687</v>
          </cell>
          <cell r="K59">
            <v>27.9339973358205</v>
          </cell>
          <cell r="L59">
            <v>22.221047709041184</v>
          </cell>
          <cell r="M59">
            <v>12.837669750392303</v>
          </cell>
          <cell r="N59">
            <v>15.499796828552862</v>
          </cell>
          <cell r="T59">
            <v>25.178964244063366</v>
          </cell>
          <cell r="U59">
            <v>25.178964244063366</v>
          </cell>
          <cell r="V59">
            <v>21.161481058785853</v>
          </cell>
          <cell r="W59">
            <v>22.407898513318173</v>
          </cell>
          <cell r="X59">
            <v>24.248189785083373</v>
          </cell>
          <cell r="Y59">
            <v>23.883427553567874</v>
          </cell>
          <cell r="Z59">
            <v>25.222929226017136</v>
          </cell>
          <cell r="AA59">
            <v>22.754276161109438</v>
          </cell>
          <cell r="AB59">
            <v>16.852829304813209</v>
          </cell>
          <cell r="AC59">
            <v>13.114106613112149</v>
          </cell>
          <cell r="AD59">
            <v>12.350605825757954</v>
          </cell>
        </row>
        <row r="65">
          <cell r="D65">
            <v>2.8422555096361126</v>
          </cell>
          <cell r="E65">
            <v>2.8422555096361126</v>
          </cell>
          <cell r="F65">
            <v>1.7454717116710461</v>
          </cell>
          <cell r="G65">
            <v>1.6829502539339498</v>
          </cell>
          <cell r="H65">
            <v>3.8067039980357986</v>
          </cell>
          <cell r="I65">
            <v>3.0923605365758746</v>
          </cell>
          <cell r="J65">
            <v>3.0851287557314198</v>
          </cell>
          <cell r="K65">
            <v>6.1638943731265501</v>
          </cell>
          <cell r="L65">
            <v>6.6051712848883923</v>
          </cell>
          <cell r="M65">
            <v>13.848814820650359</v>
          </cell>
          <cell r="N65">
            <v>14.33421909750273</v>
          </cell>
          <cell r="T65">
            <v>2.2461017012942839</v>
          </cell>
          <cell r="U65">
            <v>2.2461017012942839</v>
          </cell>
          <cell r="V65">
            <v>1.5030439174169774</v>
          </cell>
          <cell r="W65">
            <v>1.8428004006147194</v>
          </cell>
          <cell r="X65">
            <v>5.640472967104432</v>
          </cell>
          <cell r="Y65">
            <v>3.7818542448094967</v>
          </cell>
          <cell r="Z65">
            <v>3.0173749606128202</v>
          </cell>
          <cell r="AA65">
            <v>6.0759953208853927</v>
          </cell>
          <cell r="AB65">
            <v>6.57756921349121</v>
          </cell>
          <cell r="AC65">
            <v>7.0835285026310517</v>
          </cell>
          <cell r="AD65">
            <v>9.9393961849527912</v>
          </cell>
        </row>
        <row r="66">
          <cell r="D66">
            <v>5.2038968850611065</v>
          </cell>
          <cell r="E66">
            <v>5.2038968850611065</v>
          </cell>
          <cell r="F66">
            <v>3.7184658398168353</v>
          </cell>
          <cell r="G66">
            <v>3.8406752652838314</v>
          </cell>
          <cell r="H66">
            <v>3.8067039980357986</v>
          </cell>
          <cell r="I66">
            <v>3.0923605365758746</v>
          </cell>
          <cell r="J66">
            <v>3.0851287557314198</v>
          </cell>
          <cell r="K66">
            <v>6.1638943731265501</v>
          </cell>
          <cell r="L66">
            <v>6.6051712848883923</v>
          </cell>
          <cell r="M66">
            <v>13.848814820650359</v>
          </cell>
          <cell r="N66">
            <v>14.33421909750273</v>
          </cell>
          <cell r="T66">
            <v>7.4196376630450498</v>
          </cell>
          <cell r="U66">
            <v>7.4196376630450498</v>
          </cell>
          <cell r="V66">
            <v>6.5288413431872803</v>
          </cell>
          <cell r="W66">
            <v>6.9438536299732183</v>
          </cell>
          <cell r="X66">
            <v>5.640472967104432</v>
          </cell>
          <cell r="Y66">
            <v>3.7818542448094967</v>
          </cell>
          <cell r="Z66">
            <v>3.0173749606128202</v>
          </cell>
          <cell r="AA66">
            <v>6.0759953208853927</v>
          </cell>
          <cell r="AB66">
            <v>6.57756921349121</v>
          </cell>
          <cell r="AC66">
            <v>7.0835285026310517</v>
          </cell>
          <cell r="AD66">
            <v>9.9393961849527912</v>
          </cell>
        </row>
        <row r="67">
          <cell r="D67">
            <v>5.2154535707680063</v>
          </cell>
          <cell r="E67">
            <v>5.2154535707680063</v>
          </cell>
          <cell r="F67">
            <v>5.4827240586652559</v>
          </cell>
          <cell r="G67">
            <v>5.7916616299095649</v>
          </cell>
          <cell r="H67">
            <v>4.8727775413297314</v>
          </cell>
          <cell r="I67">
            <v>5.1090040204131855</v>
          </cell>
          <cell r="J67">
            <v>5.5528191949198407</v>
          </cell>
          <cell r="K67">
            <v>6.1638943731265501</v>
          </cell>
          <cell r="L67">
            <v>6.6051712848883923</v>
          </cell>
          <cell r="M67">
            <v>13.848814820650359</v>
          </cell>
          <cell r="N67">
            <v>14.33421909750273</v>
          </cell>
          <cell r="T67">
            <v>8.6960094494437907</v>
          </cell>
          <cell r="U67">
            <v>8.6960094494437907</v>
          </cell>
          <cell r="V67">
            <v>8.3711748593765609</v>
          </cell>
          <cell r="W67">
            <v>8.1991677185613412</v>
          </cell>
          <cell r="X67">
            <v>5.4279628943935876</v>
          </cell>
          <cell r="Y67">
            <v>4.5703475802739915</v>
          </cell>
          <cell r="Z67">
            <v>6.3165920245274876</v>
          </cell>
          <cell r="AA67">
            <v>6.0759953208853927</v>
          </cell>
          <cell r="AB67">
            <v>6.57756921349121</v>
          </cell>
          <cell r="AC67">
            <v>7.0835285026310517</v>
          </cell>
          <cell r="AD67">
            <v>9.9393961849527912</v>
          </cell>
        </row>
        <row r="68">
          <cell r="D68">
            <v>6.2155315848672492</v>
          </cell>
          <cell r="E68">
            <v>6.2155315848672492</v>
          </cell>
          <cell r="F68">
            <v>6.0850915002506296</v>
          </cell>
          <cell r="G68">
            <v>6.2679088281392854</v>
          </cell>
          <cell r="H68">
            <v>5.9111472082767014</v>
          </cell>
          <cell r="I68">
            <v>5.9808199863571794</v>
          </cell>
          <cell r="J68">
            <v>6.665516487168782</v>
          </cell>
          <cell r="K68">
            <v>7.5305952667472962</v>
          </cell>
          <cell r="L68">
            <v>6.6051712848883923</v>
          </cell>
          <cell r="M68">
            <v>13.848814820650359</v>
          </cell>
          <cell r="N68">
            <v>14.33421909750273</v>
          </cell>
          <cell r="T68">
            <v>8.8698208681112334</v>
          </cell>
          <cell r="U68">
            <v>8.8698208681112334</v>
          </cell>
          <cell r="V68">
            <v>8.4068217471156022</v>
          </cell>
          <cell r="W68">
            <v>7.0756548448331893</v>
          </cell>
          <cell r="X68">
            <v>5.9781711533319433</v>
          </cell>
          <cell r="Y68">
            <v>6.4593690470430642</v>
          </cell>
          <cell r="Z68">
            <v>7.2096631252835568</v>
          </cell>
          <cell r="AA68">
            <v>8.0350861341586164</v>
          </cell>
          <cell r="AB68">
            <v>6.57756921349121</v>
          </cell>
          <cell r="AC68">
            <v>7.0835285026310517</v>
          </cell>
          <cell r="AD68">
            <v>9.9393961849527912</v>
          </cell>
        </row>
        <row r="69">
          <cell r="D69">
            <v>10.551589138320066</v>
          </cell>
          <cell r="E69">
            <v>10.551589138320066</v>
          </cell>
          <cell r="F69">
            <v>11.183877309379094</v>
          </cell>
          <cell r="G69">
            <v>10.367454239183342</v>
          </cell>
          <cell r="H69">
            <v>10.44670666746085</v>
          </cell>
          <cell r="I69">
            <v>10.359787471050113</v>
          </cell>
          <cell r="J69">
            <v>10.314302749257989</v>
          </cell>
          <cell r="K69">
            <v>13.075295304564422</v>
          </cell>
          <cell r="L69">
            <v>12.54524732613296</v>
          </cell>
          <cell r="M69">
            <v>13.848814820650359</v>
          </cell>
          <cell r="N69">
            <v>14.33421909750273</v>
          </cell>
          <cell r="T69">
            <v>10.612530917036656</v>
          </cell>
          <cell r="U69">
            <v>10.612530917036656</v>
          </cell>
          <cell r="V69">
            <v>9.2033692522692014</v>
          </cell>
          <cell r="W69">
            <v>12.628128622941185</v>
          </cell>
          <cell r="X69">
            <v>13.980213848555922</v>
          </cell>
          <cell r="Y69">
            <v>14.054377986008742</v>
          </cell>
          <cell r="Z69">
            <v>11.889790821661315</v>
          </cell>
          <cell r="AA69">
            <v>13.992915795116961</v>
          </cell>
          <cell r="AB69">
            <v>9.5492795373461767</v>
          </cell>
          <cell r="AC69">
            <v>7.0835285026310517</v>
          </cell>
          <cell r="AD69">
            <v>9.9393961849527912</v>
          </cell>
        </row>
        <row r="70">
          <cell r="D70">
            <v>12.15728486925984</v>
          </cell>
          <cell r="E70">
            <v>12.15728486925984</v>
          </cell>
          <cell r="F70">
            <v>11.817953937841066</v>
          </cell>
          <cell r="G70">
            <v>11.236842471471757</v>
          </cell>
          <cell r="H70">
            <v>13.084488846046209</v>
          </cell>
          <cell r="I70">
            <v>14.037709849896359</v>
          </cell>
          <cell r="J70">
            <v>15.772038194878412</v>
          </cell>
          <cell r="K70">
            <v>19.02949267567287</v>
          </cell>
          <cell r="L70">
            <v>17.804497174754076</v>
          </cell>
          <cell r="M70">
            <v>17.117956691883798</v>
          </cell>
          <cell r="N70">
            <v>14.33421909750273</v>
          </cell>
          <cell r="T70">
            <v>14.535656218528633</v>
          </cell>
          <cell r="U70">
            <v>14.535656218528633</v>
          </cell>
          <cell r="V70">
            <v>14.13485489554405</v>
          </cell>
          <cell r="W70">
            <v>12.428220451834022</v>
          </cell>
          <cell r="X70">
            <v>12.981408783747579</v>
          </cell>
          <cell r="Y70">
            <v>15.264479619489721</v>
          </cell>
          <cell r="Z70">
            <v>16.58506842723251</v>
          </cell>
          <cell r="AA70">
            <v>15.808453950569733</v>
          </cell>
          <cell r="AB70">
            <v>9.7503144028932045</v>
          </cell>
          <cell r="AC70">
            <v>9.3267084596920498</v>
          </cell>
          <cell r="AD70">
            <v>9.9393961849527912</v>
          </cell>
        </row>
        <row r="71">
          <cell r="D71">
            <v>13.341818333708584</v>
          </cell>
          <cell r="E71">
            <v>13.341818333708584</v>
          </cell>
          <cell r="F71">
            <v>12.096925554708292</v>
          </cell>
          <cell r="G71">
            <v>13.62040375139326</v>
          </cell>
          <cell r="H71">
            <v>14.76013571356795</v>
          </cell>
          <cell r="I71">
            <v>15.964942774781715</v>
          </cell>
          <cell r="J71">
            <v>17.84906443461205</v>
          </cell>
          <cell r="K71">
            <v>19.720522952973813</v>
          </cell>
          <cell r="L71">
            <v>17.840364511758523</v>
          </cell>
          <cell r="M71">
            <v>14.540515400638785</v>
          </cell>
          <cell r="N71">
            <v>14.800530858330585</v>
          </cell>
          <cell r="T71">
            <v>15.09526072100652</v>
          </cell>
          <cell r="U71">
            <v>15.09526072100652</v>
          </cell>
          <cell r="V71">
            <v>12.832425998950297</v>
          </cell>
          <cell r="W71">
            <v>13.457954965548531</v>
          </cell>
          <cell r="X71">
            <v>13.02450540583729</v>
          </cell>
          <cell r="Y71">
            <v>17.740979462902196</v>
          </cell>
          <cell r="Z71">
            <v>15.780193603304495</v>
          </cell>
          <cell r="AA71">
            <v>17.217691137733873</v>
          </cell>
          <cell r="AB71">
            <v>10.249626376094648</v>
          </cell>
          <cell r="AC71">
            <v>8.5587164095494455</v>
          </cell>
          <cell r="AD71">
            <v>8.3025379472254972</v>
          </cell>
        </row>
        <row r="72">
          <cell r="D72">
            <v>16.981156396840404</v>
          </cell>
          <cell r="E72">
            <v>16.981156396840404</v>
          </cell>
          <cell r="F72">
            <v>18.031073097347555</v>
          </cell>
          <cell r="G72">
            <v>22.752616363004879</v>
          </cell>
          <cell r="H72">
            <v>22.411978987912004</v>
          </cell>
          <cell r="I72">
            <v>24.237811672729134</v>
          </cell>
          <cell r="J72">
            <v>28.346169401164477</v>
          </cell>
          <cell r="K72">
            <v>24.399753686999421</v>
          </cell>
          <cell r="L72">
            <v>24.281343631965822</v>
          </cell>
          <cell r="M72">
            <v>19.894231598024135</v>
          </cell>
          <cell r="N72">
            <v>18.621466310054526</v>
          </cell>
          <cell r="T72">
            <v>16.476236016254848</v>
          </cell>
          <cell r="U72">
            <v>16.476236016254848</v>
          </cell>
          <cell r="V72">
            <v>16.589950049021482</v>
          </cell>
          <cell r="W72">
            <v>19.505518821011549</v>
          </cell>
          <cell r="X72">
            <v>24.403787454385863</v>
          </cell>
          <cell r="Y72">
            <v>25.025486898076327</v>
          </cell>
          <cell r="Z72">
            <v>20.592958753555301</v>
          </cell>
          <cell r="AA72">
            <v>20.118656553172233</v>
          </cell>
          <cell r="AB72">
            <v>13.877949876114947</v>
          </cell>
          <cell r="AC72">
            <v>11.331383105045461</v>
          </cell>
          <cell r="AD72">
            <v>12.304959635782193</v>
          </cell>
        </row>
        <row r="73">
          <cell r="D73">
            <v>23.822727385781807</v>
          </cell>
          <cell r="E73">
            <v>23.822727385781807</v>
          </cell>
          <cell r="F73">
            <v>25.210613237656204</v>
          </cell>
          <cell r="G73">
            <v>28.285324110368084</v>
          </cell>
          <cell r="H73">
            <v>29.89717595702917</v>
          </cell>
          <cell r="I73">
            <v>32.348180202414071</v>
          </cell>
          <cell r="J73">
            <v>35.038280027959765</v>
          </cell>
          <cell r="K73">
            <v>32.044757269183968</v>
          </cell>
          <cell r="L73">
            <v>26.005529796994743</v>
          </cell>
          <cell r="M73">
            <v>20.849549676897524</v>
          </cell>
          <cell r="N73">
            <v>18.547368016295653</v>
          </cell>
          <cell r="T73">
            <v>23.042200676754273</v>
          </cell>
          <cell r="U73">
            <v>23.042200676754273</v>
          </cell>
          <cell r="V73">
            <v>20.673847272631395</v>
          </cell>
          <cell r="W73">
            <v>21.704033883159017</v>
          </cell>
          <cell r="X73">
            <v>23.746579194414874</v>
          </cell>
          <cell r="Y73">
            <v>26.199470112181615</v>
          </cell>
          <cell r="Z73">
            <v>26.599851750650572</v>
          </cell>
          <cell r="AA73">
            <v>24.748848099099213</v>
          </cell>
          <cell r="AB73">
            <v>16.625532466878223</v>
          </cell>
          <cell r="AC73">
            <v>17.353585445525017</v>
          </cell>
          <cell r="AD73">
            <v>16.864577357551017</v>
          </cell>
        </row>
        <row r="74">
          <cell r="D74">
            <v>24.821419977956843</v>
          </cell>
          <cell r="E74">
            <v>24.821419977956843</v>
          </cell>
          <cell r="F74">
            <v>23.365164235421204</v>
          </cell>
          <cell r="G74">
            <v>30.657309712373856</v>
          </cell>
          <cell r="H74">
            <v>31.165376730768362</v>
          </cell>
          <cell r="I74">
            <v>31.656529435838397</v>
          </cell>
          <cell r="J74">
            <v>29.549459749841681</v>
          </cell>
          <cell r="K74">
            <v>29.26011738961353</v>
          </cell>
          <cell r="L74">
            <v>26.585827494789317</v>
          </cell>
          <cell r="M74">
            <v>18.867224346903551</v>
          </cell>
          <cell r="N74">
            <v>17.116305370754681</v>
          </cell>
          <cell r="T74">
            <v>20.243864467082631</v>
          </cell>
          <cell r="U74">
            <v>20.243864467082631</v>
          </cell>
          <cell r="V74">
            <v>20.471264779584367</v>
          </cell>
          <cell r="W74">
            <v>20.616853986466875</v>
          </cell>
          <cell r="X74">
            <v>25.394031421412222</v>
          </cell>
          <cell r="Y74">
            <v>25.165797298055743</v>
          </cell>
          <cell r="Z74">
            <v>25.146321173195719</v>
          </cell>
          <cell r="AA74">
            <v>22.918029430052894</v>
          </cell>
          <cell r="AB74">
            <v>15.157033582627685</v>
          </cell>
          <cell r="AC74">
            <v>18.604353757327125</v>
          </cell>
          <cell r="AD74">
            <v>16.727752814060196</v>
          </cell>
        </row>
        <row r="80">
          <cell r="D80">
            <v>2.148974977645179</v>
          </cell>
          <cell r="E80">
            <v>2.148974977645179</v>
          </cell>
          <cell r="F80">
            <v>1.5593576656274342</v>
          </cell>
          <cell r="G80">
            <v>2.0932039163688358</v>
          </cell>
          <cell r="H80">
            <v>3.8413471004786985</v>
          </cell>
          <cell r="I80">
            <v>3.7012019082074934</v>
          </cell>
          <cell r="J80">
            <v>3.4507902890902606</v>
          </cell>
          <cell r="K80">
            <v>6.0089538474070405</v>
          </cell>
          <cell r="L80">
            <v>7.1661145129174662</v>
          </cell>
          <cell r="M80">
            <v>17.494432732761435</v>
          </cell>
          <cell r="N80">
            <v>19.603056425909198</v>
          </cell>
          <cell r="T80">
            <v>1.9876784309787532</v>
          </cell>
          <cell r="U80">
            <v>1.9876784309787532</v>
          </cell>
          <cell r="V80">
            <v>1.6034591320341556</v>
          </cell>
          <cell r="W80">
            <v>2.2370455545891228</v>
          </cell>
          <cell r="X80">
            <v>4.9550623510315912</v>
          </cell>
          <cell r="Y80">
            <v>3.945946041803555</v>
          </cell>
          <cell r="Z80">
            <v>4.3921195013774543</v>
          </cell>
          <cell r="AA80">
            <v>6.4798252044243076</v>
          </cell>
          <cell r="AB80">
            <v>7.6757774407286661</v>
          </cell>
          <cell r="AC80">
            <v>11.245479474254843</v>
          </cell>
          <cell r="AD80">
            <v>16.738301252923044</v>
          </cell>
        </row>
        <row r="81">
          <cell r="D81">
            <v>3.4329374303116862</v>
          </cell>
          <cell r="E81">
            <v>3.4329374303116862</v>
          </cell>
          <cell r="F81">
            <v>3.1660385787788141</v>
          </cell>
          <cell r="G81">
            <v>3.6762139583060089</v>
          </cell>
          <cell r="H81">
            <v>3.8413471004786985</v>
          </cell>
          <cell r="I81">
            <v>3.7012019082074934</v>
          </cell>
          <cell r="J81">
            <v>3.4507902890902606</v>
          </cell>
          <cell r="K81">
            <v>6.0089538474070405</v>
          </cell>
          <cell r="L81">
            <v>7.1661145129174662</v>
          </cell>
          <cell r="M81">
            <v>17.494432732761435</v>
          </cell>
          <cell r="N81">
            <v>19.603056425909198</v>
          </cell>
          <cell r="T81">
            <v>4.9797225174047552</v>
          </cell>
          <cell r="U81">
            <v>4.9797225174047552</v>
          </cell>
          <cell r="V81">
            <v>4.398736443123985</v>
          </cell>
          <cell r="W81">
            <v>5.2286544825847301</v>
          </cell>
          <cell r="X81">
            <v>4.9550623510315912</v>
          </cell>
          <cell r="Y81">
            <v>3.945946041803555</v>
          </cell>
          <cell r="Z81">
            <v>4.3921195013774543</v>
          </cell>
          <cell r="AA81">
            <v>6.4798252044243076</v>
          </cell>
          <cell r="AB81">
            <v>7.6757774407286661</v>
          </cell>
          <cell r="AC81">
            <v>11.245479474254843</v>
          </cell>
          <cell r="AD81">
            <v>16.738301252923044</v>
          </cell>
        </row>
        <row r="82">
          <cell r="D82">
            <v>5.826373303098614</v>
          </cell>
          <cell r="E82">
            <v>5.826373303098614</v>
          </cell>
          <cell r="F82">
            <v>5.9060199577152401</v>
          </cell>
          <cell r="G82">
            <v>5.5418677226898625</v>
          </cell>
          <cell r="H82">
            <v>6.0747139304875253</v>
          </cell>
          <cell r="I82">
            <v>5.5608513546191958</v>
          </cell>
          <cell r="J82">
            <v>5.9811544477413126</v>
          </cell>
          <cell r="K82">
            <v>6.0089538474070405</v>
          </cell>
          <cell r="L82">
            <v>7.1661145129174662</v>
          </cell>
          <cell r="M82">
            <v>17.494432732761435</v>
          </cell>
          <cell r="N82">
            <v>19.603056425909198</v>
          </cell>
          <cell r="T82">
            <v>8.3792027540646998</v>
          </cell>
          <cell r="U82">
            <v>8.3792027540646998</v>
          </cell>
          <cell r="V82">
            <v>7.40399938827571</v>
          </cell>
          <cell r="W82">
            <v>6.9534373592899934</v>
          </cell>
          <cell r="X82">
            <v>6.8625955615204397</v>
          </cell>
          <cell r="Y82">
            <v>6.0228084135488205</v>
          </cell>
          <cell r="Z82">
            <v>6.2734545773417922</v>
          </cell>
          <cell r="AA82">
            <v>6.4798252044243076</v>
          </cell>
          <cell r="AB82">
            <v>7.6757774407286661</v>
          </cell>
          <cell r="AC82">
            <v>11.245479474254843</v>
          </cell>
          <cell r="AD82">
            <v>16.738301252923044</v>
          </cell>
        </row>
        <row r="83">
          <cell r="D83">
            <v>8.784350104294349</v>
          </cell>
          <cell r="E83">
            <v>8.784350104294349</v>
          </cell>
          <cell r="F83">
            <v>7.3667805547898331</v>
          </cell>
          <cell r="G83">
            <v>6.959563230188877</v>
          </cell>
          <cell r="H83">
            <v>6.6588479078037643</v>
          </cell>
          <cell r="I83">
            <v>6.8631635302641794</v>
          </cell>
          <cell r="J83">
            <v>6.815660856748182</v>
          </cell>
          <cell r="K83">
            <v>7.5849233189024821</v>
          </cell>
          <cell r="L83">
            <v>7.1661145129174662</v>
          </cell>
          <cell r="M83">
            <v>17.494432732761435</v>
          </cell>
          <cell r="N83">
            <v>19.603056425909198</v>
          </cell>
          <cell r="T83">
            <v>9.2317128250008462</v>
          </cell>
          <cell r="U83">
            <v>9.2317128250008462</v>
          </cell>
          <cell r="V83">
            <v>8.3238732431458455</v>
          </cell>
          <cell r="W83">
            <v>7.5894935239152987</v>
          </cell>
          <cell r="X83">
            <v>7.8110406992439048</v>
          </cell>
          <cell r="Y83">
            <v>8.7002064611913603</v>
          </cell>
          <cell r="Z83">
            <v>8.487682054579631</v>
          </cell>
          <cell r="AA83">
            <v>7.7504230117634165</v>
          </cell>
          <cell r="AB83">
            <v>7.6757774407286661</v>
          </cell>
          <cell r="AC83">
            <v>11.245479474254843</v>
          </cell>
          <cell r="AD83">
            <v>16.738301252923044</v>
          </cell>
        </row>
        <row r="84">
          <cell r="D84">
            <v>10.579475774710255</v>
          </cell>
          <cell r="E84">
            <v>10.579475774710255</v>
          </cell>
          <cell r="F84">
            <v>12.044312035523719</v>
          </cell>
          <cell r="G84">
            <v>10.996468607744976</v>
          </cell>
          <cell r="H84">
            <v>9.3487127081188426</v>
          </cell>
          <cell r="I84">
            <v>8.6891602599508406</v>
          </cell>
          <cell r="J84">
            <v>10.077543253537218</v>
          </cell>
          <cell r="K84">
            <v>11.155913866236769</v>
          </cell>
          <cell r="L84">
            <v>13.494549790441308</v>
          </cell>
          <cell r="M84">
            <v>17.494432732761435</v>
          </cell>
          <cell r="N84">
            <v>19.603056425909198</v>
          </cell>
          <cell r="T84">
            <v>9.9439243889107765</v>
          </cell>
          <cell r="U84">
            <v>9.9439243889107765</v>
          </cell>
          <cell r="V84">
            <v>10.170394295024876</v>
          </cell>
          <cell r="W84">
            <v>13.032780357667825</v>
          </cell>
          <cell r="X84">
            <v>13.345079357980783</v>
          </cell>
          <cell r="Y84">
            <v>14.034543088780888</v>
          </cell>
          <cell r="Z84">
            <v>14.126207916145598</v>
          </cell>
          <cell r="AA84">
            <v>15.130150860238034</v>
          </cell>
          <cell r="AB84">
            <v>11.701182069960284</v>
          </cell>
          <cell r="AC84">
            <v>11.245479474254843</v>
          </cell>
          <cell r="AD84">
            <v>16.738301252923044</v>
          </cell>
        </row>
        <row r="85">
          <cell r="D85">
            <v>11.658109764620811</v>
          </cell>
          <cell r="E85">
            <v>11.658109764620811</v>
          </cell>
          <cell r="F85">
            <v>12.960902316691456</v>
          </cell>
          <cell r="G85">
            <v>14.167286039611529</v>
          </cell>
          <cell r="H85">
            <v>12.314598959812177</v>
          </cell>
          <cell r="I85">
            <v>13.160849910520087</v>
          </cell>
          <cell r="J85">
            <v>14.770020753071096</v>
          </cell>
          <cell r="K85">
            <v>16.818117110035782</v>
          </cell>
          <cell r="L85">
            <v>16.136278408208732</v>
          </cell>
          <cell r="M85">
            <v>21.122110523230834</v>
          </cell>
          <cell r="N85">
            <v>19.603056425909198</v>
          </cell>
          <cell r="T85">
            <v>16.821470698634162</v>
          </cell>
          <cell r="U85">
            <v>16.821470698634162</v>
          </cell>
          <cell r="V85">
            <v>17.840035872676197</v>
          </cell>
          <cell r="W85">
            <v>17.010521172646115</v>
          </cell>
          <cell r="X85">
            <v>15.650302352703184</v>
          </cell>
          <cell r="Y85">
            <v>15.894660114125696</v>
          </cell>
          <cell r="Z85">
            <v>15.993815764337384</v>
          </cell>
          <cell r="AA85">
            <v>18.950414831135181</v>
          </cell>
          <cell r="AB85">
            <v>15.031284666031565</v>
          </cell>
          <cell r="AC85">
            <v>15.204631742990211</v>
          </cell>
          <cell r="AD85">
            <v>16.738301252923044</v>
          </cell>
        </row>
        <row r="86">
          <cell r="D86">
            <v>12.81588148083949</v>
          </cell>
          <cell r="E86">
            <v>12.81588148083949</v>
          </cell>
          <cell r="F86">
            <v>13.532998220317682</v>
          </cell>
          <cell r="G86">
            <v>15.135079420125127</v>
          </cell>
          <cell r="H86">
            <v>14.373409771034622</v>
          </cell>
          <cell r="I86">
            <v>15.344529320970871</v>
          </cell>
          <cell r="J86">
            <v>18.518241583269397</v>
          </cell>
          <cell r="K86">
            <v>20.203191643942723</v>
          </cell>
          <cell r="L86">
            <v>22.682112981771194</v>
          </cell>
          <cell r="M86">
            <v>20.672637882450122</v>
          </cell>
          <cell r="N86">
            <v>21.440954470422586</v>
          </cell>
          <cell r="T86">
            <v>19.431436821007264</v>
          </cell>
          <cell r="U86">
            <v>19.431436821007264</v>
          </cell>
          <cell r="V86">
            <v>18.719919307482972</v>
          </cell>
          <cell r="W86">
            <v>14.669054959047482</v>
          </cell>
          <cell r="X86">
            <v>14.834608326316216</v>
          </cell>
          <cell r="Y86">
            <v>15.408219158998953</v>
          </cell>
          <cell r="Z86">
            <v>18.038271120660536</v>
          </cell>
          <cell r="AA86">
            <v>21.209212957294003</v>
          </cell>
          <cell r="AB86">
            <v>15.823926584303441</v>
          </cell>
          <cell r="AC86">
            <v>14.94016764726228</v>
          </cell>
          <cell r="AD86">
            <v>17.024198731654767</v>
          </cell>
        </row>
        <row r="87">
          <cell r="D87">
            <v>15.631986270261971</v>
          </cell>
          <cell r="E87">
            <v>15.631986270261971</v>
          </cell>
          <cell r="F87">
            <v>20.594742372208973</v>
          </cell>
          <cell r="G87">
            <v>17.914783015540007</v>
          </cell>
          <cell r="H87">
            <v>21.226988128985795</v>
          </cell>
          <cell r="I87">
            <v>23.379522272135699</v>
          </cell>
          <cell r="J87">
            <v>29.402151438233478</v>
          </cell>
          <cell r="K87">
            <v>30.011108334847279</v>
          </cell>
          <cell r="L87">
            <v>24.309314539526216</v>
          </cell>
          <cell r="M87">
            <v>24.857974020129493</v>
          </cell>
          <cell r="N87">
            <v>34.148067201096453</v>
          </cell>
          <cell r="T87">
            <v>19.127372963195942</v>
          </cell>
          <cell r="U87">
            <v>19.127372963195942</v>
          </cell>
          <cell r="V87">
            <v>18.790209341494222</v>
          </cell>
          <cell r="W87">
            <v>19.91058664339311</v>
          </cell>
          <cell r="X87">
            <v>23.581886670031658</v>
          </cell>
          <cell r="Y87">
            <v>24.877312538032388</v>
          </cell>
          <cell r="Z87">
            <v>25.35301413443678</v>
          </cell>
          <cell r="AA87">
            <v>24.902191252246844</v>
          </cell>
          <cell r="AB87">
            <v>17.587732350482124</v>
          </cell>
          <cell r="AC87">
            <v>19.679809268967251</v>
          </cell>
          <cell r="AD87">
            <v>20.087705713869703</v>
          </cell>
        </row>
        <row r="88">
          <cell r="D88">
            <v>20.72021882656864</v>
          </cell>
          <cell r="E88">
            <v>20.72021882656864</v>
          </cell>
          <cell r="F88">
            <v>22.415940156331921</v>
          </cell>
          <cell r="G88">
            <v>22.119329879915096</v>
          </cell>
          <cell r="H88">
            <v>27.111601438219108</v>
          </cell>
          <cell r="I88">
            <v>30.502488205189039</v>
          </cell>
          <cell r="J88">
            <v>35.993221588844051</v>
          </cell>
          <cell r="K88">
            <v>37.366500035138756</v>
          </cell>
          <cell r="L88">
            <v>19.942826621640535</v>
          </cell>
          <cell r="M88">
            <v>23.895998522419074</v>
          </cell>
          <cell r="N88">
            <v>26.407987791658275</v>
          </cell>
          <cell r="T88">
            <v>29.249734024557682</v>
          </cell>
          <cell r="U88">
            <v>29.249734024557682</v>
          </cell>
          <cell r="V88">
            <v>28.884511887221514</v>
          </cell>
          <cell r="W88">
            <v>28.813912277917687</v>
          </cell>
          <cell r="X88">
            <v>29.817048106717397</v>
          </cell>
          <cell r="Y88">
            <v>31.129007844621118</v>
          </cell>
          <cell r="Z88">
            <v>31.769065037172091</v>
          </cell>
          <cell r="AA88">
            <v>27.646422833558361</v>
          </cell>
          <cell r="AB88">
            <v>22.722514977829423</v>
          </cell>
          <cell r="AC88">
            <v>25.710567051210958</v>
          </cell>
          <cell r="AD88">
            <v>22.186850079609794</v>
          </cell>
        </row>
        <row r="89">
          <cell r="D89">
            <v>17.032477600305537</v>
          </cell>
          <cell r="E89">
            <v>17.032477600305537</v>
          </cell>
          <cell r="F89">
            <v>24.057539640951635</v>
          </cell>
          <cell r="G89">
            <v>23.650715018185238</v>
          </cell>
          <cell r="H89">
            <v>29.519552174442513</v>
          </cell>
          <cell r="I89">
            <v>33.008768012352519</v>
          </cell>
          <cell r="J89">
            <v>34.399007320861074</v>
          </cell>
          <cell r="K89">
            <v>34.836345378642058</v>
          </cell>
          <cell r="L89">
            <v>24.21365621441446</v>
          </cell>
          <cell r="M89">
            <v>23.975327134530705</v>
          </cell>
          <cell r="N89">
            <v>26.964817036281168</v>
          </cell>
          <cell r="T89">
            <v>31.10695927690989</v>
          </cell>
          <cell r="U89">
            <v>31.10695927690989</v>
          </cell>
          <cell r="V89">
            <v>29.980648605913082</v>
          </cell>
          <cell r="W89">
            <v>28.462742627814396</v>
          </cell>
          <cell r="X89">
            <v>32.140659672405938</v>
          </cell>
          <cell r="Y89">
            <v>32.661556984427804</v>
          </cell>
          <cell r="Z89">
            <v>31.837737369219685</v>
          </cell>
          <cell r="AA89">
            <v>29.444531642816575</v>
          </cell>
          <cell r="AB89">
            <v>25.740417835312897</v>
          </cell>
          <cell r="AC89">
            <v>27.292094180407823</v>
          </cell>
          <cell r="AD89">
            <v>23.109875521386179</v>
          </cell>
        </row>
        <row r="95">
          <cell r="D95">
            <v>2.0284258584902712</v>
          </cell>
          <cell r="E95">
            <v>2.0284258584902712</v>
          </cell>
          <cell r="F95">
            <v>1.6251915742525225</v>
          </cell>
          <cell r="G95">
            <v>2.3385921555661109</v>
          </cell>
          <cell r="H95">
            <v>5.6761021469360884</v>
          </cell>
          <cell r="I95">
            <v>6.5684365461157066</v>
          </cell>
          <cell r="J95">
            <v>6.8182256003824566</v>
          </cell>
          <cell r="K95">
            <v>10.883560591987781</v>
          </cell>
          <cell r="L95">
            <v>12.378145391408653</v>
          </cell>
          <cell r="M95">
            <v>20.737920838109464</v>
          </cell>
          <cell r="N95">
            <v>23.573780064452816</v>
          </cell>
          <cell r="T95">
            <v>1.8474945281426765</v>
          </cell>
          <cell r="U95">
            <v>1.8474945281426765</v>
          </cell>
          <cell r="V95">
            <v>1.3665701015590876</v>
          </cell>
          <cell r="W95">
            <v>2.4298293713798977</v>
          </cell>
          <cell r="X95">
            <v>4.0580285777306973</v>
          </cell>
          <cell r="Y95">
            <v>3.4675747852690888</v>
          </cell>
          <cell r="Z95">
            <v>3.3560386212043407</v>
          </cell>
          <cell r="AA95">
            <v>5.9018681893170761</v>
          </cell>
          <cell r="AB95">
            <v>8.655341420966117</v>
          </cell>
          <cell r="AC95">
            <v>15.239521767570352</v>
          </cell>
          <cell r="AD95">
            <v>20.837003426474734</v>
          </cell>
        </row>
        <row r="96">
          <cell r="D96">
            <v>3.7614050665393619</v>
          </cell>
          <cell r="E96">
            <v>3.7614050665393619</v>
          </cell>
          <cell r="F96">
            <v>4.3499115816616518</v>
          </cell>
          <cell r="G96">
            <v>4.9758560084566108</v>
          </cell>
          <cell r="H96">
            <v>5.6761021469360884</v>
          </cell>
          <cell r="I96">
            <v>6.5684365461157066</v>
          </cell>
          <cell r="J96">
            <v>6.8182256003824566</v>
          </cell>
          <cell r="K96">
            <v>10.883560591987781</v>
          </cell>
          <cell r="L96">
            <v>12.378145391408653</v>
          </cell>
          <cell r="M96">
            <v>20.737920838109464</v>
          </cell>
          <cell r="N96">
            <v>23.573780064452816</v>
          </cell>
          <cell r="T96">
            <v>3.5123232984513528</v>
          </cell>
          <cell r="U96">
            <v>3.5123232984513528</v>
          </cell>
          <cell r="V96">
            <v>3.4720934759914868</v>
          </cell>
          <cell r="W96">
            <v>3.4464854261307565</v>
          </cell>
          <cell r="X96">
            <v>4.0580285777306973</v>
          </cell>
          <cell r="Y96">
            <v>3.4675747852690888</v>
          </cell>
          <cell r="Z96">
            <v>3.3560386212043407</v>
          </cell>
          <cell r="AA96">
            <v>5.9018681893170761</v>
          </cell>
          <cell r="AB96">
            <v>8.655341420966117</v>
          </cell>
          <cell r="AC96">
            <v>15.239521767570352</v>
          </cell>
          <cell r="AD96">
            <v>20.837003426474734</v>
          </cell>
        </row>
        <row r="97">
          <cell r="D97">
            <v>8.3479412618935473</v>
          </cell>
          <cell r="E97">
            <v>8.3479412618935473</v>
          </cell>
          <cell r="F97">
            <v>8.6626814049784606</v>
          </cell>
          <cell r="G97">
            <v>7.9651918092842608</v>
          </cell>
          <cell r="H97">
            <v>9.4557170462926816</v>
          </cell>
          <cell r="I97">
            <v>10.065685050849609</v>
          </cell>
          <cell r="J97">
            <v>10.680174137621007</v>
          </cell>
          <cell r="K97">
            <v>10.883560591987781</v>
          </cell>
          <cell r="L97">
            <v>12.378145391408653</v>
          </cell>
          <cell r="M97">
            <v>20.737920838109464</v>
          </cell>
          <cell r="N97">
            <v>23.573780064452816</v>
          </cell>
          <cell r="T97">
            <v>6.8206018437889826</v>
          </cell>
          <cell r="U97">
            <v>6.8206018437889826</v>
          </cell>
          <cell r="V97">
            <v>6.3230748576439382</v>
          </cell>
          <cell r="W97">
            <v>5.9478219902027618</v>
          </cell>
          <cell r="X97">
            <v>5.2910547236155505</v>
          </cell>
          <cell r="Y97">
            <v>6.0320605419312088</v>
          </cell>
          <cell r="Z97">
            <v>5.7112959861868982</v>
          </cell>
          <cell r="AA97">
            <v>5.9018681893170761</v>
          </cell>
          <cell r="AB97">
            <v>8.655341420966117</v>
          </cell>
          <cell r="AC97">
            <v>15.239521767570352</v>
          </cell>
          <cell r="AD97">
            <v>20.837003426474734</v>
          </cell>
        </row>
        <row r="98">
          <cell r="D98">
            <v>12.28932145496934</v>
          </cell>
          <cell r="E98">
            <v>12.28932145496934</v>
          </cell>
          <cell r="F98">
            <v>10.602169209575166</v>
          </cell>
          <cell r="G98">
            <v>9.2917599979555945</v>
          </cell>
          <cell r="H98">
            <v>10.278792576097809</v>
          </cell>
          <cell r="I98">
            <v>11.504354423186536</v>
          </cell>
          <cell r="J98">
            <v>13.16292875777904</v>
          </cell>
          <cell r="K98">
            <v>11.679559659620693</v>
          </cell>
          <cell r="L98">
            <v>12.378145391408653</v>
          </cell>
          <cell r="M98">
            <v>20.737920838109464</v>
          </cell>
          <cell r="N98">
            <v>23.573780064452816</v>
          </cell>
          <cell r="T98">
            <v>9.5184418586137234</v>
          </cell>
          <cell r="U98">
            <v>9.5184418586137234</v>
          </cell>
          <cell r="V98">
            <v>7.3759316917920819</v>
          </cell>
          <cell r="W98">
            <v>5.8868457536210643</v>
          </cell>
          <cell r="X98">
            <v>6.0575267774696844</v>
          </cell>
          <cell r="Y98">
            <v>5.8451622088474906</v>
          </cell>
          <cell r="Z98">
            <v>6.6230502557418793</v>
          </cell>
          <cell r="AA98">
            <v>7.436467489562812</v>
          </cell>
          <cell r="AB98">
            <v>8.655341420966117</v>
          </cell>
          <cell r="AC98">
            <v>15.239521767570352</v>
          </cell>
          <cell r="AD98">
            <v>20.837003426474734</v>
          </cell>
        </row>
        <row r="99">
          <cell r="D99">
            <v>16.436639450745119</v>
          </cell>
          <cell r="E99">
            <v>16.436639450745119</v>
          </cell>
          <cell r="F99">
            <v>18.01547442432469</v>
          </cell>
          <cell r="G99">
            <v>15.00588771268567</v>
          </cell>
          <cell r="H99">
            <v>14.044959789136261</v>
          </cell>
          <cell r="I99">
            <v>14.667701511144342</v>
          </cell>
          <cell r="J99">
            <v>16.274203740315279</v>
          </cell>
          <cell r="K99">
            <v>16.86097121984491</v>
          </cell>
          <cell r="L99">
            <v>18.179239705496915</v>
          </cell>
          <cell r="M99">
            <v>20.737920838109464</v>
          </cell>
          <cell r="N99">
            <v>23.573780064452816</v>
          </cell>
          <cell r="T99">
            <v>11.003510398027247</v>
          </cell>
          <cell r="U99">
            <v>11.003510398027247</v>
          </cell>
          <cell r="V99">
            <v>10.240562744862007</v>
          </cell>
          <cell r="W99">
            <v>11.792106636143275</v>
          </cell>
          <cell r="X99">
            <v>10.428466756658974</v>
          </cell>
          <cell r="Y99">
            <v>10.630153252551715</v>
          </cell>
          <cell r="Z99">
            <v>11.412687429099863</v>
          </cell>
          <cell r="AA99">
            <v>10.839639209940376</v>
          </cell>
          <cell r="AB99">
            <v>11.204684763127375</v>
          </cell>
          <cell r="AC99">
            <v>15.239521767570352</v>
          </cell>
          <cell r="AD99">
            <v>20.837003426474734</v>
          </cell>
        </row>
        <row r="100">
          <cell r="D100">
            <v>18.662654331323981</v>
          </cell>
          <cell r="E100">
            <v>18.662654331323981</v>
          </cell>
          <cell r="F100">
            <v>20.034178684131394</v>
          </cell>
          <cell r="G100">
            <v>19.205030845450651</v>
          </cell>
          <cell r="H100">
            <v>16.853794117984695</v>
          </cell>
          <cell r="I100">
            <v>17.915339217406316</v>
          </cell>
          <cell r="J100">
            <v>18.714710744234342</v>
          </cell>
          <cell r="K100">
            <v>21.708797706285367</v>
          </cell>
          <cell r="L100">
            <v>20.771786410480384</v>
          </cell>
          <cell r="M100">
            <v>22.055587282207792</v>
          </cell>
          <cell r="N100">
            <v>23.573780064452816</v>
          </cell>
          <cell r="T100">
            <v>17.456801145207372</v>
          </cell>
          <cell r="U100">
            <v>17.456801145207372</v>
          </cell>
          <cell r="V100">
            <v>16.419106391471907</v>
          </cell>
          <cell r="W100">
            <v>16.571129345074478</v>
          </cell>
          <cell r="X100">
            <v>16.344817313106088</v>
          </cell>
          <cell r="Y100">
            <v>18.007180942541098</v>
          </cell>
          <cell r="Z100">
            <v>17.310782539258049</v>
          </cell>
          <cell r="AA100">
            <v>18.031153911764768</v>
          </cell>
          <cell r="AB100">
            <v>17.256293530983395</v>
          </cell>
          <cell r="AC100">
            <v>18.162867121816941</v>
          </cell>
          <cell r="AD100">
            <v>20.837003426474734</v>
          </cell>
        </row>
        <row r="101">
          <cell r="D101">
            <v>20.160205307099904</v>
          </cell>
          <cell r="E101">
            <v>20.160205307099904</v>
          </cell>
          <cell r="F101">
            <v>20.762459987744112</v>
          </cell>
          <cell r="G101">
            <v>18.656546798019331</v>
          </cell>
          <cell r="H101">
            <v>18.709012351163452</v>
          </cell>
          <cell r="I101">
            <v>20.098370119949927</v>
          </cell>
          <cell r="J101">
            <v>22.19158420319555</v>
          </cell>
          <cell r="K101">
            <v>24.624520089695157</v>
          </cell>
          <cell r="L101">
            <v>26.174293780580641</v>
          </cell>
          <cell r="M101">
            <v>23.991912704780319</v>
          </cell>
          <cell r="N101">
            <v>23.941186555992498</v>
          </cell>
          <cell r="T101">
            <v>16.581686504250118</v>
          </cell>
          <cell r="U101">
            <v>16.581686504250118</v>
          </cell>
          <cell r="V101">
            <v>15.96764997058003</v>
          </cell>
          <cell r="W101">
            <v>16.40372850829862</v>
          </cell>
          <cell r="X101">
            <v>14.634163798447966</v>
          </cell>
          <cell r="Y101">
            <v>14.64431264489737</v>
          </cell>
          <cell r="Z101">
            <v>15.6427652865473</v>
          </cell>
          <cell r="AA101">
            <v>20.191742984148544</v>
          </cell>
          <cell r="AB101">
            <v>21.459867549138991</v>
          </cell>
          <cell r="AC101">
            <v>19.614361407907598</v>
          </cell>
          <cell r="AD101">
            <v>23.604348344624437</v>
          </cell>
        </row>
        <row r="102">
          <cell r="D102">
            <v>22.785351651258146</v>
          </cell>
          <cell r="E102">
            <v>22.785351651258146</v>
          </cell>
          <cell r="F102">
            <v>25.686749781933759</v>
          </cell>
          <cell r="G102">
            <v>21.470278328835295</v>
          </cell>
          <cell r="H102">
            <v>22.551631947850488</v>
          </cell>
          <cell r="I102">
            <v>24.570037717464594</v>
          </cell>
          <cell r="J102">
            <v>29.012740539686831</v>
          </cell>
          <cell r="K102">
            <v>34.347905931216395</v>
          </cell>
          <cell r="L102">
            <v>27.289646462035893</v>
          </cell>
          <cell r="M102">
            <v>29.898777951988823</v>
          </cell>
          <cell r="N102">
            <v>29.491199233498214</v>
          </cell>
          <cell r="T102">
            <v>22.657247554112185</v>
          </cell>
          <cell r="U102">
            <v>22.657247554112185</v>
          </cell>
          <cell r="V102">
            <v>22.305572514198889</v>
          </cell>
          <cell r="W102">
            <v>22.433410613556134</v>
          </cell>
          <cell r="X102">
            <v>24.596079921844073</v>
          </cell>
          <cell r="Y102">
            <v>25.39524481148414</v>
          </cell>
          <cell r="Z102">
            <v>28.28069755350408</v>
          </cell>
          <cell r="AA102">
            <v>34.193964576219493</v>
          </cell>
          <cell r="AB102">
            <v>26.315355222972396</v>
          </cell>
          <cell r="AC102">
            <v>25.673771319614122</v>
          </cell>
          <cell r="AD102">
            <v>29.630629816086309</v>
          </cell>
        </row>
        <row r="103">
          <cell r="D103">
            <v>25.538832239564066</v>
          </cell>
          <cell r="E103">
            <v>25.538832239564066</v>
          </cell>
          <cell r="F103">
            <v>24.120231163203059</v>
          </cell>
          <cell r="G103">
            <v>23.640280334673054</v>
          </cell>
          <cell r="H103">
            <v>27.848912106992785</v>
          </cell>
          <cell r="I103">
            <v>34.366420207771405</v>
          </cell>
          <cell r="J103">
            <v>37.782791550234904</v>
          </cell>
          <cell r="K103">
            <v>41.066555182389543</v>
          </cell>
          <cell r="L103">
            <v>28.681252099240272</v>
          </cell>
          <cell r="M103">
            <v>30.427148436853553</v>
          </cell>
          <cell r="N103">
            <v>25.388765369599653</v>
          </cell>
          <cell r="T103">
            <v>26.143758815739304</v>
          </cell>
          <cell r="U103">
            <v>26.143758815739304</v>
          </cell>
          <cell r="V103">
            <v>28.946928293231434</v>
          </cell>
          <cell r="W103">
            <v>31.720422140641158</v>
          </cell>
          <cell r="X103">
            <v>34.568161383556443</v>
          </cell>
          <cell r="Y103">
            <v>36.426497184522852</v>
          </cell>
          <cell r="Z103">
            <v>38.436854941276479</v>
          </cell>
          <cell r="AA103">
            <v>37.104894868801715</v>
          </cell>
          <cell r="AB103">
            <v>27.721671684282967</v>
          </cell>
          <cell r="AC103">
            <v>29.1835713879676</v>
          </cell>
          <cell r="AD103">
            <v>30.295607654973995</v>
          </cell>
        </row>
        <row r="104">
          <cell r="D104">
            <v>22.66785983069818</v>
          </cell>
          <cell r="E104">
            <v>22.66785983069818</v>
          </cell>
          <cell r="F104">
            <v>26.174044633238459</v>
          </cell>
          <cell r="G104">
            <v>25.595495196519988</v>
          </cell>
          <cell r="H104">
            <v>30.62061430736658</v>
          </cell>
          <cell r="I104">
            <v>37.339240210171269</v>
          </cell>
          <cell r="J104">
            <v>40.725663037871207</v>
          </cell>
          <cell r="K104">
            <v>40.624474661034661</v>
          </cell>
          <cell r="L104">
            <v>30.347046428383553</v>
          </cell>
          <cell r="M104">
            <v>30.993295521006605</v>
          </cell>
          <cell r="N104">
            <v>27.381514013341921</v>
          </cell>
          <cell r="T104">
            <v>36.630983959476112</v>
          </cell>
          <cell r="U104">
            <v>36.630983959476112</v>
          </cell>
          <cell r="V104">
            <v>30.468975239114521</v>
          </cell>
          <cell r="W104">
            <v>35.637711261450541</v>
          </cell>
          <cell r="X104">
            <v>38.161631838242599</v>
          </cell>
          <cell r="Y104">
            <v>39.534908695235821</v>
          </cell>
          <cell r="Z104">
            <v>41.16222809884065</v>
          </cell>
          <cell r="AA104">
            <v>41.380432855418043</v>
          </cell>
          <cell r="AB104">
            <v>29.278657446888779</v>
          </cell>
          <cell r="AC104">
            <v>32.090345794203159</v>
          </cell>
          <cell r="AD104">
            <v>33.318001820640269</v>
          </cell>
        </row>
      </sheetData>
      <sheetData sheetId="10" refreshError="1">
        <row r="5">
          <cell r="D5">
            <v>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T5">
            <v>1</v>
          </cell>
          <cell r="U5">
            <v>1</v>
          </cell>
          <cell r="V5">
            <v>1</v>
          </cell>
          <cell r="W5">
            <v>1</v>
          </cell>
          <cell r="X5">
            <v>1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</row>
        <row r="6"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T6">
            <v>1</v>
          </cell>
          <cell r="U6">
            <v>1</v>
          </cell>
          <cell r="V6">
            <v>1</v>
          </cell>
          <cell r="W6">
            <v>1</v>
          </cell>
          <cell r="X6">
            <v>1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</row>
        <row r="7">
          <cell r="D7">
            <v>1</v>
          </cell>
          <cell r="E7">
            <v>1</v>
          </cell>
          <cell r="F7">
            <v>1</v>
          </cell>
          <cell r="G7">
            <v>1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</row>
        <row r="8">
          <cell r="D8">
            <v>1</v>
          </cell>
          <cell r="E8">
            <v>1</v>
          </cell>
          <cell r="F8">
            <v>1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O9">
            <v>1</v>
          </cell>
          <cell r="AP9">
            <v>0</v>
          </cell>
          <cell r="AQ9">
            <v>0</v>
          </cell>
          <cell r="AU9">
            <v>0</v>
          </cell>
          <cell r="AV9">
            <v>0</v>
          </cell>
          <cell r="AW9">
            <v>0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O10">
            <v>0</v>
          </cell>
          <cell r="AP10">
            <v>0</v>
          </cell>
          <cell r="AQ10">
            <v>0</v>
          </cell>
          <cell r="AU10">
            <v>0</v>
          </cell>
          <cell r="AV10">
            <v>0</v>
          </cell>
          <cell r="AW10">
            <v>0</v>
          </cell>
        </row>
        <row r="11"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O11">
            <v>0</v>
          </cell>
          <cell r="AP11">
            <v>0</v>
          </cell>
          <cell r="AQ11">
            <v>0</v>
          </cell>
          <cell r="AU11">
            <v>0</v>
          </cell>
          <cell r="AV11">
            <v>0</v>
          </cell>
          <cell r="AW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</row>
        <row r="14"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O14">
            <v>0</v>
          </cell>
          <cell r="AP14">
            <v>0</v>
          </cell>
          <cell r="AQ14">
            <v>0</v>
          </cell>
          <cell r="AU14">
            <v>0</v>
          </cell>
          <cell r="AV14">
            <v>0</v>
          </cell>
          <cell r="AW14">
            <v>0</v>
          </cell>
        </row>
        <row r="15">
          <cell r="AO15">
            <v>0</v>
          </cell>
          <cell r="AP15">
            <v>0</v>
          </cell>
          <cell r="AQ15">
            <v>0</v>
          </cell>
          <cell r="AU15">
            <v>0</v>
          </cell>
          <cell r="AV15">
            <v>0</v>
          </cell>
          <cell r="AW15">
            <v>0</v>
          </cell>
        </row>
        <row r="16">
          <cell r="AO16">
            <v>0</v>
          </cell>
          <cell r="AP16">
            <v>0</v>
          </cell>
          <cell r="AQ16">
            <v>0</v>
          </cell>
          <cell r="AU16">
            <v>0</v>
          </cell>
          <cell r="AV16">
            <v>0</v>
          </cell>
          <cell r="AW16">
            <v>0</v>
          </cell>
        </row>
        <row r="19">
          <cell r="AO19">
            <v>0</v>
          </cell>
          <cell r="AP19">
            <v>0</v>
          </cell>
          <cell r="AQ19">
            <v>1</v>
          </cell>
          <cell r="AU19">
            <v>0</v>
          </cell>
          <cell r="AV19">
            <v>0</v>
          </cell>
          <cell r="AW19">
            <v>0</v>
          </cell>
        </row>
        <row r="20"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T20">
            <v>1</v>
          </cell>
          <cell r="U20">
            <v>1</v>
          </cell>
          <cell r="V20">
            <v>1</v>
          </cell>
          <cell r="W20">
            <v>1</v>
          </cell>
          <cell r="X20">
            <v>1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O20">
            <v>0</v>
          </cell>
          <cell r="AP20">
            <v>1</v>
          </cell>
          <cell r="AQ20">
            <v>1</v>
          </cell>
          <cell r="AU20">
            <v>0</v>
          </cell>
          <cell r="AV20">
            <v>0</v>
          </cell>
          <cell r="AW20">
            <v>0</v>
          </cell>
        </row>
        <row r="21">
          <cell r="D21">
            <v>0</v>
          </cell>
          <cell r="E21">
            <v>0</v>
          </cell>
          <cell r="F21">
            <v>1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T21">
            <v>1</v>
          </cell>
          <cell r="U21">
            <v>1</v>
          </cell>
          <cell r="V21">
            <v>1</v>
          </cell>
          <cell r="W21">
            <v>1</v>
          </cell>
          <cell r="X21">
            <v>1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O21">
            <v>0</v>
          </cell>
          <cell r="AP21">
            <v>0</v>
          </cell>
          <cell r="AQ21">
            <v>0</v>
          </cell>
          <cell r="AU21">
            <v>0</v>
          </cell>
          <cell r="AV21">
            <v>0</v>
          </cell>
          <cell r="AW21">
            <v>0</v>
          </cell>
        </row>
        <row r="22"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O24">
            <v>0</v>
          </cell>
          <cell r="AP24">
            <v>0</v>
          </cell>
          <cell r="AQ24">
            <v>1</v>
          </cell>
          <cell r="AU24">
            <v>0</v>
          </cell>
          <cell r="AV24">
            <v>0</v>
          </cell>
          <cell r="AW24">
            <v>0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O25">
            <v>0</v>
          </cell>
          <cell r="AP25">
            <v>0</v>
          </cell>
          <cell r="AQ25">
            <v>0</v>
          </cell>
          <cell r="AU25">
            <v>0</v>
          </cell>
          <cell r="AV25">
            <v>0</v>
          </cell>
          <cell r="AW25">
            <v>0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O26">
            <v>0</v>
          </cell>
          <cell r="AP26">
            <v>0</v>
          </cell>
          <cell r="AQ26">
            <v>0</v>
          </cell>
          <cell r="AU26">
            <v>0</v>
          </cell>
          <cell r="AV26">
            <v>0</v>
          </cell>
          <cell r="AW26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</row>
        <row r="28"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</row>
        <row r="29"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O29">
            <v>0</v>
          </cell>
          <cell r="AP29">
            <v>0</v>
          </cell>
          <cell r="AQ29">
            <v>0</v>
          </cell>
          <cell r="AU29">
            <v>0</v>
          </cell>
          <cell r="AV29">
            <v>0</v>
          </cell>
          <cell r="AW29">
            <v>1</v>
          </cell>
        </row>
        <row r="30">
          <cell r="AO30">
            <v>0</v>
          </cell>
          <cell r="AP30">
            <v>0</v>
          </cell>
          <cell r="AQ30">
            <v>0</v>
          </cell>
          <cell r="AU30">
            <v>0</v>
          </cell>
          <cell r="AV30">
            <v>1</v>
          </cell>
          <cell r="AW30">
            <v>1</v>
          </cell>
        </row>
        <row r="31">
          <cell r="AO31">
            <v>0</v>
          </cell>
          <cell r="AP31">
            <v>0</v>
          </cell>
          <cell r="AQ31">
            <v>0</v>
          </cell>
          <cell r="AU31">
            <v>0</v>
          </cell>
          <cell r="AV31">
            <v>1</v>
          </cell>
          <cell r="AW31">
            <v>0</v>
          </cell>
        </row>
        <row r="34">
          <cell r="AO34">
            <v>1</v>
          </cell>
          <cell r="AP34">
            <v>0</v>
          </cell>
          <cell r="AQ34">
            <v>0</v>
          </cell>
          <cell r="AU34">
            <v>0</v>
          </cell>
          <cell r="AV34">
            <v>0</v>
          </cell>
          <cell r="AW34">
            <v>0</v>
          </cell>
        </row>
        <row r="35">
          <cell r="D35">
            <v>1</v>
          </cell>
          <cell r="E35">
            <v>1</v>
          </cell>
          <cell r="F35">
            <v>1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1</v>
          </cell>
          <cell r="L35">
            <v>1</v>
          </cell>
          <cell r="M35">
            <v>1</v>
          </cell>
          <cell r="N35">
            <v>0</v>
          </cell>
          <cell r="T35">
            <v>1</v>
          </cell>
          <cell r="U35">
            <v>1</v>
          </cell>
          <cell r="V35">
            <v>1</v>
          </cell>
          <cell r="W35">
            <v>1</v>
          </cell>
          <cell r="X35">
            <v>1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O35">
            <v>0</v>
          </cell>
          <cell r="AP35">
            <v>0</v>
          </cell>
          <cell r="AQ35">
            <v>0</v>
          </cell>
          <cell r="AU35">
            <v>1</v>
          </cell>
          <cell r="AV35">
            <v>0</v>
          </cell>
          <cell r="AW35">
            <v>0</v>
          </cell>
        </row>
        <row r="36"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1</v>
          </cell>
          <cell r="L36">
            <v>1</v>
          </cell>
          <cell r="M36">
            <v>1</v>
          </cell>
          <cell r="N36">
            <v>0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O36">
            <v>0</v>
          </cell>
          <cell r="AP36">
            <v>0</v>
          </cell>
          <cell r="AQ36">
            <v>0</v>
          </cell>
          <cell r="AU36">
            <v>0</v>
          </cell>
          <cell r="AV36">
            <v>0</v>
          </cell>
          <cell r="AW36">
            <v>0</v>
          </cell>
        </row>
        <row r="37"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1</v>
          </cell>
          <cell r="L37">
            <v>1</v>
          </cell>
          <cell r="M37">
            <v>1</v>
          </cell>
          <cell r="N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</row>
        <row r="38"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1</v>
          </cell>
          <cell r="L38">
            <v>1</v>
          </cell>
          <cell r="M38">
            <v>1</v>
          </cell>
          <cell r="N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</row>
        <row r="39"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O39">
            <v>1</v>
          </cell>
          <cell r="AP39">
            <v>0</v>
          </cell>
          <cell r="AQ39">
            <v>0</v>
          </cell>
          <cell r="AU39">
            <v>0</v>
          </cell>
          <cell r="AV39">
            <v>0</v>
          </cell>
          <cell r="AW39">
            <v>0</v>
          </cell>
        </row>
        <row r="40"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1</v>
          </cell>
          <cell r="K40">
            <v>1</v>
          </cell>
          <cell r="L40">
            <v>1</v>
          </cell>
          <cell r="M40">
            <v>0</v>
          </cell>
          <cell r="N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O40">
            <v>0</v>
          </cell>
          <cell r="AP40">
            <v>0</v>
          </cell>
          <cell r="AQ40">
            <v>0</v>
          </cell>
          <cell r="AU40">
            <v>0</v>
          </cell>
          <cell r="AV40">
            <v>0</v>
          </cell>
          <cell r="AW40">
            <v>0</v>
          </cell>
        </row>
        <row r="41"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0</v>
          </cell>
          <cell r="N41">
            <v>1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O41">
            <v>0</v>
          </cell>
          <cell r="AP41">
            <v>0</v>
          </cell>
          <cell r="AQ41">
            <v>0</v>
          </cell>
          <cell r="AU41">
            <v>0</v>
          </cell>
          <cell r="AV41">
            <v>0</v>
          </cell>
          <cell r="AW41">
            <v>0</v>
          </cell>
        </row>
        <row r="42"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1</v>
          </cell>
          <cell r="K42">
            <v>1</v>
          </cell>
          <cell r="L42">
            <v>0</v>
          </cell>
          <cell r="M42">
            <v>1</v>
          </cell>
          <cell r="N42">
            <v>1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</row>
        <row r="43"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</v>
          </cell>
          <cell r="J43">
            <v>1</v>
          </cell>
          <cell r="K43">
            <v>0</v>
          </cell>
          <cell r="L43">
            <v>1</v>
          </cell>
          <cell r="M43">
            <v>1</v>
          </cell>
          <cell r="N43">
            <v>1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</row>
        <row r="44"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1</v>
          </cell>
          <cell r="K44">
            <v>0</v>
          </cell>
          <cell r="L44">
            <v>1</v>
          </cell>
          <cell r="M44">
            <v>1</v>
          </cell>
          <cell r="N44">
            <v>1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1</v>
          </cell>
        </row>
        <row r="50">
          <cell r="D50">
            <v>1</v>
          </cell>
          <cell r="E50">
            <v>1</v>
          </cell>
          <cell r="F50">
            <v>1</v>
          </cell>
          <cell r="G50">
            <v>1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1</v>
          </cell>
          <cell r="M50">
            <v>0</v>
          </cell>
          <cell r="N50">
            <v>0</v>
          </cell>
          <cell r="T50">
            <v>1</v>
          </cell>
          <cell r="U50">
            <v>1</v>
          </cell>
          <cell r="V50">
            <v>1</v>
          </cell>
          <cell r="W50">
            <v>1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</row>
        <row r="51">
          <cell r="D51">
            <v>1</v>
          </cell>
          <cell r="E51">
            <v>1</v>
          </cell>
          <cell r="F51">
            <v>1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1</v>
          </cell>
          <cell r="M51">
            <v>0</v>
          </cell>
          <cell r="N51">
            <v>0</v>
          </cell>
          <cell r="T51">
            <v>1</v>
          </cell>
          <cell r="U51">
            <v>1</v>
          </cell>
          <cell r="V51">
            <v>1</v>
          </cell>
          <cell r="W51">
            <v>1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1</v>
          </cell>
          <cell r="M52">
            <v>0</v>
          </cell>
          <cell r="N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1</v>
          </cell>
          <cell r="M53">
            <v>0</v>
          </cell>
          <cell r="N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1</v>
          </cell>
          <cell r="L54">
            <v>0</v>
          </cell>
          <cell r="M54">
            <v>0</v>
          </cell>
          <cell r="N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1</v>
          </cell>
          <cell r="J55">
            <v>1</v>
          </cell>
          <cell r="K55">
            <v>1</v>
          </cell>
          <cell r="L55">
            <v>0</v>
          </cell>
          <cell r="M55">
            <v>0</v>
          </cell>
          <cell r="N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1</v>
          </cell>
          <cell r="J56">
            <v>1</v>
          </cell>
          <cell r="K56">
            <v>1</v>
          </cell>
          <cell r="L56">
            <v>0</v>
          </cell>
          <cell r="M56">
            <v>0</v>
          </cell>
          <cell r="N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</row>
        <row r="57">
          <cell r="D57">
            <v>1</v>
          </cell>
          <cell r="E57">
            <v>1</v>
          </cell>
          <cell r="F57">
            <v>0</v>
          </cell>
          <cell r="G57">
            <v>0</v>
          </cell>
          <cell r="H57">
            <v>0</v>
          </cell>
          <cell r="I57">
            <v>1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  <cell r="N57">
            <v>1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</row>
        <row r="58">
          <cell r="D58">
            <v>1</v>
          </cell>
          <cell r="E58">
            <v>1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1</v>
          </cell>
        </row>
        <row r="59"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1</v>
          </cell>
          <cell r="M59">
            <v>1</v>
          </cell>
          <cell r="N59">
            <v>1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</row>
        <row r="65">
          <cell r="D65">
            <v>1</v>
          </cell>
          <cell r="E65">
            <v>1</v>
          </cell>
          <cell r="F65">
            <v>1</v>
          </cell>
          <cell r="G65">
            <v>1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T65">
            <v>1</v>
          </cell>
          <cell r="U65">
            <v>1</v>
          </cell>
          <cell r="V65">
            <v>1</v>
          </cell>
          <cell r="W65">
            <v>1</v>
          </cell>
          <cell r="X65">
            <v>1</v>
          </cell>
          <cell r="Y65">
            <v>0</v>
          </cell>
          <cell r="Z65">
            <v>1</v>
          </cell>
          <cell r="AA65">
            <v>1</v>
          </cell>
          <cell r="AB65">
            <v>1</v>
          </cell>
          <cell r="AC65">
            <v>0</v>
          </cell>
          <cell r="AD65">
            <v>0</v>
          </cell>
        </row>
        <row r="66">
          <cell r="D66">
            <v>1</v>
          </cell>
          <cell r="E66">
            <v>1</v>
          </cell>
          <cell r="F66">
            <v>1</v>
          </cell>
          <cell r="G66">
            <v>1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0</v>
          </cell>
          <cell r="Z66">
            <v>1</v>
          </cell>
          <cell r="AA66">
            <v>1</v>
          </cell>
          <cell r="AB66">
            <v>1</v>
          </cell>
          <cell r="AC66">
            <v>0</v>
          </cell>
          <cell r="AD66">
            <v>0</v>
          </cell>
        </row>
        <row r="67"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0</v>
          </cell>
          <cell r="AA67">
            <v>1</v>
          </cell>
          <cell r="AB67">
            <v>1</v>
          </cell>
          <cell r="AC67">
            <v>0</v>
          </cell>
          <cell r="AD67">
            <v>0</v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T68">
            <v>0</v>
          </cell>
          <cell r="U68">
            <v>0</v>
          </cell>
          <cell r="V68">
            <v>0</v>
          </cell>
          <cell r="W68">
            <v>1</v>
          </cell>
          <cell r="X68">
            <v>1</v>
          </cell>
          <cell r="Y68">
            <v>0</v>
          </cell>
          <cell r="Z68">
            <v>1</v>
          </cell>
          <cell r="AA68">
            <v>1</v>
          </cell>
          <cell r="AB68">
            <v>1</v>
          </cell>
          <cell r="AC68">
            <v>0</v>
          </cell>
          <cell r="AD68">
            <v>0</v>
          </cell>
        </row>
        <row r="69"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T69">
            <v>0</v>
          </cell>
          <cell r="U69">
            <v>0</v>
          </cell>
          <cell r="V69">
            <v>0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0</v>
          </cell>
          <cell r="AD69">
            <v>0</v>
          </cell>
        </row>
        <row r="70"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T70">
            <v>0</v>
          </cell>
          <cell r="U70">
            <v>0</v>
          </cell>
          <cell r="V70">
            <v>0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0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0</v>
          </cell>
        </row>
        <row r="72"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0</v>
          </cell>
          <cell r="AD72">
            <v>0</v>
          </cell>
        </row>
        <row r="73"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T73">
            <v>1</v>
          </cell>
          <cell r="U73">
            <v>1</v>
          </cell>
          <cell r="V73">
            <v>1</v>
          </cell>
          <cell r="W73">
            <v>1</v>
          </cell>
          <cell r="X73">
            <v>1</v>
          </cell>
          <cell r="Y73">
            <v>1</v>
          </cell>
          <cell r="Z73">
            <v>1</v>
          </cell>
          <cell r="AA73">
            <v>1</v>
          </cell>
          <cell r="AB73">
            <v>1</v>
          </cell>
          <cell r="AC73">
            <v>0</v>
          </cell>
          <cell r="AD73">
            <v>1</v>
          </cell>
        </row>
        <row r="74"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T74">
            <v>1</v>
          </cell>
          <cell r="U74">
            <v>1</v>
          </cell>
          <cell r="V74">
            <v>1</v>
          </cell>
          <cell r="W74">
            <v>1</v>
          </cell>
          <cell r="X74">
            <v>1</v>
          </cell>
          <cell r="Y74">
            <v>1</v>
          </cell>
          <cell r="Z74">
            <v>1</v>
          </cell>
          <cell r="AA74">
            <v>1</v>
          </cell>
          <cell r="AB74">
            <v>1</v>
          </cell>
          <cell r="AC74">
            <v>0</v>
          </cell>
          <cell r="AD74">
            <v>1</v>
          </cell>
        </row>
        <row r="80">
          <cell r="D80">
            <v>1</v>
          </cell>
          <cell r="E80">
            <v>1</v>
          </cell>
          <cell r="F80">
            <v>1</v>
          </cell>
          <cell r="G80">
            <v>1</v>
          </cell>
          <cell r="H80">
            <v>1</v>
          </cell>
          <cell r="I80">
            <v>1</v>
          </cell>
          <cell r="J80">
            <v>1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</row>
        <row r="81">
          <cell r="D81">
            <v>1</v>
          </cell>
          <cell r="E81">
            <v>1</v>
          </cell>
          <cell r="F81">
            <v>1</v>
          </cell>
          <cell r="G81">
            <v>1</v>
          </cell>
          <cell r="H81">
            <v>1</v>
          </cell>
          <cell r="I81">
            <v>1</v>
          </cell>
          <cell r="J81">
            <v>1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T81">
            <v>1</v>
          </cell>
          <cell r="U81">
            <v>1</v>
          </cell>
          <cell r="V81">
            <v>1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</row>
        <row r="82">
          <cell r="D82">
            <v>1</v>
          </cell>
          <cell r="E82">
            <v>1</v>
          </cell>
          <cell r="F82">
            <v>1</v>
          </cell>
          <cell r="G82">
            <v>1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</row>
        <row r="83">
          <cell r="D83">
            <v>1</v>
          </cell>
          <cell r="E83">
            <v>1</v>
          </cell>
          <cell r="F83">
            <v>1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  <row r="84"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T84">
            <v>1</v>
          </cell>
          <cell r="U84">
            <v>1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</row>
        <row r="85"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T85">
            <v>1</v>
          </cell>
          <cell r="U85">
            <v>1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</row>
        <row r="86"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T86">
            <v>1</v>
          </cell>
          <cell r="U86">
            <v>1</v>
          </cell>
          <cell r="V86">
            <v>1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</row>
        <row r="87"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T87">
            <v>1</v>
          </cell>
          <cell r="U87">
            <v>1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</row>
        <row r="88"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</row>
        <row r="89"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</row>
        <row r="95">
          <cell r="D95">
            <v>1</v>
          </cell>
          <cell r="E95">
            <v>1</v>
          </cell>
          <cell r="F95">
            <v>1</v>
          </cell>
          <cell r="G95">
            <v>1</v>
          </cell>
          <cell r="H95">
            <v>1</v>
          </cell>
          <cell r="I95">
            <v>1</v>
          </cell>
          <cell r="J95">
            <v>1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T95">
            <v>1</v>
          </cell>
          <cell r="U95">
            <v>1</v>
          </cell>
          <cell r="V95">
            <v>1</v>
          </cell>
          <cell r="W95">
            <v>1</v>
          </cell>
          <cell r="X95">
            <v>1</v>
          </cell>
          <cell r="Y95">
            <v>1</v>
          </cell>
          <cell r="Z95">
            <v>1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</row>
        <row r="96">
          <cell r="D96">
            <v>1</v>
          </cell>
          <cell r="E96">
            <v>1</v>
          </cell>
          <cell r="F96">
            <v>1</v>
          </cell>
          <cell r="G96">
            <v>1</v>
          </cell>
          <cell r="H96">
            <v>1</v>
          </cell>
          <cell r="I96">
            <v>1</v>
          </cell>
          <cell r="J96">
            <v>1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T96">
            <v>0</v>
          </cell>
          <cell r="U96">
            <v>0</v>
          </cell>
          <cell r="V96">
            <v>1</v>
          </cell>
          <cell r="W96">
            <v>1</v>
          </cell>
          <cell r="X96">
            <v>1</v>
          </cell>
          <cell r="Y96">
            <v>1</v>
          </cell>
          <cell r="Z96">
            <v>1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</row>
        <row r="97">
          <cell r="D97">
            <v>1</v>
          </cell>
          <cell r="E97">
            <v>1</v>
          </cell>
          <cell r="F97">
            <v>1</v>
          </cell>
          <cell r="G97">
            <v>1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</row>
        <row r="98">
          <cell r="D98">
            <v>1</v>
          </cell>
          <cell r="E98">
            <v>1</v>
          </cell>
          <cell r="F98">
            <v>1</v>
          </cell>
          <cell r="G98">
            <v>1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</row>
        <row r="99">
          <cell r="D99">
            <v>1</v>
          </cell>
          <cell r="E99">
            <v>1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</row>
        <row r="100">
          <cell r="D100">
            <v>1</v>
          </cell>
          <cell r="E100">
            <v>1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</row>
        <row r="101">
          <cell r="D101">
            <v>1</v>
          </cell>
          <cell r="E101">
            <v>1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</row>
        <row r="102"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</row>
        <row r="103"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</row>
        <row r="104"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CheckSmileTenor"/>
      <sheetName val="FO YC Models"/>
      <sheetName val="F4 YC Models"/>
      <sheetName val="PTOT YC Models"/>
      <sheetName val="VOL DATA"/>
      <sheetName val="VOL MODEL"/>
      <sheetName val="Reuters_JPY"/>
      <sheetName val="Reuters_USD"/>
      <sheetName val="Reuters_EUR"/>
      <sheetName val="Pricing"/>
      <sheetName val="Beta cal"/>
      <sheetName val="Generated Vols"/>
      <sheetName val="Generated Smiles"/>
      <sheetName val="SABR"/>
      <sheetName val="EUR Results"/>
      <sheetName val="Save ATM Vols"/>
      <sheetName val="Save EUR Skews"/>
      <sheetName val="Save GBP Skews"/>
      <sheetName val="Save USD Skews"/>
      <sheetName val="Save JPY Skews"/>
      <sheetName val="Save CHF Skews"/>
      <sheetName val="GBP Results"/>
      <sheetName val="USD Results"/>
      <sheetName val="USD"/>
      <sheetName val="EUR"/>
      <sheetName val="GBP"/>
      <sheetName val="CHF"/>
      <sheetName val="JPY"/>
      <sheetName val="JPY Results"/>
      <sheetName val="CHF Results"/>
      <sheetName val="SABR Results Du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oomberg GRAB"/>
      <sheetName val="CapFloorTicker ICAP"/>
      <sheetName val="Curves ICAP"/>
      <sheetName val="CapsFloors ICAP"/>
      <sheetName val="Curves Tullet"/>
      <sheetName val="CapsFloors Tullet"/>
      <sheetName val="Curve"/>
      <sheetName val="MarketCheck"/>
      <sheetName val="CapletCalibration"/>
      <sheetName val="VBASABR"/>
      <sheetName val="SABR Calibration"/>
      <sheetName val="SABR Cube"/>
      <sheetName val="Smile"/>
      <sheetName val="NormalSABRTest"/>
      <sheetName val="Tabelle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6">
          <cell r="C6">
            <v>42023</v>
          </cell>
        </row>
      </sheetData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Override_table"/>
      <sheetName val="Reuters"/>
      <sheetName val="Reuters_data"/>
      <sheetName val="FrontArena_Instruments"/>
      <sheetName val="FrontArena_marktdaten"/>
    </sheetNames>
    <sheetDataSet>
      <sheetData sheetId="0" refreshError="1">
        <row r="1">
          <cell r="C1">
            <v>41396</v>
          </cell>
        </row>
        <row r="3">
          <cell r="C3">
            <v>41394</v>
          </cell>
        </row>
        <row r="5">
          <cell r="C5" t="str">
            <v>cb2rohk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Model Diagnostics"/>
      <sheetName val="BGM_Vols_JPY"/>
      <sheetName val="Mktdata"/>
      <sheetName val="YC"/>
      <sheetName val="Build Cap vols"/>
      <sheetName val="IR Vols"/>
      <sheetName val="FX Vols"/>
      <sheetName val="Shifted FX Vols"/>
      <sheetName val="FX Vols Upload"/>
      <sheetName val="Calib-IFTOK3-CMS Spreads"/>
      <sheetName val="Calib-IFTOK3-IFC"/>
      <sheetName val="Calib-IFTOK4-EUR_JPY"/>
      <sheetName val="Calib-IFTOK5-USD_JPY"/>
      <sheetName val="Calib-IFTOK6-AUD_JPY"/>
      <sheetName val="IR Model Factors &amp; Build Dets"/>
      <sheetName val="BGM_CMS_JPY"/>
      <sheetName val="DeltaBump"/>
      <sheetName val="IR Cum Cap Vol Bump"/>
      <sheetName val="IR Cum Cap Vol Bump Scen"/>
      <sheetName val="IRVolBump"/>
      <sheetName val="FXVolBump"/>
      <sheetName val="YC for Scen"/>
      <sheetName val="FXVolScen"/>
    </sheetNames>
    <sheetDataSet>
      <sheetData sheetId="0" refreshError="1">
        <row r="26">
          <cell r="C26">
            <v>10</v>
          </cell>
        </row>
        <row r="28">
          <cell r="C28">
            <v>10</v>
          </cell>
        </row>
        <row r="32">
          <cell r="C32">
            <v>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86">
          <cell r="U86">
            <v>0.18185053293893844</v>
          </cell>
          <cell r="V86">
            <v>0.18384732497200917</v>
          </cell>
          <cell r="W86">
            <v>0.19168700851740936</v>
          </cell>
          <cell r="X86">
            <v>0.19426796691711329</v>
          </cell>
          <cell r="AO86">
            <v>0.23939926192387698</v>
          </cell>
          <cell r="AP86">
            <v>0.23685543066846648</v>
          </cell>
          <cell r="AQ86">
            <v>0.23380861144067094</v>
          </cell>
          <cell r="AR86">
            <v>0.22658402624531332</v>
          </cell>
          <cell r="BI86">
            <v>0.22600000000000001</v>
          </cell>
          <cell r="BJ86">
            <v>0.22700000000000001</v>
          </cell>
          <cell r="BK86">
            <v>0.22749999999999998</v>
          </cell>
          <cell r="BL86">
            <v>0.22800000000000001</v>
          </cell>
        </row>
        <row r="90">
          <cell r="U90">
            <v>-6.9815951962843292E-2</v>
          </cell>
          <cell r="V90">
            <v>-5.7371756633151583E-2</v>
          </cell>
          <cell r="W90">
            <v>-4.4126404252023438E-2</v>
          </cell>
          <cell r="X90">
            <v>-3.3629574971250603E-2</v>
          </cell>
          <cell r="AO90">
            <v>-6.6300762591016471E-2</v>
          </cell>
          <cell r="AP90">
            <v>-4.6915274943439278E-2</v>
          </cell>
          <cell r="AQ90">
            <v>-3.6322991981580677E-2</v>
          </cell>
          <cell r="AR90">
            <v>-2.3883014789334744E-2</v>
          </cell>
          <cell r="BI90">
            <v>-8.1633802429198848E-2</v>
          </cell>
          <cell r="BJ90">
            <v>-7.714015370540292E-2</v>
          </cell>
          <cell r="BK90">
            <v>-7.3248981614989689E-2</v>
          </cell>
          <cell r="BL90">
            <v>-6.4863718191117442E-2</v>
          </cell>
        </row>
        <row r="91">
          <cell r="U91">
            <v>-2.4386764810361533E-2</v>
          </cell>
          <cell r="V91">
            <v>-1.6575988602246655E-2</v>
          </cell>
          <cell r="W91">
            <v>-9.1331265678711582E-3</v>
          </cell>
          <cell r="X91">
            <v>-1.7476159644813083E-3</v>
          </cell>
          <cell r="AO91">
            <v>-1.2302952875929779E-2</v>
          </cell>
          <cell r="AP91" t="str">
            <v>Not Used</v>
          </cell>
          <cell r="AQ91" t="str">
            <v>Not Used</v>
          </cell>
          <cell r="AR91" t="str">
            <v>Not Used</v>
          </cell>
          <cell r="BI91">
            <v>-1.5675591306916509E-2</v>
          </cell>
          <cell r="BJ91">
            <v>0</v>
          </cell>
          <cell r="BK91">
            <v>-2.7755575615628914E-17</v>
          </cell>
          <cell r="BL91">
            <v>0</v>
          </cell>
        </row>
        <row r="92">
          <cell r="U92">
            <v>-4.9269728259545842E-3</v>
          </cell>
          <cell r="V92" t="str">
            <v>Not Used</v>
          </cell>
          <cell r="W92" t="str">
            <v>Not Used</v>
          </cell>
          <cell r="X92" t="str">
            <v>Not Used</v>
          </cell>
          <cell r="AO92" t="str">
            <v>Not Used</v>
          </cell>
          <cell r="AP92" t="str">
            <v>Not Used</v>
          </cell>
          <cell r="AQ92" t="str">
            <v>Not Used</v>
          </cell>
          <cell r="AR92" t="str">
            <v>Not Used</v>
          </cell>
          <cell r="BI92">
            <v>0</v>
          </cell>
          <cell r="BJ92" t="str">
            <v>Not Used</v>
          </cell>
          <cell r="BK92" t="str">
            <v>Not Used</v>
          </cell>
          <cell r="BL92" t="str">
            <v>Not Used</v>
          </cell>
        </row>
        <row r="93">
          <cell r="U93">
            <v>-3.4911104593859932E-6</v>
          </cell>
          <cell r="V93" t="str">
            <v>Not Used</v>
          </cell>
          <cell r="W93" t="str">
            <v>Not Used</v>
          </cell>
          <cell r="X93" t="str">
            <v>Not Used</v>
          </cell>
          <cell r="AO93" t="str">
            <v>Not Used</v>
          </cell>
          <cell r="AP93" t="str">
            <v>Not Used</v>
          </cell>
          <cell r="AQ93" t="str">
            <v>Not Used</v>
          </cell>
          <cell r="AR93" t="str">
            <v>Not Used</v>
          </cell>
          <cell r="BI93">
            <v>0</v>
          </cell>
          <cell r="BJ93" t="str">
            <v>Not Used</v>
          </cell>
          <cell r="BK93" t="str">
            <v>Not Used</v>
          </cell>
          <cell r="BL93" t="str">
            <v>Not Used</v>
          </cell>
        </row>
        <row r="94">
          <cell r="U94">
            <v>4.8924199178113081E-4</v>
          </cell>
          <cell r="V94">
            <v>3.2734859591054821E-4</v>
          </cell>
          <cell r="W94">
            <v>-1.5382074613815022E-4</v>
          </cell>
          <cell r="X94">
            <v>-4.9235507052491911E-6</v>
          </cell>
          <cell r="AO94">
            <v>2.2307040443848847E-3</v>
          </cell>
          <cell r="AP94" t="str">
            <v>Not Used</v>
          </cell>
          <cell r="AQ94" t="str">
            <v>Not Used</v>
          </cell>
          <cell r="AR94" t="str">
            <v>Not Used</v>
          </cell>
          <cell r="BI94">
            <v>7.8377956534582405E-3</v>
          </cell>
          <cell r="BJ94">
            <v>0</v>
          </cell>
          <cell r="BK94">
            <v>5.5511151231257827E-17</v>
          </cell>
          <cell r="BL94">
            <v>0</v>
          </cell>
        </row>
        <row r="95">
          <cell r="U95">
            <v>2.288171611275891E-2</v>
          </cell>
          <cell r="V95">
            <v>2.0483366199142483E-2</v>
          </cell>
          <cell r="W95">
            <v>1.6425064080615587E-2</v>
          </cell>
          <cell r="X95">
            <v>1.3028110349143862E-2</v>
          </cell>
          <cell r="AO95">
            <v>2.851229352617865E-2</v>
          </cell>
          <cell r="AP95">
            <v>2.2039286285832904E-2</v>
          </cell>
          <cell r="AQ95">
            <v>1.8161495990790366E-2</v>
          </cell>
          <cell r="AR95">
            <v>1.1941507394667372E-2</v>
          </cell>
          <cell r="BI95">
            <v>4.0816901214599438E-2</v>
          </cell>
          <cell r="BJ95">
            <v>3.8570076852701446E-2</v>
          </cell>
          <cell r="BK95">
            <v>3.6624490807494858E-2</v>
          </cell>
          <cell r="BL95">
            <v>3.2431859095558707E-2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4">
          <cell r="B4">
            <v>1</v>
          </cell>
        </row>
        <row r="5">
          <cell r="B5">
            <v>-0.01</v>
          </cell>
        </row>
        <row r="6">
          <cell r="B6">
            <v>1E-4</v>
          </cell>
        </row>
        <row r="7">
          <cell r="B7">
            <v>-1</v>
          </cell>
        </row>
        <row r="9">
          <cell r="B9">
            <v>-1</v>
          </cell>
        </row>
        <row r="10">
          <cell r="B10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XML Import"/>
      <sheetName val="STATIC DATA"/>
      <sheetName val="SINGLE CCY IR MODEL"/>
      <sheetName val="SwapRates"/>
      <sheetName val="Totem_MRP"/>
      <sheetName val="Tot_Sens"/>
      <sheetName val="STD_Price"/>
      <sheetName val="Outlier"/>
      <sheetName val="Cubes"/>
      <sheetName val="Sensitivities"/>
      <sheetName val="ZC_Pay"/>
      <sheetName val="ZC_Rec"/>
      <sheetName val="Rec"/>
      <sheetName val="Pay"/>
      <sheetName val="OPZCBERMUD_Rec"/>
      <sheetName val="OPZCBERMUD_Pay"/>
      <sheetName val="MMWAUSD_Rec"/>
      <sheetName val="Sheet1"/>
      <sheetName val="CRZCBERMUD_Rec"/>
      <sheetName val="MMWAUSD_Pay"/>
      <sheetName val="CRZCBERMUD_Pay"/>
      <sheetName val="CRBERMUD_Rec"/>
      <sheetName val="CRBERMUD_Pay"/>
      <sheetName val="Summary"/>
      <sheetName val="_Calc"/>
      <sheetName val="_Calcz"/>
    </sheetNames>
    <sheetDataSet>
      <sheetData sheetId="0" refreshError="1">
        <row r="9">
          <cell r="C9">
            <v>0.01</v>
          </cell>
          <cell r="F9" t="str">
            <v>M</v>
          </cell>
          <cell r="G9" t="str">
            <v>EUR_EURIBOR_1M</v>
          </cell>
        </row>
        <row r="10">
          <cell r="F10" t="str">
            <v>Q</v>
          </cell>
          <cell r="G10" t="str">
            <v>EUR_EURIBOR_3M</v>
          </cell>
        </row>
        <row r="11">
          <cell r="F11" t="str">
            <v>S</v>
          </cell>
          <cell r="G11" t="str">
            <v>EUR_EURIBOR_6M</v>
          </cell>
        </row>
        <row r="12">
          <cell r="F12" t="str">
            <v>A</v>
          </cell>
          <cell r="G12" t="str">
            <v>EUR_EURIBOR_12M</v>
          </cell>
        </row>
        <row r="15">
          <cell r="C15">
            <v>0.7</v>
          </cell>
          <cell r="D15">
            <v>0.6</v>
          </cell>
          <cell r="H15">
            <v>0.9</v>
          </cell>
        </row>
        <row r="16">
          <cell r="C16">
            <v>0.6</v>
          </cell>
          <cell r="D16">
            <v>0.6</v>
          </cell>
        </row>
        <row r="18">
          <cell r="C18">
            <v>0</v>
          </cell>
          <cell r="D18">
            <v>0</v>
          </cell>
        </row>
        <row r="19">
          <cell r="C19">
            <v>0.9</v>
          </cell>
          <cell r="D19">
            <v>0.8</v>
          </cell>
        </row>
        <row r="21">
          <cell r="C21" t="str">
            <v>Yes</v>
          </cell>
        </row>
        <row r="23">
          <cell r="C23">
            <v>16.230695233227447</v>
          </cell>
        </row>
        <row r="24">
          <cell r="C24">
            <v>17.251593537577254</v>
          </cell>
        </row>
        <row r="25">
          <cell r="C25">
            <v>1</v>
          </cell>
        </row>
        <row r="26">
          <cell r="C26">
            <v>21.80073340519273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22">
          <cell r="AZ22">
            <v>825928.33999999671</v>
          </cell>
        </row>
      </sheetData>
      <sheetData sheetId="13"/>
      <sheetData sheetId="14" refreshError="1">
        <row r="62">
          <cell r="AZ62">
            <v>1299684.8600000073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PVs"/>
      <sheetName val="BermudanFromSchedule"/>
      <sheetName val="Valuation"/>
      <sheetName val="Help"/>
    </sheetNames>
    <sheetDataSet>
      <sheetData sheetId="0" refreshError="1">
        <row r="22">
          <cell r="C22" t="str">
            <v>EUR Spread CEV Model SW.3</v>
          </cell>
        </row>
      </sheetData>
      <sheetData sheetId="1"/>
      <sheetData sheetId="2" refreshError="1">
        <row r="2">
          <cell r="C2">
            <v>15</v>
          </cell>
        </row>
      </sheetData>
      <sheetData sheetId="3"/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CAP FWD PREMIUM"/>
      <sheetName val="Pricing_GBP_Swtn"/>
      <sheetName val="Static Data"/>
      <sheetName val="Today YC"/>
      <sheetName val="Today Zero Spreads"/>
      <sheetName val="BasisModel (NoSpreads)"/>
      <sheetName val="BasisModel (Spreads)"/>
      <sheetName val="YC Model Totem"/>
      <sheetName val="SpreadCEVModel_EUR"/>
      <sheetName val="SpreadCEVModel_GBP"/>
      <sheetName val="Pricing_EUR_Swtn"/>
      <sheetName val="Pricing_EUR_Wing"/>
      <sheetName val="Pricing_GBP_Wing"/>
      <sheetName val="Pricing_EUR_CF_6M"/>
      <sheetName val="Pricing_GBP_CF_3M"/>
      <sheetName val="Template_Wing_EUR"/>
      <sheetName val="Template_Wing_GBP"/>
      <sheetName val="Template_EUR_Swtn"/>
      <sheetName val="Template_GBP_Swtn"/>
      <sheetName val="Template_EUR_6MCaps"/>
      <sheetName val="Template_GBP_3MCaps"/>
      <sheetName val="Summit_eur_Swtn"/>
      <sheetName val="Summit_gbp_Swtn"/>
      <sheetName val="Template_EUR_3MCaps"/>
      <sheetName val="EURSWAPTION"/>
      <sheetName val="EURWINGCHECK"/>
      <sheetName val="EURCAPFLOOR"/>
      <sheetName val="GBPSWAPTION"/>
      <sheetName val="GBPCAPFLO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XML Import"/>
      <sheetName val="STATIC DATA"/>
      <sheetName val="SINGLE CCY IR MODEL"/>
      <sheetName val="SwapRates"/>
      <sheetName val="Totem_MRP"/>
      <sheetName val="Tot_Sens"/>
      <sheetName val="STD_Price"/>
      <sheetName val="Outlier"/>
      <sheetName val="Cubes"/>
      <sheetName val="Sensitivities"/>
      <sheetName val="ZC_Pay"/>
      <sheetName val="ZC_Rec"/>
      <sheetName val="Pay"/>
      <sheetName val="Rec"/>
      <sheetName val="OPZCBERMUD_Rec"/>
      <sheetName val="OPZCBERMUD_Pay"/>
      <sheetName val="MMWAUSD_Rec"/>
      <sheetName val="MMWAUSD_Pay"/>
      <sheetName val="CRZCBERMUD_Rec"/>
      <sheetName val="CRZCBERMUD_Pay"/>
      <sheetName val="CRBERMUD_Rec"/>
      <sheetName val="CRBERMUD_Pay"/>
      <sheetName val="Summary"/>
      <sheetName val="_Calc"/>
      <sheetName val="_Calcz"/>
    </sheetNames>
    <sheetDataSet>
      <sheetData sheetId="0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CAP FWD PREMIUM"/>
      <sheetName val="CheckSmileTenor"/>
      <sheetName val="FO YC Models"/>
      <sheetName val="PTOT YC Models"/>
      <sheetName val="Reuters"/>
      <sheetName val="VOL DATA"/>
      <sheetName val="VOL MODEL"/>
      <sheetName val="Pricing"/>
      <sheetName val="Beta cal"/>
      <sheetName val="SABR"/>
      <sheetName val="SABR +sd"/>
      <sheetName val="ICAP vs Totem"/>
      <sheetName val="Generated Vols"/>
      <sheetName val="Generated Smiles"/>
      <sheetName val="Save ATM Vols"/>
      <sheetName val="Save EUR Skews"/>
      <sheetName val="Save GBP Skews"/>
      <sheetName val="Save USD Skews"/>
      <sheetName val="Save JPY Skews"/>
      <sheetName val="Save CHF Skews"/>
      <sheetName val="EUR Results"/>
      <sheetName val="GBP Results"/>
      <sheetName val="CHF Results"/>
      <sheetName val="JPY Results"/>
      <sheetName val="USD Results"/>
      <sheetName val="GBP"/>
      <sheetName val="EUR"/>
      <sheetName val="USD"/>
      <sheetName val="CHF"/>
      <sheetName val="JPY"/>
      <sheetName val="SABR Results Dump"/>
    </sheetNames>
    <sheetDataSet>
      <sheetData sheetId="0" refreshError="1">
        <row r="12">
          <cell r="C12" t="str">
            <v>SWOPT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GeneratePortfolio"/>
      <sheetName val="SummitData"/>
      <sheetName val="Static Data"/>
      <sheetName val="FO Curves"/>
      <sheetName val="Fwd Rates"/>
      <sheetName val="Zero Rates"/>
      <sheetName val="YC"/>
      <sheetName val="IRBlackSwoptVols"/>
      <sheetName val="IRBlackIRGVols"/>
      <sheetName val="IRCEVSwoptVols"/>
      <sheetName val="IRCEVIRGVols"/>
      <sheetName val="SimulationDefinitions"/>
      <sheetName val="SimulationGeneratio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ML INDICES"/>
      <sheetName val="Inflation Indices"/>
      <sheetName val="STATIC DATA"/>
      <sheetName val="Basis Swaps"/>
      <sheetName val="SINGLE CCY IR MODEL"/>
      <sheetName val="SUMMIT CUBE"/>
      <sheetName val="BROKER VOL"/>
      <sheetName val="AUD"/>
      <sheetName val="CHF"/>
      <sheetName val="EUR"/>
      <sheetName val="GBP"/>
      <sheetName val="USD"/>
      <sheetName val="JPY"/>
      <sheetName val="CCY BASIS"/>
      <sheetName val="CROSS CCY IR MODEL"/>
      <sheetName val="CHF SUMMIT MODEL"/>
      <sheetName val="CHF CEV MODEL"/>
      <sheetName val="EUR SUMMIT MODEL"/>
      <sheetName val="EUR CEV MODEL"/>
      <sheetName val="GBP SUMMIT MODEL"/>
      <sheetName val="GBP CEV MODEL"/>
      <sheetName val="USD SUMMIT MODEL"/>
      <sheetName val="USD CEV MODEL"/>
      <sheetName val="AUD SUMMIT MODEL"/>
      <sheetName val="JPY SUMMIT MODEL"/>
      <sheetName val="CROSS CCY SUMMIT MODEL"/>
      <sheetName val="Inflation Model"/>
      <sheetName val="SWAPTION"/>
      <sheetName val="CAP &amp; FLOOR"/>
      <sheetName val="Release Notes"/>
    </sheetNames>
    <sheetDataSet>
      <sheetData sheetId="0" refreshError="1"/>
      <sheetData sheetId="1" refreshError="1"/>
      <sheetData sheetId="2" refreshError="1">
        <row r="12">
          <cell r="H12" t="str">
            <v>MF</v>
          </cell>
        </row>
        <row r="13">
          <cell r="H13" t="str">
            <v>EUR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ML INDICES"/>
      <sheetName val="STATIC DATA"/>
      <sheetName val="PTOT"/>
      <sheetName val="SINGLE CCY IR MODEL"/>
      <sheetName val="VOL DATA"/>
      <sheetName val="graphs - smile"/>
      <sheetName val="VOL MODEL"/>
      <sheetName val="Product"/>
      <sheetName val="ZC Berm"/>
      <sheetName val="Calibration &amp; Pricing"/>
      <sheetName val="DPV"/>
      <sheetName val="table"/>
    </sheetNames>
    <sheetDataSet>
      <sheetData sheetId="0"/>
      <sheetData sheetId="1"/>
      <sheetData sheetId="2"/>
      <sheetData sheetId="3" refreshError="1">
        <row r="17">
          <cell r="C17" t="str">
            <v>EUR YCM.7</v>
          </cell>
        </row>
      </sheetData>
      <sheetData sheetId="4"/>
      <sheetData sheetId="5"/>
      <sheetData sheetId="6"/>
      <sheetData sheetId="7" refreshError="1">
        <row r="31">
          <cell r="G31" t="str">
            <v>EUR_EURIBOR_6M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Model Diagnostics"/>
      <sheetName val="BGM_Vols_JPY"/>
      <sheetName val="Mktdata"/>
      <sheetName val="YC"/>
      <sheetName val="Build Cap vols"/>
      <sheetName val="IR Vols"/>
      <sheetName val="FX Vols"/>
      <sheetName val="Shifted FX Vols"/>
      <sheetName val="FX Vols Upload"/>
      <sheetName val="Calib-IFTOK3-CMS Spreads"/>
      <sheetName val="Calib-IFTOK3-IFC"/>
      <sheetName val="Calib-IFTOK4-EUR_JPY"/>
      <sheetName val="Calib-IFTOK5-USD_JPY"/>
      <sheetName val="Calib-IFTOK6-AUD_JPY"/>
      <sheetName val="IR Model Factors &amp; Build Dets"/>
      <sheetName val="BGM_CMS_JPY"/>
      <sheetName val="DeltaBump"/>
      <sheetName val="IR Cum Cap Vol Bump"/>
      <sheetName val="IR Cum Cap Vol Bump Scen"/>
      <sheetName val="IRVolBump"/>
      <sheetName val="FXVolBump"/>
      <sheetName val="YC for Scen"/>
      <sheetName val="FXVolScen"/>
      <sheetName val="ModelforTotem Reval"/>
    </sheetNames>
    <sheetDataSet>
      <sheetData sheetId="0" refreshError="1">
        <row r="30">
          <cell r="C30">
            <v>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TenorBasis"/>
      <sheetName val="Vola"/>
      <sheetName val="YCs"/>
      <sheetName val="SwaptionVols"/>
      <sheetName val="ValuesUpload"/>
      <sheetName val="ValuesTenorBasis"/>
      <sheetName val="ValuesVola"/>
      <sheetName val="ValuesYCs"/>
      <sheetName val="ValuesSwaptionVol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FO YC Models"/>
      <sheetName val="PTOT YC Models"/>
      <sheetName val="VOL DATA"/>
      <sheetName val="VOL MODEL"/>
      <sheetName val="Reuters"/>
      <sheetName val="Pricing"/>
      <sheetName val="Beta cal"/>
      <sheetName val="SABR"/>
      <sheetName val="ICAP vs Totem"/>
      <sheetName val="Save EUR Skews"/>
      <sheetName val="Save GBP Skews"/>
      <sheetName val="Save JPY Skews"/>
      <sheetName val="Save USD Skews"/>
      <sheetName val="Save CHF Skews"/>
      <sheetName val="EUR Results"/>
      <sheetName val="USD Results"/>
      <sheetName val="GBP Results"/>
      <sheetName val="CHF Results"/>
      <sheetName val="JPY Results"/>
      <sheetName val="EUR"/>
      <sheetName val="USD"/>
      <sheetName val="GBP"/>
      <sheetName val="CHF"/>
      <sheetName val="JPY"/>
      <sheetName val="Generated Smiles"/>
      <sheetName val="Generated Vols"/>
      <sheetName val="SABR Results Du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CAP FWD PREMIUM"/>
      <sheetName val="Static Data"/>
      <sheetName val="Today YC"/>
      <sheetName val="Today Zero Spreads"/>
      <sheetName val="BasisModel (NoSpreads)"/>
      <sheetName val="BasisModel (Spreads)"/>
      <sheetName val="F4_EUR"/>
      <sheetName val="F4 GBP"/>
      <sheetName val="SpreadCEVModel_EUR"/>
      <sheetName val="SpreadCEVModel_GBP"/>
      <sheetName val="Pricing_EUR_Swtn"/>
      <sheetName val="Pricing_EUR_Wing"/>
      <sheetName val="Pricing_GBP_Swtn"/>
      <sheetName val="Pricing_GBP_Wing"/>
      <sheetName val="Pricing_EUR_CF_6M"/>
      <sheetName val="Pricing_GBP_CF_3M"/>
      <sheetName val="Template_EUR_Swtn"/>
      <sheetName val="Template_Wing_EUR"/>
      <sheetName val="Template_EUR_6MCaps"/>
      <sheetName val="Template_GBP_Swtn"/>
      <sheetName val="Template_Wing_GBP"/>
      <sheetName val="Template_GBP_3MCaps"/>
    </sheetNames>
    <sheetDataSet>
      <sheetData sheetId="0" refreshError="1">
        <row r="3">
          <cell r="C3">
            <v>42034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7030A0"/>
  </sheetPr>
  <dimension ref="B3:V167"/>
  <sheetViews>
    <sheetView showGridLines="0" tabSelected="1" zoomScale="55" zoomScaleNormal="55" workbookViewId="0"/>
  </sheetViews>
  <sheetFormatPr defaultColWidth="11.42578125" defaultRowHeight="12.75"/>
  <cols>
    <col min="1" max="1" width="11.42578125" style="3"/>
    <col min="2" max="2" width="11.42578125" style="3" customWidth="1"/>
    <col min="3" max="3" width="27.28515625" style="3" bestFit="1" customWidth="1"/>
    <col min="4" max="4" width="27.28515625" style="3" customWidth="1"/>
    <col min="5" max="5" width="11.42578125" style="3" customWidth="1"/>
    <col min="6" max="7" width="13" style="3" bestFit="1" customWidth="1"/>
    <col min="8" max="8" width="20.140625" style="3" customWidth="1"/>
    <col min="9" max="9" width="17.7109375" style="3" bestFit="1" customWidth="1"/>
    <col min="10" max="10" width="19.28515625" style="3" bestFit="1" customWidth="1"/>
    <col min="11" max="11" width="33" style="3" customWidth="1"/>
    <col min="12" max="12" width="15.7109375" style="3" bestFit="1" customWidth="1"/>
    <col min="13" max="13" width="10.7109375" style="3" bestFit="1" customWidth="1"/>
    <col min="14" max="14" width="20.140625" style="3" customWidth="1"/>
    <col min="15" max="15" width="32" style="3" bestFit="1" customWidth="1"/>
    <col min="16" max="17" width="15.7109375" style="3" bestFit="1" customWidth="1"/>
    <col min="18" max="18" width="24" style="3" bestFit="1" customWidth="1"/>
    <col min="19" max="19" width="30.140625" style="3" bestFit="1" customWidth="1"/>
    <col min="20" max="20" width="13.5703125" style="3" customWidth="1"/>
    <col min="21" max="21" width="18.7109375" style="3" bestFit="1" customWidth="1"/>
    <col min="22" max="22" width="12.85546875" style="3" customWidth="1"/>
    <col min="23" max="23" width="10.42578125" style="3" bestFit="1" customWidth="1"/>
    <col min="24" max="24" width="11.42578125" style="3" customWidth="1"/>
    <col min="25" max="25" width="13.28515625" style="3" bestFit="1" customWidth="1"/>
    <col min="26" max="26" width="10.7109375" style="3" customWidth="1"/>
    <col min="27" max="33" width="11.42578125" style="3" customWidth="1"/>
    <col min="34" max="34" width="10.28515625" style="3" bestFit="1" customWidth="1"/>
    <col min="35" max="40" width="11.42578125" style="3" customWidth="1"/>
    <col min="41" max="41" width="16.7109375" style="3" bestFit="1" customWidth="1"/>
    <col min="42" max="16384" width="11.42578125" style="3"/>
  </cols>
  <sheetData>
    <row r="3" spans="3:22">
      <c r="C3" s="1" t="s">
        <v>0</v>
      </c>
      <c r="D3" s="2" t="s">
        <v>109</v>
      </c>
    </row>
    <row r="5" spans="3:22">
      <c r="C5" s="176" t="b">
        <f>_xll.qlSettingsSetEvaluationDate(D6)</f>
        <v>1</v>
      </c>
      <c r="D5" s="177"/>
    </row>
    <row r="6" spans="3:22">
      <c r="C6" s="4" t="s">
        <v>1</v>
      </c>
      <c r="D6" s="5">
        <v>42160</v>
      </c>
    </row>
    <row r="10" spans="3:22">
      <c r="C10" s="50" t="s">
        <v>75</v>
      </c>
    </row>
    <row r="12" spans="3:22">
      <c r="C12" s="6" t="s">
        <v>2</v>
      </c>
      <c r="D12" s="7" t="str">
        <f>_xll.qlEonia()</f>
        <v>obj_00014#0000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</row>
    <row r="13" spans="3:22"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3:22">
      <c r="C14" s="8" t="s">
        <v>3</v>
      </c>
      <c r="D14" s="9" t="str">
        <f>_xll.qlEonia("Eonia-Bootstrapindex")</f>
        <v>Eonia-Bootstrapindex#0000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6" t="s">
        <v>49</v>
      </c>
      <c r="S14" s="7"/>
      <c r="U14" s="41" t="s">
        <v>65</v>
      </c>
      <c r="V14" s="7"/>
    </row>
    <row r="15" spans="3:22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U15" s="7"/>
      <c r="V15" s="7"/>
    </row>
    <row r="16" spans="3:22">
      <c r="C16" s="10" t="s">
        <v>4</v>
      </c>
      <c r="D16" s="10" t="s">
        <v>5</v>
      </c>
      <c r="E16" s="10" t="s">
        <v>6</v>
      </c>
      <c r="F16" s="10"/>
      <c r="G16" s="10" t="s">
        <v>7</v>
      </c>
      <c r="H16" s="10" t="s">
        <v>8</v>
      </c>
      <c r="I16" s="10" t="s">
        <v>9</v>
      </c>
      <c r="J16" s="10" t="s">
        <v>10</v>
      </c>
      <c r="K16" s="10" t="s">
        <v>11</v>
      </c>
      <c r="L16" s="11"/>
      <c r="M16" s="12"/>
      <c r="N16" s="13"/>
      <c r="O16" s="10" t="s">
        <v>12</v>
      </c>
      <c r="P16" s="10" t="s">
        <v>13</v>
      </c>
      <c r="R16" s="29" t="s">
        <v>50</v>
      </c>
      <c r="S16" s="30" t="str">
        <f>_xll.qlPiecewiseYieldCurve(S18,S19,S20,_xll.ohPack(O18:O56),S22,S23,S24,S25,S26,S27,S28,S29,S30)</f>
        <v>EONIA-Curve#0000</v>
      </c>
      <c r="U16" s="42" t="s">
        <v>37</v>
      </c>
      <c r="V16" s="42" t="s">
        <v>66</v>
      </c>
    </row>
    <row r="17" spans="2:22">
      <c r="C17" s="14" t="s">
        <v>4</v>
      </c>
      <c r="D17" s="14" t="s">
        <v>5</v>
      </c>
      <c r="E17" s="14" t="s">
        <v>14</v>
      </c>
      <c r="F17" s="14"/>
      <c r="G17" s="14" t="s">
        <v>8</v>
      </c>
      <c r="H17" s="14" t="s">
        <v>15</v>
      </c>
      <c r="I17" s="14" t="s">
        <v>16</v>
      </c>
      <c r="J17" s="14" t="s">
        <v>17</v>
      </c>
      <c r="K17" s="14" t="s">
        <v>18</v>
      </c>
      <c r="L17" s="14" t="s">
        <v>19</v>
      </c>
      <c r="M17" s="14" t="s">
        <v>20</v>
      </c>
      <c r="N17" s="14" t="s">
        <v>21</v>
      </c>
      <c r="O17" s="14" t="s">
        <v>22</v>
      </c>
      <c r="P17" s="14" t="s">
        <v>13</v>
      </c>
      <c r="R17" s="31" t="s">
        <v>13</v>
      </c>
      <c r="S17" s="28" t="str">
        <f>_xll.ohRangeRetrieveError(S16)</f>
        <v/>
      </c>
      <c r="U17" s="43">
        <f t="array" ref="U17:U51">_xll.qlPiecewiseYieldCurveDates(S16,S16)</f>
        <v>42160</v>
      </c>
      <c r="V17" s="57">
        <f t="array" ref="V17:V51">_xll.qlPiecewiseYieldCurveData(S16,S16)</f>
        <v>-1.4498697499396433E-3</v>
      </c>
    </row>
    <row r="18" spans="2:22">
      <c r="B18" s="56"/>
      <c r="C18" s="15"/>
      <c r="D18" s="172">
        <v>-1.4300000000000001E-3</v>
      </c>
      <c r="E18" s="15" t="s">
        <v>70</v>
      </c>
      <c r="F18" s="15"/>
      <c r="G18" s="15">
        <v>0</v>
      </c>
      <c r="H18" s="15" t="s">
        <v>39</v>
      </c>
      <c r="I18" s="15" t="s">
        <v>40</v>
      </c>
      <c r="J18" s="15" t="b">
        <v>1</v>
      </c>
      <c r="K18" s="15" t="s">
        <v>41</v>
      </c>
      <c r="L18" s="16"/>
      <c r="M18" s="16"/>
      <c r="N18" s="17"/>
      <c r="O18" s="18" t="str">
        <f>_xll.qlDepositRateHelper2(C18,D18,E18,G18,H18,I18,J18,K18)</f>
        <v>obj_00009#0000</v>
      </c>
      <c r="P18" s="19" t="str">
        <f>_xll.ohRangeRetrieveError(O18)</f>
        <v/>
      </c>
      <c r="R18" s="32" t="s">
        <v>4</v>
      </c>
      <c r="S18" s="33" t="s">
        <v>76</v>
      </c>
      <c r="U18" s="44">
        <v>42163</v>
      </c>
      <c r="V18" s="58">
        <v>-1.4498697499396433E-3</v>
      </c>
    </row>
    <row r="19" spans="2:22">
      <c r="B19" s="56"/>
      <c r="C19" s="20"/>
      <c r="D19" s="173">
        <v>-1.1800000000000001E-3</v>
      </c>
      <c r="E19" s="20" t="s">
        <v>111</v>
      </c>
      <c r="F19" s="20"/>
      <c r="G19" s="20">
        <v>2</v>
      </c>
      <c r="H19" s="20"/>
      <c r="I19" s="20"/>
      <c r="J19" s="20"/>
      <c r="K19" s="17" t="str">
        <f t="shared" ref="K19:K56" si="0">$D$14</f>
        <v>Eonia-Bootstrapindex#0000</v>
      </c>
      <c r="L19" s="21"/>
      <c r="M19" s="20"/>
      <c r="N19" s="17"/>
      <c r="O19" s="22" t="str">
        <f>_xll.qlOISRateHelper(C19,G19,E19,D19,K19)</f>
        <v>obj_00048#0000</v>
      </c>
      <c r="P19" s="23" t="str">
        <f>_xll.ohRangeRetrieveError(O19)</f>
        <v/>
      </c>
      <c r="R19" s="34" t="s">
        <v>52</v>
      </c>
      <c r="S19" s="35">
        <v>0</v>
      </c>
      <c r="U19" s="44">
        <v>42171</v>
      </c>
      <c r="V19" s="58">
        <v>-1.2808916594260005E-3</v>
      </c>
    </row>
    <row r="20" spans="2:22">
      <c r="B20" s="56"/>
      <c r="C20" s="20"/>
      <c r="D20" s="173">
        <v>-1.17E-3</v>
      </c>
      <c r="E20" s="20" t="s">
        <v>136</v>
      </c>
      <c r="F20" s="20"/>
      <c r="G20" s="20">
        <v>2</v>
      </c>
      <c r="H20" s="20"/>
      <c r="I20" s="20"/>
      <c r="J20" s="20"/>
      <c r="K20" s="17" t="str">
        <f t="shared" si="0"/>
        <v>Eonia-Bootstrapindex#0000</v>
      </c>
      <c r="L20" s="21"/>
      <c r="M20" s="20"/>
      <c r="N20" s="17"/>
      <c r="O20" s="22" t="str">
        <f>_xll.qlOISRateHelper(C20,G20,E20,D20,K20)</f>
        <v>obj_00044#0000</v>
      </c>
      <c r="P20" s="23" t="str">
        <f>_xll.ohRangeRetrieveError(O20)</f>
        <v/>
      </c>
      <c r="R20" s="34" t="s">
        <v>8</v>
      </c>
      <c r="S20" s="36" t="s">
        <v>39</v>
      </c>
      <c r="U20" s="44">
        <v>42178</v>
      </c>
      <c r="V20" s="58">
        <v>-1.2401593214777006E-3</v>
      </c>
    </row>
    <row r="21" spans="2:22">
      <c r="B21" s="56"/>
      <c r="C21" s="20"/>
      <c r="D21" s="173">
        <v>-1.1800000000000001E-3</v>
      </c>
      <c r="E21" s="20" t="s">
        <v>137</v>
      </c>
      <c r="F21" s="20"/>
      <c r="G21" s="20">
        <v>2</v>
      </c>
      <c r="H21" s="20"/>
      <c r="I21" s="20"/>
      <c r="J21" s="20"/>
      <c r="K21" s="17" t="str">
        <f t="shared" si="0"/>
        <v>Eonia-Bootstrapindex#0000</v>
      </c>
      <c r="L21" s="21"/>
      <c r="M21" s="20"/>
      <c r="N21" s="17"/>
      <c r="O21" s="22" t="str">
        <f>_xll.qlOISRateHelper(C21,G21,E21,D21,K21)</f>
        <v>obj_0002c#0000</v>
      </c>
      <c r="P21" s="24" t="str">
        <f>_xll.ohRangeRetrieveError(O21)</f>
        <v/>
      </c>
      <c r="R21" s="34" t="s">
        <v>2</v>
      </c>
      <c r="S21" s="37"/>
      <c r="U21" s="44">
        <v>42185</v>
      </c>
      <c r="V21" s="58">
        <v>-1.2336008540366637E-3</v>
      </c>
    </row>
    <row r="22" spans="2:22">
      <c r="B22" s="56"/>
      <c r="C22" s="20"/>
      <c r="D22" s="173">
        <v>-1.1800000000000001E-3</v>
      </c>
      <c r="E22" s="20" t="s">
        <v>83</v>
      </c>
      <c r="F22" s="20"/>
      <c r="G22" s="20">
        <v>2</v>
      </c>
      <c r="H22" s="20"/>
      <c r="I22" s="20"/>
      <c r="J22" s="20"/>
      <c r="K22" s="17" t="str">
        <f t="shared" si="0"/>
        <v>Eonia-Bootstrapindex#0000</v>
      </c>
      <c r="L22" s="21"/>
      <c r="M22" s="20"/>
      <c r="N22" s="17"/>
      <c r="O22" s="22" t="str">
        <f>_xll.qlOISRateHelper(C22,G22,E22,D22,K22)</f>
        <v>obj_0003d#0000</v>
      </c>
      <c r="P22" s="23" t="str">
        <f>_xll.ohRangeRetrieveError(O22)</f>
        <v/>
      </c>
      <c r="R22" s="34" t="s">
        <v>53</v>
      </c>
      <c r="S22" s="36" t="s">
        <v>54</v>
      </c>
      <c r="U22" s="44">
        <v>42194</v>
      </c>
      <c r="V22" s="58">
        <v>-1.2237771003082419E-3</v>
      </c>
    </row>
    <row r="23" spans="2:22">
      <c r="B23" s="56"/>
      <c r="C23" s="20"/>
      <c r="D23" s="173">
        <v>-1.23E-3</v>
      </c>
      <c r="E23" s="20" t="s">
        <v>84</v>
      </c>
      <c r="F23" s="20"/>
      <c r="G23" s="20">
        <v>2</v>
      </c>
      <c r="H23" s="20"/>
      <c r="I23" s="20"/>
      <c r="J23" s="20"/>
      <c r="K23" s="17" t="str">
        <f t="shared" si="0"/>
        <v>Eonia-Bootstrapindex#0000</v>
      </c>
      <c r="L23" s="21"/>
      <c r="M23" s="20"/>
      <c r="N23" s="17"/>
      <c r="O23" s="22" t="str">
        <f>_xll.qlOISRateHelper(C23,G23,E23,D23,K23)</f>
        <v>obj_00051#0000</v>
      </c>
      <c r="P23" s="23" t="str">
        <f>_xll.ohRangeRetrieveError(O23)</f>
        <v/>
      </c>
      <c r="R23" s="34" t="s">
        <v>55</v>
      </c>
      <c r="S23" s="35"/>
      <c r="U23" s="44">
        <v>42226</v>
      </c>
      <c r="V23" s="58">
        <v>-1.2582173813067657E-3</v>
      </c>
    </row>
    <row r="24" spans="2:22">
      <c r="B24" s="56"/>
      <c r="C24" s="20"/>
      <c r="D24" s="173">
        <v>-1.25E-3</v>
      </c>
      <c r="E24" s="20" t="s">
        <v>81</v>
      </c>
      <c r="F24" s="20"/>
      <c r="G24" s="20">
        <v>2</v>
      </c>
      <c r="H24" s="20"/>
      <c r="I24" s="20"/>
      <c r="J24" s="20"/>
      <c r="K24" s="17" t="str">
        <f t="shared" si="0"/>
        <v>Eonia-Bootstrapindex#0000</v>
      </c>
      <c r="L24" s="21"/>
      <c r="M24" s="20"/>
      <c r="N24" s="17"/>
      <c r="O24" s="22" t="str">
        <f>_xll.qlOISRateHelper(C24,G24,E24,D24,K24)</f>
        <v>obj_0003a#0000</v>
      </c>
      <c r="P24" s="23" t="str">
        <f>_xll.ohRangeRetrieveError(O24)</f>
        <v/>
      </c>
      <c r="R24" s="34" t="s">
        <v>56</v>
      </c>
      <c r="S24" s="35"/>
      <c r="U24" s="44">
        <v>42256</v>
      </c>
      <c r="V24" s="58">
        <v>-1.2742795761573557E-3</v>
      </c>
    </row>
    <row r="25" spans="2:22">
      <c r="B25" s="56"/>
      <c r="C25" s="20"/>
      <c r="D25" s="173">
        <v>-1.2600000000000001E-3</v>
      </c>
      <c r="E25" s="20" t="s">
        <v>85</v>
      </c>
      <c r="F25" s="20"/>
      <c r="G25" s="20">
        <v>2</v>
      </c>
      <c r="H25" s="20"/>
      <c r="I25" s="20"/>
      <c r="J25" s="20"/>
      <c r="K25" s="17" t="str">
        <f t="shared" si="0"/>
        <v>Eonia-Bootstrapindex#0000</v>
      </c>
      <c r="L25" s="21"/>
      <c r="M25" s="20"/>
      <c r="N25" s="17"/>
      <c r="O25" s="22" t="str">
        <f>_xll.qlOISRateHelper(C25,G25,E25,D25,K25)</f>
        <v>obj_00018#0000</v>
      </c>
      <c r="P25" s="23" t="str">
        <f>_xll.ohRangeRetrieveError(O25)</f>
        <v/>
      </c>
      <c r="R25" s="34" t="s">
        <v>57</v>
      </c>
      <c r="S25" s="35"/>
      <c r="U25" s="44">
        <v>42286</v>
      </c>
      <c r="V25" s="58">
        <v>-1.2825656705566708E-3</v>
      </c>
    </row>
    <row r="26" spans="2:22">
      <c r="B26" s="56"/>
      <c r="C26" s="20"/>
      <c r="D26" s="173">
        <v>-1.2700000000000001E-3</v>
      </c>
      <c r="E26" s="20" t="s">
        <v>86</v>
      </c>
      <c r="F26" s="20"/>
      <c r="G26" s="20">
        <v>2</v>
      </c>
      <c r="H26" s="20"/>
      <c r="I26" s="20"/>
      <c r="J26" s="20"/>
      <c r="K26" s="17" t="str">
        <f t="shared" si="0"/>
        <v>Eonia-Bootstrapindex#0000</v>
      </c>
      <c r="L26" s="21"/>
      <c r="M26" s="20"/>
      <c r="N26" s="17"/>
      <c r="O26" s="22" t="str">
        <f>_xll.qlOISRateHelper(C26,G26,E26,D26,K26)</f>
        <v>obj_00037#0000</v>
      </c>
      <c r="P26" s="23" t="str">
        <f>_xll.ohRangeRetrieveError(O26)</f>
        <v/>
      </c>
      <c r="R26" s="38" t="s">
        <v>59</v>
      </c>
      <c r="S26" s="36" t="s">
        <v>60</v>
      </c>
      <c r="U26" s="44">
        <v>42317</v>
      </c>
      <c r="V26" s="58">
        <v>-1.2915727823674017E-3</v>
      </c>
    </row>
    <row r="27" spans="2:22">
      <c r="B27" s="56"/>
      <c r="C27" s="20"/>
      <c r="D27" s="173">
        <v>-1.2700000000000001E-3</v>
      </c>
      <c r="E27" s="20" t="s">
        <v>82</v>
      </c>
      <c r="F27" s="20"/>
      <c r="G27" s="20">
        <v>2</v>
      </c>
      <c r="H27" s="20"/>
      <c r="I27" s="20"/>
      <c r="J27" s="20"/>
      <c r="K27" s="17" t="str">
        <f t="shared" si="0"/>
        <v>Eonia-Bootstrapindex#0000</v>
      </c>
      <c r="L27" s="21"/>
      <c r="M27" s="20"/>
      <c r="N27" s="17"/>
      <c r="O27" s="22" t="str">
        <f>_xll.qlOISRateHelper(C27,G27,E27,D27,K27)</f>
        <v>obj_00033#0000</v>
      </c>
      <c r="P27" s="24" t="str">
        <f>_xll.ohRangeRetrieveError(O27)</f>
        <v/>
      </c>
      <c r="R27" s="38" t="s">
        <v>62</v>
      </c>
      <c r="S27" s="36" t="s">
        <v>63</v>
      </c>
      <c r="U27" s="44">
        <v>42347</v>
      </c>
      <c r="V27" s="58">
        <v>-1.2910641782304529E-3</v>
      </c>
    </row>
    <row r="28" spans="2:22">
      <c r="B28" s="56"/>
      <c r="C28" s="20"/>
      <c r="D28" s="173">
        <v>-1.25E-3</v>
      </c>
      <c r="E28" s="20" t="s">
        <v>87</v>
      </c>
      <c r="F28" s="20"/>
      <c r="G28" s="20">
        <v>2</v>
      </c>
      <c r="H28" s="20"/>
      <c r="I28" s="20"/>
      <c r="J28" s="20"/>
      <c r="K28" s="17" t="str">
        <f t="shared" si="0"/>
        <v>Eonia-Bootstrapindex#0000</v>
      </c>
      <c r="L28" s="21"/>
      <c r="M28" s="20"/>
      <c r="N28" s="17"/>
      <c r="O28" s="22" t="str">
        <f>_xll.qlOISRateHelper(C28,G28,E28,D28,K28)</f>
        <v>obj_0002f#0000</v>
      </c>
      <c r="P28" s="23" t="str">
        <f>_xll.ohRangeRetrieveError(O28)</f>
        <v/>
      </c>
      <c r="R28" s="34" t="s">
        <v>58</v>
      </c>
      <c r="S28" s="35"/>
      <c r="U28" s="44">
        <v>42380</v>
      </c>
      <c r="V28" s="58">
        <v>-1.2707622616430873E-3</v>
      </c>
    </row>
    <row r="29" spans="2:22">
      <c r="B29" s="56"/>
      <c r="C29" s="20"/>
      <c r="D29" s="173">
        <v>-1.25E-3</v>
      </c>
      <c r="E29" s="20" t="s">
        <v>88</v>
      </c>
      <c r="F29" s="20"/>
      <c r="G29" s="20">
        <v>2</v>
      </c>
      <c r="H29" s="20"/>
      <c r="I29" s="20"/>
      <c r="J29" s="20"/>
      <c r="K29" s="17" t="str">
        <f t="shared" si="0"/>
        <v>Eonia-Bootstrapindex#0000</v>
      </c>
      <c r="L29" s="21"/>
      <c r="M29" s="20"/>
      <c r="N29" s="17"/>
      <c r="O29" s="22" t="str">
        <f>_xll.qlOISRateHelper(C29,G29,E29,D29,K29)</f>
        <v>obj_00040#0000</v>
      </c>
      <c r="P29" s="23" t="str">
        <f>_xll.ohRangeRetrieveError(O29)</f>
        <v/>
      </c>
      <c r="R29" s="34" t="s">
        <v>61</v>
      </c>
      <c r="S29" s="35"/>
      <c r="U29" s="44">
        <v>42409</v>
      </c>
      <c r="V29" s="58">
        <v>-1.2704843731558015E-3</v>
      </c>
    </row>
    <row r="30" spans="2:22">
      <c r="B30" s="56"/>
      <c r="C30" s="20"/>
      <c r="D30" s="173">
        <v>-1.25E-3</v>
      </c>
      <c r="E30" s="20" t="s">
        <v>114</v>
      </c>
      <c r="F30" s="20"/>
      <c r="G30" s="20">
        <v>2</v>
      </c>
      <c r="H30" s="20"/>
      <c r="I30" s="20"/>
      <c r="J30" s="20"/>
      <c r="K30" s="17" t="str">
        <f t="shared" si="0"/>
        <v>Eonia-Bootstrapindex#0000</v>
      </c>
      <c r="L30" s="21"/>
      <c r="M30" s="20"/>
      <c r="N30" s="17"/>
      <c r="O30" s="22" t="str">
        <f>_xll.qlOISRateHelper(C30,G30,E30,D30,K30)</f>
        <v>obj_00023#0000</v>
      </c>
      <c r="P30" s="23" t="str">
        <f>_xll.ohRangeRetrieveError(O30)</f>
        <v/>
      </c>
      <c r="R30" s="39" t="s">
        <v>64</v>
      </c>
      <c r="S30" s="40"/>
      <c r="U30" s="44">
        <v>42438</v>
      </c>
      <c r="V30" s="58">
        <v>-1.27027779656625E-3</v>
      </c>
    </row>
    <row r="31" spans="2:22">
      <c r="B31" s="56"/>
      <c r="C31" s="20"/>
      <c r="D31" s="173">
        <v>-1.23E-3</v>
      </c>
      <c r="E31" s="20" t="s">
        <v>106</v>
      </c>
      <c r="F31" s="20"/>
      <c r="G31" s="20">
        <v>2</v>
      </c>
      <c r="H31" s="20"/>
      <c r="I31" s="20"/>
      <c r="J31" s="20"/>
      <c r="K31" s="17" t="str">
        <f t="shared" si="0"/>
        <v>Eonia-Bootstrapindex#0000</v>
      </c>
      <c r="L31" s="21"/>
      <c r="M31" s="20"/>
      <c r="N31" s="17"/>
      <c r="O31" s="22" t="str">
        <f>_xll.qlOISRateHelper(C31,G31,E31,D31,K31)</f>
        <v>obj_0001f#0000</v>
      </c>
      <c r="P31" s="23" t="str">
        <f>_xll.ohRangeRetrieveError(O31)</f>
        <v/>
      </c>
      <c r="U31" s="44">
        <v>42471</v>
      </c>
      <c r="V31" s="58">
        <v>-1.2500659327459608E-3</v>
      </c>
    </row>
    <row r="32" spans="2:22">
      <c r="B32" s="56"/>
      <c r="C32" s="20"/>
      <c r="D32" s="173">
        <v>-1.2099999999999999E-3</v>
      </c>
      <c r="E32" s="20" t="s">
        <v>107</v>
      </c>
      <c r="F32" s="20"/>
      <c r="G32" s="20">
        <v>2</v>
      </c>
      <c r="H32" s="20"/>
      <c r="I32" s="20"/>
      <c r="J32" s="20"/>
      <c r="K32" s="17" t="str">
        <f t="shared" si="0"/>
        <v>Eonia-Bootstrapindex#0000</v>
      </c>
      <c r="L32" s="21"/>
      <c r="M32" s="20"/>
      <c r="N32" s="17"/>
      <c r="O32" s="22" t="str">
        <f>_xll.qlOISRateHelper(C32,G32,E32,D32,K32)</f>
        <v>obj_0001b#0000</v>
      </c>
      <c r="P32" s="23" t="str">
        <f>_xll.ohRangeRetrieveError(O32)</f>
        <v/>
      </c>
      <c r="U32" s="44">
        <v>42499</v>
      </c>
      <c r="V32" s="58">
        <v>-1.2298713889323E-3</v>
      </c>
    </row>
    <row r="33" spans="2:22">
      <c r="B33" s="56"/>
      <c r="C33" s="20"/>
      <c r="D33" s="173">
        <v>-1.2099999999999999E-3</v>
      </c>
      <c r="E33" s="20" t="s">
        <v>23</v>
      </c>
      <c r="F33" s="20"/>
      <c r="G33" s="20">
        <v>2</v>
      </c>
      <c r="H33" s="20"/>
      <c r="I33" s="20"/>
      <c r="J33" s="20"/>
      <c r="K33" s="17" t="str">
        <f t="shared" si="0"/>
        <v>Eonia-Bootstrapindex#0000</v>
      </c>
      <c r="L33" s="21"/>
      <c r="M33" s="20"/>
      <c r="N33" s="17"/>
      <c r="O33" s="22" t="str">
        <f>_xll.qlOISRateHelper(C33,G33,E33,D33,K33)</f>
        <v>obj_00025#0000</v>
      </c>
      <c r="P33" s="23" t="str">
        <f>_xll.ohRangeRetrieveError(O33)</f>
        <v/>
      </c>
      <c r="R33" s="29" t="s">
        <v>78</v>
      </c>
      <c r="S33" s="30" t="str">
        <f>_xll.qlEonia(S35,S37)</f>
        <v>Eonia#0000</v>
      </c>
      <c r="U33" s="44">
        <v>42530</v>
      </c>
      <c r="V33" s="58">
        <v>-1.2297357542555753E-3</v>
      </c>
    </row>
    <row r="34" spans="2:22">
      <c r="B34" s="56"/>
      <c r="C34" s="20"/>
      <c r="D34" s="173">
        <v>-1.16E-3</v>
      </c>
      <c r="E34" s="20" t="s">
        <v>138</v>
      </c>
      <c r="F34" s="20"/>
      <c r="G34" s="20">
        <v>2</v>
      </c>
      <c r="H34" s="20"/>
      <c r="I34" s="20"/>
      <c r="J34" s="20"/>
      <c r="K34" s="17" t="str">
        <f t="shared" si="0"/>
        <v>Eonia-Bootstrapindex#0000</v>
      </c>
      <c r="L34" s="21"/>
      <c r="M34" s="20"/>
      <c r="N34" s="17"/>
      <c r="O34" s="22" t="str">
        <f>_xll.qlOISRateHelper(C34,G34,E34,D34,K34)</f>
        <v>obj_00047#0000</v>
      </c>
      <c r="P34" s="23" t="str">
        <f>_xll.ohRangeRetrieveError(O34)</f>
        <v/>
      </c>
      <c r="R34" s="31" t="s">
        <v>13</v>
      </c>
      <c r="S34" s="28" t="str">
        <f>_xll.ohRangeRetrieveError(S33)</f>
        <v/>
      </c>
      <c r="U34" s="44">
        <v>42622</v>
      </c>
      <c r="V34" s="58">
        <v>-1.1788883877102375E-3</v>
      </c>
    </row>
    <row r="35" spans="2:22">
      <c r="B35" s="56"/>
      <c r="C35" s="20"/>
      <c r="D35" s="173">
        <v>-1.0800000000000002E-3</v>
      </c>
      <c r="E35" s="20" t="s">
        <v>47</v>
      </c>
      <c r="F35" s="20"/>
      <c r="G35" s="20">
        <v>2</v>
      </c>
      <c r="H35" s="20"/>
      <c r="I35" s="20"/>
      <c r="J35" s="20"/>
      <c r="K35" s="17" t="str">
        <f t="shared" si="0"/>
        <v>Eonia-Bootstrapindex#0000</v>
      </c>
      <c r="L35" s="21"/>
      <c r="M35" s="20"/>
      <c r="N35" s="17"/>
      <c r="O35" s="22" t="str">
        <f>_xll.qlOISRateHelper(C35,G35,E35,D35,K35)</f>
        <v>obj_00036#0000</v>
      </c>
      <c r="P35" s="23" t="str">
        <f>_xll.ohRangeRetrieveError(O35)</f>
        <v/>
      </c>
      <c r="R35" s="46" t="s">
        <v>4</v>
      </c>
      <c r="S35" s="33" t="s">
        <v>77</v>
      </c>
      <c r="U35" s="44">
        <v>42713</v>
      </c>
      <c r="V35" s="58">
        <v>-1.0979467740507886E-3</v>
      </c>
    </row>
    <row r="36" spans="2:22">
      <c r="B36" s="56"/>
      <c r="C36" s="20"/>
      <c r="D36" s="173">
        <v>-9.7000000000000005E-4</v>
      </c>
      <c r="E36" s="20" t="s">
        <v>139</v>
      </c>
      <c r="F36" s="20"/>
      <c r="G36" s="20">
        <v>2</v>
      </c>
      <c r="H36" s="20"/>
      <c r="I36" s="20"/>
      <c r="J36" s="20"/>
      <c r="K36" s="17" t="str">
        <f t="shared" si="0"/>
        <v>Eonia-Bootstrapindex#0000</v>
      </c>
      <c r="L36" s="21"/>
      <c r="M36" s="20"/>
      <c r="N36" s="17"/>
      <c r="O36" s="22" t="str">
        <f>_xll.qlOISRateHelper(C36,G36,E36,D36,K36)</f>
        <v>obj_00032#0000</v>
      </c>
      <c r="P36" s="23" t="str">
        <f>_xll.ohRangeRetrieveError(O36)</f>
        <v/>
      </c>
      <c r="R36" s="47" t="s">
        <v>14</v>
      </c>
      <c r="S36" s="35"/>
      <c r="U36" s="44">
        <v>42803</v>
      </c>
      <c r="V36" s="58">
        <v>-9.8676108300561742E-4</v>
      </c>
    </row>
    <row r="37" spans="2:22">
      <c r="B37" s="56"/>
      <c r="C37" s="20"/>
      <c r="D37" s="173">
        <v>-8.1999999999999998E-4</v>
      </c>
      <c r="E37" s="20" t="s">
        <v>24</v>
      </c>
      <c r="F37" s="20"/>
      <c r="G37" s="20">
        <v>2</v>
      </c>
      <c r="H37" s="20"/>
      <c r="I37" s="20"/>
      <c r="J37" s="20"/>
      <c r="K37" s="17" t="str">
        <f t="shared" si="0"/>
        <v>Eonia-Bootstrapindex#0000</v>
      </c>
      <c r="L37" s="21"/>
      <c r="M37" s="20"/>
      <c r="N37" s="17"/>
      <c r="O37" s="22" t="str">
        <f>_xll.qlOISRateHelper(C37,G37,E37,D37,K37)</f>
        <v>obj_0002e#0000</v>
      </c>
      <c r="P37" s="23" t="str">
        <f>_xll.ohRangeRetrieveError(O37)</f>
        <v/>
      </c>
      <c r="R37" s="47" t="s">
        <v>69</v>
      </c>
      <c r="S37" s="48" t="str">
        <f>S16</f>
        <v>EONIA-Curve#0000</v>
      </c>
      <c r="U37" s="44">
        <v>42895</v>
      </c>
      <c r="V37" s="58">
        <v>-8.3514855785562115E-4</v>
      </c>
    </row>
    <row r="38" spans="2:22">
      <c r="B38" s="56"/>
      <c r="C38" s="20"/>
      <c r="D38" s="173">
        <v>5.0000000000000002E-5</v>
      </c>
      <c r="E38" s="20" t="s">
        <v>25</v>
      </c>
      <c r="F38" s="20"/>
      <c r="G38" s="20">
        <v>2</v>
      </c>
      <c r="H38" s="20"/>
      <c r="I38" s="20"/>
      <c r="J38" s="20"/>
      <c r="K38" s="17" t="str">
        <f t="shared" si="0"/>
        <v>Eonia-Bootstrapindex#0000</v>
      </c>
      <c r="L38" s="21"/>
      <c r="M38" s="20"/>
      <c r="N38" s="17"/>
      <c r="O38" s="22" t="str">
        <f>_xll.qlOISRateHelper(C38,G38,E38,D38,K38)</f>
        <v>obj_0003f#0000</v>
      </c>
      <c r="P38" s="23" t="str">
        <f>_xll.ohRangeRetrieveError(O38)</f>
        <v/>
      </c>
      <c r="R38" s="47" t="s">
        <v>58</v>
      </c>
      <c r="S38" s="35"/>
      <c r="U38" s="44">
        <v>43262</v>
      </c>
      <c r="V38" s="58">
        <v>4.5374436897603019E-5</v>
      </c>
    </row>
    <row r="39" spans="2:22">
      <c r="B39" s="56"/>
      <c r="C39" s="20"/>
      <c r="D39" s="173">
        <v>1.33E-3</v>
      </c>
      <c r="E39" s="20" t="s">
        <v>26</v>
      </c>
      <c r="F39" s="20"/>
      <c r="G39" s="20">
        <v>2</v>
      </c>
      <c r="H39" s="20"/>
      <c r="I39" s="20"/>
      <c r="J39" s="20"/>
      <c r="K39" s="17" t="str">
        <f t="shared" si="0"/>
        <v>Eonia-Bootstrapindex#0000</v>
      </c>
      <c r="L39" s="21"/>
      <c r="M39" s="20"/>
      <c r="N39" s="17"/>
      <c r="O39" s="22" t="str">
        <f>_xll.qlOISRateHelper(C39,G39,E39,D39,K39)</f>
        <v>obj_00043#0000</v>
      </c>
      <c r="P39" s="23" t="str">
        <f>_xll.ohRangeRetrieveError(O39)</f>
        <v/>
      </c>
      <c r="R39" s="47" t="s">
        <v>61</v>
      </c>
      <c r="S39" s="35"/>
      <c r="U39" s="44">
        <v>43626</v>
      </c>
      <c r="V39" s="58">
        <v>1.3436503750656706E-3</v>
      </c>
    </row>
    <row r="40" spans="2:22">
      <c r="B40" s="56"/>
      <c r="C40" s="20"/>
      <c r="D40" s="173">
        <v>2.8000000000000004E-3</v>
      </c>
      <c r="E40" s="20" t="s">
        <v>27</v>
      </c>
      <c r="F40" s="20"/>
      <c r="G40" s="20">
        <v>2</v>
      </c>
      <c r="H40" s="20"/>
      <c r="I40" s="20"/>
      <c r="J40" s="20"/>
      <c r="K40" s="17" t="str">
        <f t="shared" si="0"/>
        <v>Eonia-Bootstrapindex#0000</v>
      </c>
      <c r="L40" s="21"/>
      <c r="M40" s="20"/>
      <c r="N40" s="17"/>
      <c r="O40" s="22" t="str">
        <f>_xll.qlOISRateHelper(C40,G40,E40,D40,K40)</f>
        <v>obj_00024#0000</v>
      </c>
      <c r="P40" s="23" t="str">
        <f>_xll.ohRangeRetrieveError(O40)</f>
        <v/>
      </c>
      <c r="R40" s="49" t="s">
        <v>64</v>
      </c>
      <c r="S40" s="40"/>
      <c r="U40" s="44">
        <v>43991</v>
      </c>
      <c r="V40" s="58">
        <v>2.8402427301056328E-3</v>
      </c>
    </row>
    <row r="41" spans="2:22">
      <c r="B41" s="56"/>
      <c r="C41" s="20"/>
      <c r="D41" s="173">
        <v>4.2800000000000008E-3</v>
      </c>
      <c r="E41" s="20" t="s">
        <v>28</v>
      </c>
      <c r="F41" s="20"/>
      <c r="G41" s="20">
        <v>2</v>
      </c>
      <c r="H41" s="20"/>
      <c r="I41" s="20"/>
      <c r="J41" s="20"/>
      <c r="K41" s="17" t="str">
        <f t="shared" si="0"/>
        <v>Eonia-Bootstrapindex#0000</v>
      </c>
      <c r="L41" s="21"/>
      <c r="M41" s="20"/>
      <c r="N41" s="17"/>
      <c r="O41" s="22" t="str">
        <f>_xll.qlOISRateHelper(C41,G41,E41,D41,K41)</f>
        <v>obj_00017#0000</v>
      </c>
      <c r="P41" s="23" t="str">
        <f>_xll.ohRangeRetrieveError(O41)</f>
        <v/>
      </c>
      <c r="U41" s="44">
        <v>44356</v>
      </c>
      <c r="V41" s="58">
        <v>4.354780846342967E-3</v>
      </c>
    </row>
    <row r="42" spans="2:22">
      <c r="B42" s="56"/>
      <c r="C42" s="20"/>
      <c r="D42" s="173">
        <v>5.6699999999999997E-3</v>
      </c>
      <c r="E42" s="20" t="s">
        <v>29</v>
      </c>
      <c r="F42" s="20"/>
      <c r="G42" s="20">
        <v>2</v>
      </c>
      <c r="H42" s="20"/>
      <c r="I42" s="20"/>
      <c r="J42" s="20"/>
      <c r="K42" s="17" t="str">
        <f t="shared" si="0"/>
        <v>Eonia-Bootstrapindex#0000</v>
      </c>
      <c r="L42" s="21"/>
      <c r="M42" s="20"/>
      <c r="N42" s="17"/>
      <c r="O42" s="22" t="str">
        <f>_xll.qlOISRateHelper(C42,G42,E42,D42,K42)</f>
        <v>obj_00022#0000</v>
      </c>
      <c r="P42" s="23" t="str">
        <f>_xll.ohRangeRetrieveError(O42)</f>
        <v/>
      </c>
      <c r="S42" s="3" t="b">
        <f>_xll.qlExtrapolatorEnableExtrapolation(S16,TRUE)</f>
        <v>1</v>
      </c>
      <c r="U42" s="44">
        <v>44721</v>
      </c>
      <c r="V42" s="58">
        <v>5.7859297263030364E-3</v>
      </c>
    </row>
    <row r="43" spans="2:22">
      <c r="B43" s="56"/>
      <c r="C43" s="20"/>
      <c r="D43" s="173">
        <v>6.9700000000000005E-3</v>
      </c>
      <c r="E43" s="20" t="s">
        <v>30</v>
      </c>
      <c r="F43" s="20"/>
      <c r="G43" s="20">
        <v>2</v>
      </c>
      <c r="H43" s="20"/>
      <c r="I43" s="20"/>
      <c r="J43" s="20"/>
      <c r="K43" s="17" t="str">
        <f t="shared" si="0"/>
        <v>Eonia-Bootstrapindex#0000</v>
      </c>
      <c r="L43" s="21"/>
      <c r="M43" s="20"/>
      <c r="N43" s="17"/>
      <c r="O43" s="22" t="str">
        <f>_xll.qlOISRateHelper(C43,G43,E43,D43,K43)</f>
        <v>obj_0001e#0000</v>
      </c>
      <c r="P43" s="23" t="str">
        <f>_xll.ohRangeRetrieveError(O43)</f>
        <v/>
      </c>
      <c r="U43" s="44">
        <v>45086</v>
      </c>
      <c r="V43" s="58">
        <v>7.1337337795450567E-3</v>
      </c>
    </row>
    <row r="44" spans="2:22">
      <c r="B44" s="56"/>
      <c r="C44" s="20"/>
      <c r="D44" s="173">
        <v>8.1099999999999992E-3</v>
      </c>
      <c r="E44" s="20" t="s">
        <v>31</v>
      </c>
      <c r="F44" s="20"/>
      <c r="G44" s="20">
        <v>2</v>
      </c>
      <c r="H44" s="20"/>
      <c r="I44" s="20"/>
      <c r="J44" s="20"/>
      <c r="K44" s="17" t="str">
        <f t="shared" si="0"/>
        <v>Eonia-Bootstrapindex#0000</v>
      </c>
      <c r="L44" s="21"/>
      <c r="M44" s="20"/>
      <c r="N44" s="17"/>
      <c r="O44" s="22" t="str">
        <f>_xll.qlOISRateHelper(C44,G44,E44,D44,K44)</f>
        <v>obj_0002b#0000</v>
      </c>
      <c r="P44" s="23" t="str">
        <f>_xll.ohRangeRetrieveError(O44)</f>
        <v/>
      </c>
      <c r="U44" s="44">
        <v>45453</v>
      </c>
      <c r="V44" s="58">
        <v>8.3237566766106962E-3</v>
      </c>
    </row>
    <row r="45" spans="2:22">
      <c r="B45" s="56"/>
      <c r="C45" s="20"/>
      <c r="D45" s="173">
        <v>9.0900000000000009E-3</v>
      </c>
      <c r="E45" s="20" t="s">
        <v>32</v>
      </c>
      <c r="F45" s="20"/>
      <c r="G45" s="20">
        <v>2</v>
      </c>
      <c r="H45" s="20"/>
      <c r="I45" s="20"/>
      <c r="J45" s="20"/>
      <c r="K45" s="17" t="str">
        <f t="shared" si="0"/>
        <v>Eonia-Bootstrapindex#0000</v>
      </c>
      <c r="L45" s="21"/>
      <c r="M45" s="20"/>
      <c r="N45" s="17"/>
      <c r="O45" s="22" t="str">
        <f>_xll.qlOISRateHelper(C45,G45,E45,D45,K45)</f>
        <v>obj_0004b#0000</v>
      </c>
      <c r="P45" s="23" t="str">
        <f>_xll.ohRangeRetrieveError(O45)</f>
        <v/>
      </c>
      <c r="U45" s="44">
        <v>45817</v>
      </c>
      <c r="V45" s="58">
        <v>9.3536567151322348E-3</v>
      </c>
    </row>
    <row r="46" spans="2:22">
      <c r="B46" s="56"/>
      <c r="C46" s="20"/>
      <c r="D46" s="173">
        <v>9.9600000000000001E-3</v>
      </c>
      <c r="E46" s="20" t="s">
        <v>108</v>
      </c>
      <c r="F46" s="20"/>
      <c r="G46" s="20">
        <v>2</v>
      </c>
      <c r="H46" s="20"/>
      <c r="I46" s="20"/>
      <c r="J46" s="20"/>
      <c r="K46" s="17" t="str">
        <f t="shared" si="0"/>
        <v>Eonia-Bootstrapindex#0000</v>
      </c>
      <c r="L46" s="21"/>
      <c r="M46" s="20"/>
      <c r="N46" s="17"/>
      <c r="O46" s="22" t="str">
        <f>_xll.qlOISRateHelper(C46,G46,E46,D46,K46)</f>
        <v>obj_00039#0000</v>
      </c>
      <c r="P46" s="23" t="str">
        <f>_xll.ohRangeRetrieveError(O46)</f>
        <v/>
      </c>
      <c r="Q46" s="7"/>
      <c r="U46" s="44">
        <v>46182</v>
      </c>
      <c r="V46" s="58">
        <v>1.0274181810172929E-2</v>
      </c>
    </row>
    <row r="47" spans="2:22">
      <c r="C47" s="20"/>
      <c r="D47" s="173">
        <v>1.073E-2</v>
      </c>
      <c r="E47" s="20" t="s">
        <v>48</v>
      </c>
      <c r="F47" s="20"/>
      <c r="G47" s="20">
        <v>2</v>
      </c>
      <c r="H47" s="20"/>
      <c r="I47" s="20"/>
      <c r="J47" s="20"/>
      <c r="K47" s="17" t="str">
        <f t="shared" si="0"/>
        <v>Eonia-Bootstrapindex#0000</v>
      </c>
      <c r="L47" s="21"/>
      <c r="M47" s="20"/>
      <c r="N47" s="17"/>
      <c r="O47" s="22" t="str">
        <f>_xll.qlOISRateHelper(C47,G47,E47,D47,K47)</f>
        <v>obj_0001a#0000</v>
      </c>
      <c r="P47" s="23" t="str">
        <f>_xll.ohRangeRetrieveError(O47)</f>
        <v/>
      </c>
      <c r="Q47" s="7"/>
      <c r="U47" s="44">
        <v>46547</v>
      </c>
      <c r="V47" s="58">
        <v>1.109435150486608E-2</v>
      </c>
    </row>
    <row r="48" spans="2:22">
      <c r="C48" s="20"/>
      <c r="D48" s="173">
        <v>1.1339999999999999E-2</v>
      </c>
      <c r="E48" s="20" t="s">
        <v>120</v>
      </c>
      <c r="F48" s="20"/>
      <c r="G48" s="20">
        <v>2</v>
      </c>
      <c r="H48" s="20"/>
      <c r="I48" s="20"/>
      <c r="J48" s="20"/>
      <c r="K48" s="17" t="str">
        <f t="shared" si="0"/>
        <v>Eonia-Bootstrapindex#0000</v>
      </c>
      <c r="L48" s="21"/>
      <c r="M48" s="20"/>
      <c r="N48" s="17"/>
      <c r="O48" s="22" t="str">
        <f>_xll.qlOISRateHelper(C48,G48,E48,D48,K48)</f>
        <v>obj_00052#0000</v>
      </c>
      <c r="P48" s="23" t="str">
        <f>_xll.ohRangeRetrieveError(O48)</f>
        <v/>
      </c>
      <c r="Q48" s="7"/>
      <c r="U48" s="44">
        <v>46913</v>
      </c>
      <c r="V48" s="58">
        <v>1.1745691603889328E-2</v>
      </c>
    </row>
    <row r="49" spans="3:22">
      <c r="C49" s="20"/>
      <c r="D49" s="173">
        <v>1.1909999999999999E-2</v>
      </c>
      <c r="E49" s="20" t="s">
        <v>121</v>
      </c>
      <c r="F49" s="20"/>
      <c r="G49" s="20">
        <v>2</v>
      </c>
      <c r="H49" s="20"/>
      <c r="I49" s="20"/>
      <c r="J49" s="20"/>
      <c r="K49" s="17" t="str">
        <f t="shared" si="0"/>
        <v>Eonia-Bootstrapindex#0000</v>
      </c>
      <c r="L49" s="21"/>
      <c r="M49" s="20"/>
      <c r="N49" s="17"/>
      <c r="O49" s="22" t="str">
        <f>_xll.qlOISRateHelper(C49,G49,E49,D49,K49)</f>
        <v>obj_00020#0000</v>
      </c>
      <c r="P49" s="23" t="str">
        <f>_xll.ohRangeRetrieveError(O49)</f>
        <v/>
      </c>
      <c r="Q49" s="7"/>
      <c r="U49" s="44">
        <v>47280</v>
      </c>
      <c r="V49" s="58">
        <v>1.2358861392734484E-2</v>
      </c>
    </row>
    <row r="50" spans="3:22">
      <c r="C50" s="20"/>
      <c r="D50" s="173">
        <v>1.24E-2</v>
      </c>
      <c r="E50" s="20" t="s">
        <v>33</v>
      </c>
      <c r="F50" s="20"/>
      <c r="G50" s="20">
        <v>2</v>
      </c>
      <c r="H50" s="20"/>
      <c r="I50" s="20"/>
      <c r="J50" s="20"/>
      <c r="K50" s="17" t="str">
        <f t="shared" si="0"/>
        <v>Eonia-Bootstrapindex#0000</v>
      </c>
      <c r="L50" s="21"/>
      <c r="M50" s="20"/>
      <c r="N50" s="17"/>
      <c r="O50" s="22" t="str">
        <f>_xll.qlOISRateHelper(C50,G50,E50,D50,K50)</f>
        <v>obj_00041#0000</v>
      </c>
      <c r="P50" s="23" t="str">
        <f>_xll.ohRangeRetrieveError(O50)</f>
        <v/>
      </c>
      <c r="Q50" s="7"/>
      <c r="U50" s="44">
        <v>47644</v>
      </c>
      <c r="V50" s="58">
        <v>1.2888267015698649E-2</v>
      </c>
    </row>
    <row r="51" spans="3:22">
      <c r="C51" s="20"/>
      <c r="D51" s="173">
        <v>1.3100000000000001E-2</v>
      </c>
      <c r="E51" s="20" t="s">
        <v>123</v>
      </c>
      <c r="F51" s="20"/>
      <c r="G51" s="20">
        <v>2</v>
      </c>
      <c r="H51" s="20"/>
      <c r="I51" s="20"/>
      <c r="J51" s="20"/>
      <c r="K51" s="17" t="str">
        <f t="shared" si="0"/>
        <v>Eonia-Bootstrapindex#0000</v>
      </c>
      <c r="L51" s="21"/>
      <c r="M51" s="20"/>
      <c r="N51" s="17"/>
      <c r="O51" s="22" t="str">
        <f>_xll.qlOISRateHelper(C51,G51,E51,D51,K51)</f>
        <v>obj_0004e#0000</v>
      </c>
      <c r="P51" s="23" t="str">
        <f>_xll.ohRangeRetrieveError(O51)</f>
        <v/>
      </c>
      <c r="U51" s="45">
        <v>48374</v>
      </c>
      <c r="V51" s="59">
        <v>1.3642099761640707E-2</v>
      </c>
    </row>
    <row r="52" spans="3:22">
      <c r="C52" s="20"/>
      <c r="D52" s="173">
        <v>1.3769999999999999E-2</v>
      </c>
      <c r="E52" s="20" t="s">
        <v>34</v>
      </c>
      <c r="F52" s="20"/>
      <c r="G52" s="20">
        <v>2</v>
      </c>
      <c r="H52" s="20"/>
      <c r="I52" s="20"/>
      <c r="J52" s="20"/>
      <c r="K52" s="17" t="str">
        <f t="shared" si="0"/>
        <v>Eonia-Bootstrapindex#0000</v>
      </c>
      <c r="L52" s="21"/>
      <c r="M52" s="20"/>
      <c r="N52" s="17"/>
      <c r="O52" s="22" t="str">
        <f>_xll.qlOISRateHelper(C52,G52,E52,D52,K52)</f>
        <v>obj_0003b#0000</v>
      </c>
      <c r="P52" s="23" t="str">
        <f>_xll.ohRangeRetrieveError(O52)</f>
        <v/>
      </c>
    </row>
    <row r="53" spans="3:22">
      <c r="C53" s="20"/>
      <c r="D53" s="173">
        <v>1.421E-2</v>
      </c>
      <c r="E53" s="20" t="s">
        <v>35</v>
      </c>
      <c r="F53" s="20"/>
      <c r="G53" s="20">
        <v>2</v>
      </c>
      <c r="H53" s="20"/>
      <c r="I53" s="20"/>
      <c r="J53" s="20"/>
      <c r="K53" s="17" t="str">
        <f t="shared" si="0"/>
        <v>Eonia-Bootstrapindex#0000</v>
      </c>
      <c r="L53" s="21"/>
      <c r="M53" s="20"/>
      <c r="N53" s="17"/>
      <c r="O53" s="22" t="str">
        <f>_xll.qlOISRateHelper(C53,G53,E53,D53,K53)</f>
        <v>obj_0001c#0000</v>
      </c>
      <c r="P53" s="23" t="str">
        <f>_xll.ohRangeRetrieveError(O53)</f>
        <v/>
      </c>
      <c r="Q53" s="7"/>
    </row>
    <row r="54" spans="3:22">
      <c r="C54" s="20"/>
      <c r="D54" s="173">
        <v>1.447E-2</v>
      </c>
      <c r="E54" s="20" t="s">
        <v>36</v>
      </c>
      <c r="F54" s="20"/>
      <c r="G54" s="20">
        <v>2</v>
      </c>
      <c r="H54" s="20"/>
      <c r="I54" s="20"/>
      <c r="J54" s="20"/>
      <c r="K54" s="17" t="str">
        <f t="shared" si="0"/>
        <v>Eonia-Bootstrapindex#0000</v>
      </c>
      <c r="L54" s="21"/>
      <c r="M54" s="20"/>
      <c r="N54" s="17"/>
      <c r="O54" s="22" t="str">
        <f>_xll.qlOISRateHelper(C54,G54,E54,D54,K54)</f>
        <v>obj_0004c#0000</v>
      </c>
      <c r="P54" s="23" t="str">
        <f>_xll.ohRangeRetrieveError(O54)</f>
        <v/>
      </c>
      <c r="Q54" s="7"/>
    </row>
    <row r="55" spans="3:22">
      <c r="C55" s="20"/>
      <c r="D55" s="173">
        <v>1.4809999999999999E-2</v>
      </c>
      <c r="E55" s="20" t="s">
        <v>140</v>
      </c>
      <c r="F55" s="20"/>
      <c r="G55" s="20">
        <v>2</v>
      </c>
      <c r="H55" s="20"/>
      <c r="I55" s="20"/>
      <c r="J55" s="20"/>
      <c r="K55" s="17" t="str">
        <f t="shared" si="0"/>
        <v>Eonia-Bootstrapindex#0000</v>
      </c>
      <c r="L55" s="21"/>
      <c r="M55" s="20"/>
      <c r="N55" s="17"/>
      <c r="O55" s="22" t="str">
        <f>_xll.qlOISRateHelper(C55,G55,E55,D55,K55)</f>
        <v>obj_0004a#0000</v>
      </c>
      <c r="P55" s="23" t="str">
        <f>_xll.ohRangeRetrieveError(O55)</f>
        <v/>
      </c>
      <c r="Q55" s="7"/>
    </row>
    <row r="56" spans="3:22">
      <c r="C56" s="25"/>
      <c r="D56" s="174">
        <v>1.451E-2</v>
      </c>
      <c r="E56" s="25" t="s">
        <v>141</v>
      </c>
      <c r="F56" s="25"/>
      <c r="G56" s="25">
        <v>2</v>
      </c>
      <c r="H56" s="25"/>
      <c r="I56" s="25"/>
      <c r="J56" s="25"/>
      <c r="K56" s="26" t="str">
        <f t="shared" si="0"/>
        <v>Eonia-Bootstrapindex#0000</v>
      </c>
      <c r="L56" s="81"/>
      <c r="M56" s="25"/>
      <c r="N56" s="26"/>
      <c r="O56" s="82" t="str">
        <f>_xll.qlOISRateHelper(C56,G56,E56,D56,K56)</f>
        <v>obj_00026#0000</v>
      </c>
      <c r="P56" s="83" t="str">
        <f>_xll.ohRangeRetrieveError(O56)</f>
        <v/>
      </c>
      <c r="Q56" s="7"/>
    </row>
    <row r="57" spans="3:22" ht="15"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3:22" ht="15"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3:22" ht="15"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3:22">
      <c r="C60" s="50" t="s">
        <v>72</v>
      </c>
    </row>
    <row r="61" spans="3:22">
      <c r="F61" s="3">
        <v>100</v>
      </c>
      <c r="G61" s="3">
        <v>100</v>
      </c>
    </row>
    <row r="62" spans="3:22">
      <c r="C62" s="6" t="s">
        <v>2</v>
      </c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</row>
    <row r="63" spans="3:22">
      <c r="C63" s="6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</row>
    <row r="64" spans="3:22">
      <c r="C64" s="8" t="s">
        <v>3</v>
      </c>
      <c r="D64" s="9" t="str">
        <f>_xll.qlEuribor("3M-Euribor-BootstrapIndex","3M")</f>
        <v>3M-Euribor-BootstrapIndex#0000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</row>
    <row r="65" spans="3:22"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</row>
    <row r="66" spans="3:22">
      <c r="C66" s="10" t="s">
        <v>4</v>
      </c>
      <c r="D66" s="10" t="s">
        <v>5</v>
      </c>
      <c r="E66" s="10" t="s">
        <v>6</v>
      </c>
      <c r="F66" s="10" t="s">
        <v>7</v>
      </c>
      <c r="G66" s="10"/>
      <c r="H66" s="10" t="s">
        <v>8</v>
      </c>
      <c r="I66" s="10" t="s">
        <v>9</v>
      </c>
      <c r="J66" s="10" t="s">
        <v>10</v>
      </c>
      <c r="K66" s="10" t="s">
        <v>11</v>
      </c>
      <c r="L66" s="11"/>
      <c r="M66" s="12"/>
      <c r="N66" s="13"/>
      <c r="O66" s="10" t="s">
        <v>12</v>
      </c>
      <c r="P66" s="10" t="s">
        <v>13</v>
      </c>
      <c r="U66" s="41" t="s">
        <v>65</v>
      </c>
      <c r="V66" s="7"/>
    </row>
    <row r="67" spans="3:22">
      <c r="C67" s="14" t="s">
        <v>4</v>
      </c>
      <c r="D67" s="14" t="s">
        <v>5</v>
      </c>
      <c r="E67" s="14" t="s">
        <v>14</v>
      </c>
      <c r="F67" s="14"/>
      <c r="G67" s="14" t="s">
        <v>8</v>
      </c>
      <c r="H67" s="14" t="s">
        <v>15</v>
      </c>
      <c r="I67" s="14" t="s">
        <v>16</v>
      </c>
      <c r="J67" s="14" t="s">
        <v>17</v>
      </c>
      <c r="K67" s="14" t="s">
        <v>18</v>
      </c>
      <c r="L67" s="14" t="s">
        <v>19</v>
      </c>
      <c r="M67" s="14" t="s">
        <v>20</v>
      </c>
      <c r="N67" s="14" t="s">
        <v>21</v>
      </c>
      <c r="O67" s="14" t="s">
        <v>22</v>
      </c>
      <c r="P67" s="14" t="s">
        <v>13</v>
      </c>
      <c r="R67" s="6" t="s">
        <v>49</v>
      </c>
      <c r="S67" s="7"/>
      <c r="U67" s="7"/>
      <c r="V67" s="7"/>
    </row>
    <row r="68" spans="3:22">
      <c r="C68" s="20"/>
      <c r="D68" s="173">
        <v>-1.3000000000000002E-4</v>
      </c>
      <c r="E68" s="20"/>
      <c r="F68" s="21"/>
      <c r="G68" s="20"/>
      <c r="H68" s="20"/>
      <c r="I68" s="20"/>
      <c r="J68" s="20"/>
      <c r="K68" s="17" t="str">
        <f t="shared" ref="K68:K114" si="1">$D$64</f>
        <v>3M-Euribor-BootstrapIndex#0000</v>
      </c>
      <c r="L68" s="21"/>
      <c r="M68" s="20"/>
      <c r="N68" s="17"/>
      <c r="O68" s="18" t="str">
        <f>_xll.qlDepositRateHelper(,D68,K68)</f>
        <v>obj_00046#0000</v>
      </c>
      <c r="P68" s="23" t="str">
        <f>_xll.ohRangeRetrieveError(O68)</f>
        <v/>
      </c>
      <c r="R68" s="7"/>
      <c r="S68" s="7"/>
      <c r="U68" s="42" t="s">
        <v>37</v>
      </c>
      <c r="V68" s="42" t="s">
        <v>66</v>
      </c>
    </row>
    <row r="69" spans="3:22">
      <c r="C69" s="20"/>
      <c r="D69" s="173">
        <v>-6.0000000000000002E-5</v>
      </c>
      <c r="E69" s="20" t="s">
        <v>83</v>
      </c>
      <c r="F69" s="21"/>
      <c r="G69" s="20"/>
      <c r="H69" s="20"/>
      <c r="I69" s="20"/>
      <c r="J69" s="20"/>
      <c r="K69" s="17" t="str">
        <f t="shared" si="1"/>
        <v>3M-Euribor-BootstrapIndex#0000</v>
      </c>
      <c r="L69" s="21"/>
      <c r="M69" s="20"/>
      <c r="N69" s="17"/>
      <c r="O69" s="22" t="str">
        <f>_xll.qlFraRateHelper(,D69,E69,K69)</f>
        <v>obj_00042#0000</v>
      </c>
      <c r="P69" s="23" t="str">
        <f>_xll.ohRangeRetrieveError(O69)</f>
        <v/>
      </c>
      <c r="R69" s="29" t="s">
        <v>50</v>
      </c>
      <c r="S69" s="30" t="str">
        <f>_xll.qlPiecewiseYieldCurve(S71,S72,S73,_xll.ohPack(O69:O114),S75,S76,S77,S78,S79,S80,S81,S82,S83)</f>
        <v>3M-EUR-Swap-Curve#0000</v>
      </c>
      <c r="U69" s="43">
        <f t="array" ref="U69:U98">_xll.qlPiecewiseYieldCurveDates(S69,S69)</f>
        <v>42160</v>
      </c>
      <c r="V69" s="51">
        <f t="array" ref="V69:V98">_xll.qlPiecewiseYieldCurveData(S69,S69)</f>
        <v>-6.0833799728804147E-5</v>
      </c>
    </row>
    <row r="70" spans="3:22">
      <c r="C70" s="20"/>
      <c r="D70" s="173">
        <v>-1.0000000000000009E-5</v>
      </c>
      <c r="E70" s="20" t="s">
        <v>84</v>
      </c>
      <c r="F70" s="21"/>
      <c r="G70" s="20"/>
      <c r="H70" s="20"/>
      <c r="I70" s="20"/>
      <c r="J70" s="20"/>
      <c r="K70" s="17" t="str">
        <f t="shared" si="1"/>
        <v>3M-Euribor-BootstrapIndex#0000</v>
      </c>
      <c r="L70" s="21"/>
      <c r="M70" s="20"/>
      <c r="N70" s="17"/>
      <c r="O70" s="22" t="str">
        <f>_xll.qlFraRateHelper(,D70,E70,K70)</f>
        <v>obj_0002a#0000</v>
      </c>
      <c r="P70" s="23" t="str">
        <f>_xll.ohRangeRetrieveError(O70)</f>
        <v/>
      </c>
      <c r="R70" s="31" t="s">
        <v>13</v>
      </c>
      <c r="S70" s="28" t="str">
        <f>_xll.ohRangeRetrieveError(S69)</f>
        <v/>
      </c>
      <c r="U70" s="44">
        <v>42286</v>
      </c>
      <c r="V70" s="52">
        <v>-6.0833799728804147E-5</v>
      </c>
    </row>
    <row r="71" spans="3:22">
      <c r="C71" s="20"/>
      <c r="D71" s="173">
        <v>0</v>
      </c>
      <c r="E71" s="20" t="s">
        <v>81</v>
      </c>
      <c r="F71" s="21"/>
      <c r="G71" s="20"/>
      <c r="H71" s="20"/>
      <c r="I71" s="20"/>
      <c r="J71" s="20"/>
      <c r="K71" s="17" t="str">
        <f t="shared" si="1"/>
        <v>3M-Euribor-BootstrapIndex#0000</v>
      </c>
      <c r="L71" s="21"/>
      <c r="M71" s="20"/>
      <c r="N71" s="17"/>
      <c r="O71" s="22" t="str">
        <f>_xll.qlFraRateHelper(,D71,E71,K71)</f>
        <v>obj_00016#0000</v>
      </c>
      <c r="P71" s="24" t="str">
        <f>_xll.ohRangeRetrieveError(O71)</f>
        <v/>
      </c>
      <c r="R71" s="32" t="s">
        <v>4</v>
      </c>
      <c r="S71" s="33" t="s">
        <v>73</v>
      </c>
      <c r="U71" s="44">
        <v>42318</v>
      </c>
      <c r="V71" s="52">
        <v>-3.1315251593771581E-5</v>
      </c>
    </row>
    <row r="72" spans="3:22">
      <c r="C72" s="20"/>
      <c r="D72" s="173">
        <v>5.0000000000000002E-5</v>
      </c>
      <c r="E72" s="20" t="s">
        <v>85</v>
      </c>
      <c r="F72" s="21"/>
      <c r="G72" s="20"/>
      <c r="H72" s="20"/>
      <c r="I72" s="20"/>
      <c r="J72" s="20"/>
      <c r="K72" s="17" t="str">
        <f t="shared" si="1"/>
        <v>3M-Euribor-BootstrapIndex#0000</v>
      </c>
      <c r="L72" s="21"/>
      <c r="M72" s="20"/>
      <c r="N72" s="17"/>
      <c r="O72" s="22" t="str">
        <f>_xll.qlFraRateHelper(,D72,E72,K72)</f>
        <v>obj_0003c#0000</v>
      </c>
      <c r="P72" s="23" t="str">
        <f>_xll.ohRangeRetrieveError(O72)</f>
        <v/>
      </c>
      <c r="R72" s="34" t="s">
        <v>52</v>
      </c>
      <c r="S72" s="35">
        <v>0</v>
      </c>
      <c r="U72" s="44">
        <v>42347</v>
      </c>
      <c r="V72" s="52">
        <v>-3.123018595724444E-5</v>
      </c>
    </row>
    <row r="73" spans="3:22">
      <c r="C73" s="20"/>
      <c r="D73" s="173">
        <v>9.0000000000000006E-5</v>
      </c>
      <c r="E73" s="20" t="s">
        <v>86</v>
      </c>
      <c r="F73" s="21"/>
      <c r="G73" s="20"/>
      <c r="H73" s="20"/>
      <c r="I73" s="20"/>
      <c r="J73" s="20"/>
      <c r="K73" s="17" t="str">
        <f t="shared" si="1"/>
        <v>3M-Euribor-BootstrapIndex#0000</v>
      </c>
      <c r="L73" s="21"/>
      <c r="M73" s="20"/>
      <c r="N73" s="17"/>
      <c r="O73" s="22" t="str">
        <f>_xll.qlFraRateHelper(,D73,E73,K73)</f>
        <v>obj_00027#0000</v>
      </c>
      <c r="P73" s="23" t="str">
        <f>_xll.ohRangeRetrieveError(O73)</f>
        <v/>
      </c>
      <c r="R73" s="34" t="s">
        <v>8</v>
      </c>
      <c r="S73" s="36" t="s">
        <v>39</v>
      </c>
      <c r="U73" s="44">
        <v>42380</v>
      </c>
      <c r="V73" s="52">
        <v>-1.3180964065507847E-5</v>
      </c>
    </row>
    <row r="74" spans="3:22">
      <c r="C74" s="20"/>
      <c r="D74" s="173">
        <v>1.4000000000000001E-4</v>
      </c>
      <c r="E74" s="20" t="s">
        <v>82</v>
      </c>
      <c r="F74" s="21"/>
      <c r="G74" s="20"/>
      <c r="H74" s="20"/>
      <c r="I74" s="20"/>
      <c r="J74" s="20"/>
      <c r="K74" s="17" t="str">
        <f t="shared" si="1"/>
        <v>3M-Euribor-BootstrapIndex#0000</v>
      </c>
      <c r="L74" s="21"/>
      <c r="M74" s="20"/>
      <c r="N74" s="17"/>
      <c r="O74" s="22" t="str">
        <f>_xll.qlFraRateHelper(,D74,E74,K74)</f>
        <v>obj_0004f#0000</v>
      </c>
      <c r="P74" s="23" t="str">
        <f>_xll.ohRangeRetrieveError(O74)</f>
        <v/>
      </c>
      <c r="R74" s="34" t="s">
        <v>2</v>
      </c>
      <c r="S74" s="37"/>
      <c r="U74" s="44">
        <v>42409</v>
      </c>
      <c r="V74" s="52">
        <v>1.3387885871282708E-5</v>
      </c>
    </row>
    <row r="75" spans="3:22">
      <c r="C75" s="20"/>
      <c r="D75" s="173">
        <v>1.7000000000000001E-4</v>
      </c>
      <c r="E75" s="20" t="s">
        <v>87</v>
      </c>
      <c r="F75" s="21"/>
      <c r="G75" s="20"/>
      <c r="H75" s="20"/>
      <c r="I75" s="20"/>
      <c r="J75" s="20"/>
      <c r="K75" s="17" t="str">
        <f t="shared" si="1"/>
        <v>3M-Euribor-BootstrapIndex#0000</v>
      </c>
      <c r="L75" s="21"/>
      <c r="M75" s="20"/>
      <c r="N75" s="17"/>
      <c r="O75" s="22" t="str">
        <f>_xll.qlFraRateHelper(,D75,E75,K75)</f>
        <v>obj_0003e#0000</v>
      </c>
      <c r="P75" s="23" t="str">
        <f>_xll.ohRangeRetrieveError(O75)</f>
        <v/>
      </c>
      <c r="R75" s="34" t="s">
        <v>53</v>
      </c>
      <c r="S75" s="36" t="s">
        <v>54</v>
      </c>
      <c r="U75" s="44">
        <v>42438</v>
      </c>
      <c r="V75" s="52">
        <v>2.5455651502489591E-5</v>
      </c>
    </row>
    <row r="76" spans="3:22">
      <c r="C76" s="20"/>
      <c r="D76" s="173">
        <v>2.1999999999999998E-4</v>
      </c>
      <c r="E76" s="20" t="s">
        <v>88</v>
      </c>
      <c r="F76" s="21"/>
      <c r="G76" s="20"/>
      <c r="H76" s="20"/>
      <c r="I76" s="20"/>
      <c r="J76" s="20"/>
      <c r="K76" s="17" t="str">
        <f t="shared" si="1"/>
        <v>3M-Euribor-BootstrapIndex#0000</v>
      </c>
      <c r="L76" s="21"/>
      <c r="M76" s="20"/>
      <c r="N76" s="17"/>
      <c r="O76" s="22" t="str">
        <f>_xll.qlFraRateHelper(,D76,E76,K76)</f>
        <v>obj_00035#0000</v>
      </c>
      <c r="P76" s="23" t="str">
        <f>_xll.ohRangeRetrieveError(O76)</f>
        <v/>
      </c>
      <c r="R76" s="34" t="s">
        <v>55</v>
      </c>
      <c r="S76" s="35"/>
      <c r="U76" s="44">
        <v>42471</v>
      </c>
      <c r="V76" s="52">
        <v>4.1108398539269329E-5</v>
      </c>
    </row>
    <row r="77" spans="3:22">
      <c r="C77" s="20"/>
      <c r="D77" s="173">
        <v>3.2000000000000003E-4</v>
      </c>
      <c r="E77" s="20" t="s">
        <v>115</v>
      </c>
      <c r="F77" s="21"/>
      <c r="G77" s="20"/>
      <c r="H77" s="20"/>
      <c r="I77" s="20"/>
      <c r="J77" s="20"/>
      <c r="K77" s="17" t="str">
        <f t="shared" si="1"/>
        <v>3M-Euribor-BootstrapIndex#0000</v>
      </c>
      <c r="L77" s="21"/>
      <c r="M77" s="20"/>
      <c r="N77" s="17"/>
      <c r="O77" s="22" t="str">
        <f>_xll.qlFraRateHelper(,D77,E77,K77)</f>
        <v>obj_00031#0000</v>
      </c>
      <c r="P77" s="23" t="str">
        <f>_xll.ohRangeRetrieveError(O77)</f>
        <v/>
      </c>
      <c r="R77" s="34" t="s">
        <v>56</v>
      </c>
      <c r="S77" s="35"/>
      <c r="U77" s="44">
        <v>42499</v>
      </c>
      <c r="V77" s="52">
        <v>6.905024053008913E-5</v>
      </c>
    </row>
    <row r="78" spans="3:22">
      <c r="C78" s="20"/>
      <c r="D78" s="173">
        <v>3.7999999999999997E-4</v>
      </c>
      <c r="E78" s="20" t="s">
        <v>116</v>
      </c>
      <c r="F78" s="21"/>
      <c r="G78" s="20"/>
      <c r="H78" s="20"/>
      <c r="I78" s="20"/>
      <c r="J78" s="20"/>
      <c r="K78" s="17" t="str">
        <f t="shared" si="1"/>
        <v>3M-Euribor-BootstrapIndex#0000</v>
      </c>
      <c r="L78" s="21"/>
      <c r="M78" s="20"/>
      <c r="N78" s="17"/>
      <c r="O78" s="22" t="str">
        <f>_xll.qlFraRateHelper(,D78,E78,K78)</f>
        <v>obj_0002d#0000</v>
      </c>
      <c r="P78" s="23" t="str">
        <f>_xll.ohRangeRetrieveError(O78)</f>
        <v/>
      </c>
      <c r="R78" s="34" t="s">
        <v>57</v>
      </c>
      <c r="S78" s="35"/>
      <c r="U78" s="44">
        <v>42530</v>
      </c>
      <c r="V78" s="52">
        <v>5.8525967477894252E-5</v>
      </c>
    </row>
    <row r="79" spans="3:22">
      <c r="C79" s="20"/>
      <c r="D79" s="173">
        <v>6.0000000000000002E-5</v>
      </c>
      <c r="E79" s="20" t="s">
        <v>89</v>
      </c>
      <c r="F79" s="21">
        <v>2</v>
      </c>
      <c r="G79" s="20" t="s">
        <v>42</v>
      </c>
      <c r="H79" s="20" t="s">
        <v>43</v>
      </c>
      <c r="I79" s="20" t="s">
        <v>40</v>
      </c>
      <c r="J79" s="20" t="s">
        <v>44</v>
      </c>
      <c r="K79" s="17" t="str">
        <f t="shared" si="1"/>
        <v>3M-Euribor-BootstrapIndex#0000</v>
      </c>
      <c r="L79" s="21">
        <v>0</v>
      </c>
      <c r="M79" s="20" t="s">
        <v>45</v>
      </c>
      <c r="N79" s="17" t="str">
        <f t="shared" ref="N79:N114" si="2">$S$16</f>
        <v>EONIA-Curve#0000</v>
      </c>
      <c r="O79" s="22" t="str">
        <f>_xll.qlSwapRateHelper2(,D79,F79,E79,G79,H79,I79,J79,K79,L79,M79,N79)</f>
        <v>obj_0007e#0000</v>
      </c>
      <c r="P79" s="24" t="str">
        <f>_xll.ohRangeRetrieveError(O79)</f>
        <v/>
      </c>
      <c r="R79" s="38" t="s">
        <v>59</v>
      </c>
      <c r="S79" s="36" t="s">
        <v>60</v>
      </c>
      <c r="U79" s="44">
        <v>42562</v>
      </c>
      <c r="V79" s="52">
        <v>1.0524368744324397E-4</v>
      </c>
    </row>
    <row r="80" spans="3:22">
      <c r="C80" s="20"/>
      <c r="D80" s="173">
        <v>1.4000000000000001E-4</v>
      </c>
      <c r="E80" s="20" t="s">
        <v>117</v>
      </c>
      <c r="F80" s="21">
        <v>2</v>
      </c>
      <c r="G80" s="20" t="s">
        <v>42</v>
      </c>
      <c r="H80" s="20" t="s">
        <v>43</v>
      </c>
      <c r="I80" s="20" t="s">
        <v>40</v>
      </c>
      <c r="J80" s="20" t="s">
        <v>44</v>
      </c>
      <c r="K80" s="17" t="str">
        <f t="shared" si="1"/>
        <v>3M-Euribor-BootstrapIndex#0000</v>
      </c>
      <c r="L80" s="21">
        <v>0</v>
      </c>
      <c r="M80" s="20" t="s">
        <v>45</v>
      </c>
      <c r="N80" s="17" t="str">
        <f t="shared" si="2"/>
        <v>EONIA-Curve#0000</v>
      </c>
      <c r="O80" s="22" t="str">
        <f>_xll.qlSwapRateHelper2(,D80,F80,E80,G80,H80,I80,J80,K80,L80,M80,N80)</f>
        <v>obj_0006c#0000</v>
      </c>
      <c r="P80" s="23" t="str">
        <f>_xll.ohRangeRetrieveError(O80)</f>
        <v/>
      </c>
      <c r="R80" s="38" t="s">
        <v>62</v>
      </c>
      <c r="S80" s="36" t="s">
        <v>63</v>
      </c>
      <c r="U80" s="44">
        <v>42591</v>
      </c>
      <c r="V80" s="52">
        <v>1.365472531972858E-4</v>
      </c>
    </row>
    <row r="81" spans="3:22">
      <c r="C81" s="20"/>
      <c r="D81" s="173">
        <v>2.4000000000000001E-4</v>
      </c>
      <c r="E81" s="20" t="s">
        <v>118</v>
      </c>
      <c r="F81" s="21">
        <v>2</v>
      </c>
      <c r="G81" s="20" t="s">
        <v>42</v>
      </c>
      <c r="H81" s="20" t="s">
        <v>43</v>
      </c>
      <c r="I81" s="20" t="s">
        <v>40</v>
      </c>
      <c r="J81" s="20" t="s">
        <v>44</v>
      </c>
      <c r="K81" s="17" t="str">
        <f t="shared" si="1"/>
        <v>3M-Euribor-BootstrapIndex#0000</v>
      </c>
      <c r="L81" s="21">
        <v>0</v>
      </c>
      <c r="M81" s="20" t="s">
        <v>45</v>
      </c>
      <c r="N81" s="17" t="str">
        <f t="shared" si="2"/>
        <v>EONIA-Curve#0000</v>
      </c>
      <c r="O81" s="22" t="str">
        <f>_xll.qlSwapRateHelper2(,D81,F81,E81,G81,H81,I81,J81,K81,L81,M81,N81)</f>
        <v>obj_0007f#0000</v>
      </c>
      <c r="P81" s="23" t="str">
        <f>_xll.ohRangeRetrieveError(O81)</f>
        <v/>
      </c>
      <c r="R81" s="34" t="s">
        <v>58</v>
      </c>
      <c r="S81" s="35"/>
      <c r="U81" s="44">
        <v>42622</v>
      </c>
      <c r="V81" s="52">
        <v>1.3770086831881221E-4</v>
      </c>
    </row>
    <row r="82" spans="3:22">
      <c r="C82" s="20"/>
      <c r="D82" s="173">
        <v>3.6999999999999999E-4</v>
      </c>
      <c r="E82" s="20" t="s">
        <v>119</v>
      </c>
      <c r="F82" s="21">
        <v>2</v>
      </c>
      <c r="G82" s="20" t="s">
        <v>42</v>
      </c>
      <c r="H82" s="20" t="s">
        <v>43</v>
      </c>
      <c r="I82" s="20" t="s">
        <v>40</v>
      </c>
      <c r="J82" s="20" t="s">
        <v>44</v>
      </c>
      <c r="K82" s="17" t="str">
        <f t="shared" si="1"/>
        <v>3M-Euribor-BootstrapIndex#0000</v>
      </c>
      <c r="L82" s="21">
        <v>0</v>
      </c>
      <c r="M82" s="20" t="s">
        <v>45</v>
      </c>
      <c r="N82" s="17" t="str">
        <f t="shared" si="2"/>
        <v>EONIA-Curve#0000</v>
      </c>
      <c r="O82" s="22" t="str">
        <f>_xll.qlSwapRateHelper2(,D82,F82,E82,G82,H82,I82,J82,K82,L82,M82,N82)</f>
        <v>obj_0006d#0000</v>
      </c>
      <c r="P82" s="23" t="str">
        <f>_xll.ohRangeRetrieveError(O82)</f>
        <v/>
      </c>
      <c r="R82" s="34" t="s">
        <v>61</v>
      </c>
      <c r="S82" s="35"/>
      <c r="U82" s="44">
        <v>42713</v>
      </c>
      <c r="V82" s="52">
        <v>2.3710380214066396E-4</v>
      </c>
    </row>
    <row r="83" spans="3:22">
      <c r="C83" s="20"/>
      <c r="D83" s="173">
        <v>5.5000000000000003E-4</v>
      </c>
      <c r="E83" s="20" t="s">
        <v>90</v>
      </c>
      <c r="F83" s="21">
        <v>2</v>
      </c>
      <c r="G83" s="20" t="s">
        <v>42</v>
      </c>
      <c r="H83" s="20" t="s">
        <v>43</v>
      </c>
      <c r="I83" s="20" t="s">
        <v>40</v>
      </c>
      <c r="J83" s="20" t="s">
        <v>44</v>
      </c>
      <c r="K83" s="17" t="str">
        <f t="shared" si="1"/>
        <v>3M-Euribor-BootstrapIndex#0000</v>
      </c>
      <c r="L83" s="21">
        <v>0</v>
      </c>
      <c r="M83" s="20" t="s">
        <v>45</v>
      </c>
      <c r="N83" s="17" t="str">
        <f t="shared" si="2"/>
        <v>EONIA-Curve#0000</v>
      </c>
      <c r="O83" s="22" t="str">
        <f>_xll.qlSwapRateHelper2(,D83,F83,E83,G83,H83,I83,J83,K83,L83,M83,N83)</f>
        <v>obj_00080#0000</v>
      </c>
      <c r="P83" s="23" t="str">
        <f>_xll.ohRangeRetrieveError(O83)</f>
        <v/>
      </c>
      <c r="R83" s="39" t="s">
        <v>64</v>
      </c>
      <c r="S83" s="40"/>
      <c r="U83" s="44">
        <v>42803</v>
      </c>
      <c r="V83" s="52">
        <v>3.670551820010242E-4</v>
      </c>
    </row>
    <row r="84" spans="3:22">
      <c r="C84" s="20"/>
      <c r="D84" s="173">
        <v>1.4900000000000002E-3</v>
      </c>
      <c r="E84" s="20" t="s">
        <v>91</v>
      </c>
      <c r="F84" s="21">
        <v>2</v>
      </c>
      <c r="G84" s="20" t="s">
        <v>42</v>
      </c>
      <c r="H84" s="20" t="s">
        <v>43</v>
      </c>
      <c r="I84" s="20" t="s">
        <v>40</v>
      </c>
      <c r="J84" s="20" t="s">
        <v>44</v>
      </c>
      <c r="K84" s="17" t="str">
        <f t="shared" si="1"/>
        <v>3M-Euribor-BootstrapIndex#0000</v>
      </c>
      <c r="L84" s="21">
        <v>0</v>
      </c>
      <c r="M84" s="20" t="s">
        <v>45</v>
      </c>
      <c r="N84" s="17" t="str">
        <f t="shared" si="2"/>
        <v>EONIA-Curve#0000</v>
      </c>
      <c r="O84" s="22" t="str">
        <f>_xll.qlSwapRateHelper2(,D84,F84,E84,G84,H84,I84,J84,K84,L84,M84,N84)</f>
        <v>obj_0006e#0000</v>
      </c>
      <c r="P84" s="23" t="str">
        <f>_xll.ohRangeRetrieveError(O84)</f>
        <v/>
      </c>
      <c r="U84" s="44">
        <v>42895</v>
      </c>
      <c r="V84" s="52">
        <v>5.4574009879735774E-4</v>
      </c>
    </row>
    <row r="85" spans="3:22">
      <c r="C85" s="20"/>
      <c r="D85" s="173">
        <v>2.7900000000000004E-3</v>
      </c>
      <c r="E85" s="20" t="s">
        <v>92</v>
      </c>
      <c r="F85" s="21">
        <v>2</v>
      </c>
      <c r="G85" s="20" t="s">
        <v>42</v>
      </c>
      <c r="H85" s="20" t="s">
        <v>43</v>
      </c>
      <c r="I85" s="20" t="s">
        <v>40</v>
      </c>
      <c r="J85" s="20" t="s">
        <v>44</v>
      </c>
      <c r="K85" s="17" t="str">
        <f t="shared" si="1"/>
        <v>3M-Euribor-BootstrapIndex#0000</v>
      </c>
      <c r="L85" s="21">
        <v>0</v>
      </c>
      <c r="M85" s="20" t="s">
        <v>45</v>
      </c>
      <c r="N85" s="17" t="str">
        <f t="shared" si="2"/>
        <v>EONIA-Curve#0000</v>
      </c>
      <c r="O85" s="22" t="str">
        <f>_xll.qlSwapRateHelper2(,D85,F85,E85,G85,H85,I85,J85,K85,L85,M85,N85)</f>
        <v>obj_00081#0000</v>
      </c>
      <c r="P85" s="23" t="str">
        <f>_xll.ohRangeRetrieveError(O85)</f>
        <v/>
      </c>
      <c r="U85" s="44">
        <v>43262</v>
      </c>
      <c r="V85" s="52">
        <v>1.4826262625312304E-3</v>
      </c>
    </row>
    <row r="86" spans="3:22">
      <c r="C86" s="20"/>
      <c r="D86" s="173">
        <v>4.3100000000000005E-3</v>
      </c>
      <c r="E86" s="20" t="s">
        <v>93</v>
      </c>
      <c r="F86" s="21">
        <v>2</v>
      </c>
      <c r="G86" s="20" t="s">
        <v>42</v>
      </c>
      <c r="H86" s="20" t="s">
        <v>43</v>
      </c>
      <c r="I86" s="20" t="s">
        <v>40</v>
      </c>
      <c r="J86" s="20" t="s">
        <v>44</v>
      </c>
      <c r="K86" s="17" t="str">
        <f t="shared" si="1"/>
        <v>3M-Euribor-BootstrapIndex#0000</v>
      </c>
      <c r="L86" s="21">
        <v>0</v>
      </c>
      <c r="M86" s="20" t="s">
        <v>45</v>
      </c>
      <c r="N86" s="17" t="str">
        <f t="shared" si="2"/>
        <v>EONIA-Curve#0000</v>
      </c>
      <c r="O86" s="22" t="str">
        <f>_xll.qlSwapRateHelper2(,D86,F86,E86,G86,H86,I86,J86,K86,L86,M86,N86)</f>
        <v>obj_0006f#0000</v>
      </c>
      <c r="P86" s="23" t="str">
        <f>_xll.ohRangeRetrieveError(O86)</f>
        <v/>
      </c>
      <c r="Q86" s="7"/>
      <c r="R86" s="29" t="s">
        <v>67</v>
      </c>
      <c r="S86" s="30" t="str">
        <f>_xll.qlEuribor(S88,S89,S90)</f>
        <v>3M-Euribor#0000</v>
      </c>
      <c r="U86" s="44">
        <v>43626</v>
      </c>
      <c r="V86" s="52">
        <v>2.781430573701023E-3</v>
      </c>
    </row>
    <row r="87" spans="3:22">
      <c r="C87" s="20"/>
      <c r="D87" s="173">
        <v>5.79E-3</v>
      </c>
      <c r="E87" s="20" t="s">
        <v>94</v>
      </c>
      <c r="F87" s="21">
        <v>2</v>
      </c>
      <c r="G87" s="20" t="s">
        <v>42</v>
      </c>
      <c r="H87" s="20" t="s">
        <v>43</v>
      </c>
      <c r="I87" s="20" t="s">
        <v>40</v>
      </c>
      <c r="J87" s="20" t="s">
        <v>44</v>
      </c>
      <c r="K87" s="17" t="str">
        <f t="shared" si="1"/>
        <v>3M-Euribor-BootstrapIndex#0000</v>
      </c>
      <c r="L87" s="21">
        <v>0</v>
      </c>
      <c r="M87" s="20" t="s">
        <v>45</v>
      </c>
      <c r="N87" s="17" t="str">
        <f t="shared" si="2"/>
        <v>EONIA-Curve#0000</v>
      </c>
      <c r="O87" s="22" t="str">
        <f>_xll.qlSwapRateHelper2(,D87,F87,E87,G87,H87,I87,J87,K87,L87,M87,N87)</f>
        <v>obj_00082#0000</v>
      </c>
      <c r="P87" s="23" t="str">
        <f>_xll.ohRangeRetrieveError(O87)</f>
        <v/>
      </c>
      <c r="Q87" s="7"/>
      <c r="R87" s="31" t="s">
        <v>13</v>
      </c>
      <c r="S87" s="28" t="str">
        <f>_xll.ohRangeRetrieveError(S86)</f>
        <v/>
      </c>
      <c r="U87" s="44">
        <v>43991</v>
      </c>
      <c r="V87" s="52">
        <v>4.3035337589390895E-3</v>
      </c>
    </row>
    <row r="88" spans="3:22">
      <c r="C88" s="20"/>
      <c r="D88" s="173">
        <v>7.1900000000000011E-3</v>
      </c>
      <c r="E88" s="20" t="s">
        <v>95</v>
      </c>
      <c r="F88" s="21">
        <v>2</v>
      </c>
      <c r="G88" s="20" t="s">
        <v>42</v>
      </c>
      <c r="H88" s="20" t="s">
        <v>43</v>
      </c>
      <c r="I88" s="20" t="s">
        <v>40</v>
      </c>
      <c r="J88" s="20" t="s">
        <v>44</v>
      </c>
      <c r="K88" s="17" t="str">
        <f t="shared" si="1"/>
        <v>3M-Euribor-BootstrapIndex#0000</v>
      </c>
      <c r="L88" s="21">
        <v>0</v>
      </c>
      <c r="M88" s="20" t="s">
        <v>45</v>
      </c>
      <c r="N88" s="17" t="str">
        <f t="shared" si="2"/>
        <v>EONIA-Curve#0000</v>
      </c>
      <c r="O88" s="22" t="str">
        <f>_xll.qlSwapRateHelper2(,D88,F88,E88,G88,H88,I88,J88,K88,L88,M88,N88)</f>
        <v>obj_00070#0000</v>
      </c>
      <c r="P88" s="23" t="str">
        <f>_xll.ohRangeRetrieveError(O88)</f>
        <v/>
      </c>
      <c r="Q88" s="7"/>
      <c r="R88" s="46" t="s">
        <v>4</v>
      </c>
      <c r="S88" s="33" t="s">
        <v>74</v>
      </c>
      <c r="U88" s="44">
        <v>44356</v>
      </c>
      <c r="V88" s="52">
        <v>5.7953329614381169E-3</v>
      </c>
    </row>
    <row r="89" spans="3:22">
      <c r="C89" s="20"/>
      <c r="D89" s="173">
        <v>8.5000000000000006E-3</v>
      </c>
      <c r="E89" s="20" t="s">
        <v>96</v>
      </c>
      <c r="F89" s="21">
        <v>2</v>
      </c>
      <c r="G89" s="20" t="s">
        <v>42</v>
      </c>
      <c r="H89" s="20" t="s">
        <v>43</v>
      </c>
      <c r="I89" s="20" t="s">
        <v>40</v>
      </c>
      <c r="J89" s="20" t="s">
        <v>44</v>
      </c>
      <c r="K89" s="17" t="str">
        <f t="shared" si="1"/>
        <v>3M-Euribor-BootstrapIndex#0000</v>
      </c>
      <c r="L89" s="21">
        <v>0</v>
      </c>
      <c r="M89" s="20" t="s">
        <v>45</v>
      </c>
      <c r="N89" s="17" t="str">
        <f t="shared" si="2"/>
        <v>EONIA-Curve#0000</v>
      </c>
      <c r="O89" s="22" t="str">
        <f>_xll.qlSwapRateHelper2(,D89,F89,E89,G89,H89,I89,J89,K89,L89,M89,N89)</f>
        <v>obj_00083#0000</v>
      </c>
      <c r="P89" s="23" t="str">
        <f>_xll.ohRangeRetrieveError(O89)</f>
        <v/>
      </c>
      <c r="Q89" s="7"/>
      <c r="R89" s="47" t="s">
        <v>14</v>
      </c>
      <c r="S89" s="35" t="s">
        <v>46</v>
      </c>
      <c r="U89" s="44">
        <v>44721</v>
      </c>
      <c r="V89" s="52">
        <v>7.2153766883246168E-3</v>
      </c>
    </row>
    <row r="90" spans="3:22">
      <c r="C90" s="20"/>
      <c r="D90" s="173">
        <v>9.6600000000000002E-3</v>
      </c>
      <c r="E90" s="20" t="s">
        <v>97</v>
      </c>
      <c r="F90" s="21">
        <v>2</v>
      </c>
      <c r="G90" s="20" t="s">
        <v>42</v>
      </c>
      <c r="H90" s="20" t="s">
        <v>43</v>
      </c>
      <c r="I90" s="20" t="s">
        <v>40</v>
      </c>
      <c r="J90" s="20" t="s">
        <v>44</v>
      </c>
      <c r="K90" s="17" t="str">
        <f t="shared" si="1"/>
        <v>3M-Euribor-BootstrapIndex#0000</v>
      </c>
      <c r="L90" s="21">
        <v>0</v>
      </c>
      <c r="M90" s="20" t="s">
        <v>45</v>
      </c>
      <c r="N90" s="17" t="str">
        <f t="shared" si="2"/>
        <v>EONIA-Curve#0000</v>
      </c>
      <c r="O90" s="22" t="str">
        <f>_xll.qlSwapRateHelper2(,D90,F90,E90,G90,H90,I90,J90,K90,L90,M90,N90)</f>
        <v>obj_00071#0000</v>
      </c>
      <c r="P90" s="23" t="str">
        <f>_xll.ohRangeRetrieveError(O90)</f>
        <v/>
      </c>
      <c r="Q90" s="7"/>
      <c r="R90" s="47" t="s">
        <v>69</v>
      </c>
      <c r="S90" s="48" t="str">
        <f>S69</f>
        <v>3M-EUR-Swap-Curve#0000</v>
      </c>
      <c r="U90" s="44">
        <v>45086</v>
      </c>
      <c r="V90" s="52">
        <v>8.5535126263277077E-3</v>
      </c>
    </row>
    <row r="91" spans="3:22">
      <c r="C91" s="20"/>
      <c r="D91" s="173">
        <v>1.064E-2</v>
      </c>
      <c r="E91" s="20" t="s">
        <v>98</v>
      </c>
      <c r="F91" s="21">
        <v>2</v>
      </c>
      <c r="G91" s="20" t="s">
        <v>42</v>
      </c>
      <c r="H91" s="20" t="s">
        <v>43</v>
      </c>
      <c r="I91" s="20" t="s">
        <v>40</v>
      </c>
      <c r="J91" s="20" t="s">
        <v>44</v>
      </c>
      <c r="K91" s="17" t="str">
        <f t="shared" si="1"/>
        <v>3M-Euribor-BootstrapIndex#0000</v>
      </c>
      <c r="L91" s="21">
        <v>0</v>
      </c>
      <c r="M91" s="20" t="s">
        <v>45</v>
      </c>
      <c r="N91" s="17" t="str">
        <f t="shared" si="2"/>
        <v>EONIA-Curve#0000</v>
      </c>
      <c r="O91" s="22" t="str">
        <f>_xll.qlSwapRateHelper2(,D91,F91,E91,G91,H91,I91,J91,K91,L91,M91,N91)</f>
        <v>obj_00084#0000</v>
      </c>
      <c r="P91" s="23" t="str">
        <f>_xll.ohRangeRetrieveError(O91)</f>
        <v/>
      </c>
      <c r="Q91" s="7"/>
      <c r="R91" s="47" t="s">
        <v>58</v>
      </c>
      <c r="S91" s="35"/>
      <c r="U91" s="44">
        <v>45453</v>
      </c>
      <c r="V91" s="52">
        <v>9.7439188659233216E-3</v>
      </c>
    </row>
    <row r="92" spans="3:22">
      <c r="C92" s="20"/>
      <c r="D92" s="173">
        <v>1.15E-2</v>
      </c>
      <c r="E92" s="20" t="s">
        <v>100</v>
      </c>
      <c r="F92" s="21">
        <v>2</v>
      </c>
      <c r="G92" s="20" t="s">
        <v>42</v>
      </c>
      <c r="H92" s="20" t="s">
        <v>43</v>
      </c>
      <c r="I92" s="20" t="s">
        <v>40</v>
      </c>
      <c r="J92" s="20" t="s">
        <v>44</v>
      </c>
      <c r="K92" s="17" t="str">
        <f t="shared" si="1"/>
        <v>3M-Euribor-BootstrapIndex#0000</v>
      </c>
      <c r="L92" s="21">
        <v>0</v>
      </c>
      <c r="M92" s="20" t="s">
        <v>45</v>
      </c>
      <c r="N92" s="17" t="str">
        <f t="shared" si="2"/>
        <v>EONIA-Curve#0000</v>
      </c>
      <c r="O92" s="22" t="str">
        <f>_xll.qlSwapRateHelper2(,D92,F92,E92,G92,H92,I92,J92,K92,L92,M92,N92)</f>
        <v>obj_00072#0000</v>
      </c>
      <c r="P92" s="23" t="str">
        <f>_xll.ohRangeRetrieveError(O92)</f>
        <v/>
      </c>
      <c r="R92" s="47" t="s">
        <v>61</v>
      </c>
      <c r="S92" s="35"/>
      <c r="U92" s="44">
        <v>45817</v>
      </c>
      <c r="V92" s="52">
        <v>1.0758628313175094E-2</v>
      </c>
    </row>
    <row r="93" spans="3:22">
      <c r="C93" s="20"/>
      <c r="D93" s="173">
        <v>1.2269999999999998E-2</v>
      </c>
      <c r="E93" s="20" t="s">
        <v>101</v>
      </c>
      <c r="F93" s="21">
        <v>2</v>
      </c>
      <c r="G93" s="20" t="s">
        <v>42</v>
      </c>
      <c r="H93" s="20" t="s">
        <v>43</v>
      </c>
      <c r="I93" s="20" t="s">
        <v>40</v>
      </c>
      <c r="J93" s="20" t="s">
        <v>44</v>
      </c>
      <c r="K93" s="17" t="str">
        <f t="shared" si="1"/>
        <v>3M-Euribor-BootstrapIndex#0000</v>
      </c>
      <c r="L93" s="21">
        <v>0</v>
      </c>
      <c r="M93" s="20" t="s">
        <v>45</v>
      </c>
      <c r="N93" s="17" t="str">
        <f t="shared" si="2"/>
        <v>EONIA-Curve#0000</v>
      </c>
      <c r="O93" s="22" t="str">
        <f>_xll.qlSwapRateHelper2(,D93,F93,E93,G93,H93,I93,J93,K93,L93,M93,N93)</f>
        <v>obj_00085#0000</v>
      </c>
      <c r="P93" s="23" t="str">
        <f>_xll.ohRangeRetrieveError(O93)</f>
        <v/>
      </c>
      <c r="R93" s="49" t="s">
        <v>64</v>
      </c>
      <c r="S93" s="40"/>
      <c r="U93" s="44">
        <v>46182</v>
      </c>
      <c r="V93" s="52">
        <v>1.1655061147136856E-2</v>
      </c>
    </row>
    <row r="94" spans="3:22">
      <c r="C94" s="20"/>
      <c r="D94" s="173">
        <v>1.2902E-2</v>
      </c>
      <c r="E94" s="20" t="s">
        <v>120</v>
      </c>
      <c r="F94" s="21">
        <v>2</v>
      </c>
      <c r="G94" s="20" t="s">
        <v>42</v>
      </c>
      <c r="H94" s="20" t="s">
        <v>43</v>
      </c>
      <c r="I94" s="20" t="s">
        <v>40</v>
      </c>
      <c r="J94" s="20" t="s">
        <v>44</v>
      </c>
      <c r="K94" s="17" t="str">
        <f t="shared" si="1"/>
        <v>3M-Euribor-BootstrapIndex#0000</v>
      </c>
      <c r="L94" s="21">
        <v>0</v>
      </c>
      <c r="M94" s="20" t="s">
        <v>45</v>
      </c>
      <c r="N94" s="17" t="str">
        <f t="shared" si="2"/>
        <v>EONIA-Curve#0000</v>
      </c>
      <c r="O94" s="22" t="str">
        <f>_xll.qlSwapRateHelper2(,D94,F94,E94,G94,H94,I94,J94,K94,L94,M94,N94)</f>
        <v>obj_00073#0000</v>
      </c>
      <c r="P94" s="24" t="str">
        <f>_xll.ohRangeRetrieveError(O94)</f>
        <v/>
      </c>
      <c r="Q94" s="7"/>
      <c r="U94" s="44">
        <v>46547</v>
      </c>
      <c r="V94" s="52">
        <v>1.2463368935431625E-2</v>
      </c>
    </row>
    <row r="95" spans="3:22">
      <c r="C95" s="20"/>
      <c r="D95" s="173">
        <v>1.3465E-2</v>
      </c>
      <c r="E95" s="20" t="s">
        <v>121</v>
      </c>
      <c r="F95" s="21">
        <v>2</v>
      </c>
      <c r="G95" s="20" t="s">
        <v>42</v>
      </c>
      <c r="H95" s="20" t="s">
        <v>43</v>
      </c>
      <c r="I95" s="20" t="s">
        <v>40</v>
      </c>
      <c r="J95" s="20" t="s">
        <v>44</v>
      </c>
      <c r="K95" s="17" t="str">
        <f t="shared" si="1"/>
        <v>3M-Euribor-BootstrapIndex#0000</v>
      </c>
      <c r="L95" s="21">
        <v>0</v>
      </c>
      <c r="M95" s="20" t="s">
        <v>45</v>
      </c>
      <c r="N95" s="17" t="str">
        <f t="shared" si="2"/>
        <v>EONIA-Curve#0000</v>
      </c>
      <c r="O95" s="22" t="str">
        <f>_xll.qlSwapRateHelper2(,D95,F95,E95,G95,H95,I95,J95,K95,L95,M95,N95)</f>
        <v>obj_00086#0000</v>
      </c>
      <c r="P95" s="23" t="str">
        <f>_xll.ohRangeRetrieveError(O95)</f>
        <v/>
      </c>
      <c r="Q95" s="7"/>
      <c r="S95" s="3" t="b">
        <f>_xll.qlExtrapolatorEnableExtrapolation(S69)</f>
        <v>1</v>
      </c>
      <c r="U95" s="44">
        <v>46913</v>
      </c>
      <c r="V95" s="52">
        <v>1.312668671714752E-2</v>
      </c>
    </row>
    <row r="96" spans="3:22">
      <c r="C96" s="20"/>
      <c r="D96" s="173">
        <v>1.3907000000000001E-2</v>
      </c>
      <c r="E96" s="20" t="s">
        <v>99</v>
      </c>
      <c r="F96" s="21">
        <v>2</v>
      </c>
      <c r="G96" s="20" t="s">
        <v>42</v>
      </c>
      <c r="H96" s="20" t="s">
        <v>43</v>
      </c>
      <c r="I96" s="20" t="s">
        <v>40</v>
      </c>
      <c r="J96" s="20" t="s">
        <v>44</v>
      </c>
      <c r="K96" s="17" t="str">
        <f t="shared" si="1"/>
        <v>3M-Euribor-BootstrapIndex#0000</v>
      </c>
      <c r="L96" s="21">
        <v>0</v>
      </c>
      <c r="M96" s="20" t="s">
        <v>45</v>
      </c>
      <c r="N96" s="17" t="str">
        <f t="shared" si="2"/>
        <v>EONIA-Curve#0000</v>
      </c>
      <c r="O96" s="22" t="str">
        <f>_xll.qlSwapRateHelper2(,D96,F96,E96,G96,H96,I96,J96,K96,L96,M96,N96)</f>
        <v>obj_00074#0000</v>
      </c>
      <c r="P96" s="23" t="str">
        <f>_xll.ohRangeRetrieveError(O96)</f>
        <v/>
      </c>
      <c r="Q96" s="7"/>
      <c r="R96" s="1" t="s">
        <v>79</v>
      </c>
      <c r="S96" s="54" t="e">
        <f>_xll.qlSwapIndex("3M-EURSwaps",,S89,2,"EUR",G74,"1Y",I74,J74,S86,S16)</f>
        <v>#NUM!</v>
      </c>
      <c r="U96" s="44">
        <v>47280</v>
      </c>
      <c r="V96" s="52">
        <v>1.3723364746234309E-2</v>
      </c>
    </row>
    <row r="97" spans="3:22">
      <c r="C97" s="20"/>
      <c r="D97" s="173">
        <v>1.427E-2</v>
      </c>
      <c r="E97" s="20" t="s">
        <v>122</v>
      </c>
      <c r="F97" s="21">
        <v>2</v>
      </c>
      <c r="G97" s="20" t="s">
        <v>42</v>
      </c>
      <c r="H97" s="20" t="s">
        <v>43</v>
      </c>
      <c r="I97" s="20" t="s">
        <v>40</v>
      </c>
      <c r="J97" s="20" t="s">
        <v>44</v>
      </c>
      <c r="K97" s="17" t="str">
        <f t="shared" si="1"/>
        <v>3M-Euribor-BootstrapIndex#0000</v>
      </c>
      <c r="L97" s="21">
        <v>0</v>
      </c>
      <c r="M97" s="20" t="s">
        <v>45</v>
      </c>
      <c r="N97" s="17" t="str">
        <f t="shared" si="2"/>
        <v>EONIA-Curve#0000</v>
      </c>
      <c r="O97" s="22" t="str">
        <f>_xll.qlSwapRateHelper2(,D97,F97,E97,G97,H97,I97,J97,K97,L97,M97,N97)</f>
        <v>obj_00087#0000</v>
      </c>
      <c r="P97" s="23" t="str">
        <f>_xll.ohRangeRetrieveError(O97)</f>
        <v/>
      </c>
      <c r="Q97" s="7"/>
      <c r="U97" s="44">
        <v>47644</v>
      </c>
      <c r="V97" s="52">
        <v>1.4191642743800097E-2</v>
      </c>
    </row>
    <row r="98" spans="3:22">
      <c r="C98" s="20"/>
      <c r="D98" s="173">
        <v>1.4572E-2</v>
      </c>
      <c r="E98" s="20" t="s">
        <v>123</v>
      </c>
      <c r="F98" s="21">
        <v>2</v>
      </c>
      <c r="G98" s="20" t="s">
        <v>42</v>
      </c>
      <c r="H98" s="20" t="s">
        <v>43</v>
      </c>
      <c r="I98" s="20" t="s">
        <v>40</v>
      </c>
      <c r="J98" s="20" t="s">
        <v>44</v>
      </c>
      <c r="K98" s="17" t="str">
        <f t="shared" si="1"/>
        <v>3M-Euribor-BootstrapIndex#0000</v>
      </c>
      <c r="L98" s="21">
        <v>0</v>
      </c>
      <c r="M98" s="20" t="s">
        <v>45</v>
      </c>
      <c r="N98" s="17" t="str">
        <f t="shared" si="2"/>
        <v>EONIA-Curve#0000</v>
      </c>
      <c r="O98" s="22" t="str">
        <f>_xll.qlSwapRateHelper2(,D98,F98,E98,G98,H98,I98,J98,K98,L98,M98,N98)</f>
        <v>obj_00075#0000</v>
      </c>
      <c r="P98" s="23" t="str">
        <f>_xll.ohRangeRetrieveError(O98)</f>
        <v/>
      </c>
      <c r="U98" s="45">
        <v>48008</v>
      </c>
      <c r="V98" s="53">
        <v>1.4576332141675852E-2</v>
      </c>
    </row>
    <row r="99" spans="3:22">
      <c r="C99" s="20"/>
      <c r="D99" s="173">
        <v>1.4812000000000001E-2</v>
      </c>
      <c r="E99" s="20" t="s">
        <v>124</v>
      </c>
      <c r="F99" s="21">
        <v>2</v>
      </c>
      <c r="G99" s="20" t="s">
        <v>42</v>
      </c>
      <c r="H99" s="20" t="s">
        <v>43</v>
      </c>
      <c r="I99" s="20" t="s">
        <v>40</v>
      </c>
      <c r="J99" s="20" t="s">
        <v>44</v>
      </c>
      <c r="K99" s="17" t="str">
        <f t="shared" si="1"/>
        <v>3M-Euribor-BootstrapIndex#0000</v>
      </c>
      <c r="L99" s="21">
        <v>0</v>
      </c>
      <c r="M99" s="20" t="s">
        <v>45</v>
      </c>
      <c r="N99" s="17" t="str">
        <f t="shared" si="2"/>
        <v>EONIA-Curve#0000</v>
      </c>
      <c r="O99" s="22" t="str">
        <f>_xll.qlSwapRateHelper2(,D99,F99,E99,G99,H99,I99,J99,K99,L99,M99,N99)</f>
        <v>obj_00088#0000</v>
      </c>
      <c r="P99" s="23" t="str">
        <f>_xll.ohRangeRetrieveError(O99)</f>
        <v/>
      </c>
    </row>
    <row r="100" spans="3:22">
      <c r="C100" s="20"/>
      <c r="D100" s="173">
        <v>1.5001E-2</v>
      </c>
      <c r="E100" s="20" t="s">
        <v>125</v>
      </c>
      <c r="F100" s="21">
        <v>2</v>
      </c>
      <c r="G100" s="20" t="s">
        <v>42</v>
      </c>
      <c r="H100" s="20" t="s">
        <v>43</v>
      </c>
      <c r="I100" s="20" t="s">
        <v>40</v>
      </c>
      <c r="J100" s="20" t="s">
        <v>44</v>
      </c>
      <c r="K100" s="17" t="str">
        <f t="shared" si="1"/>
        <v>3M-Euribor-BootstrapIndex#0000</v>
      </c>
      <c r="L100" s="21">
        <v>0</v>
      </c>
      <c r="M100" s="20" t="s">
        <v>45</v>
      </c>
      <c r="N100" s="17" t="str">
        <f t="shared" si="2"/>
        <v>EONIA-Curve#0000</v>
      </c>
      <c r="O100" s="22" t="str">
        <f>_xll.qlSwapRateHelper2(,D100,F100,E100,G100,H100,I100,J100,K100,L100,M100,N100)</f>
        <v>obj_00076#0000</v>
      </c>
      <c r="P100" s="23" t="str">
        <f>_xll.ohRangeRetrieveError(O100)</f>
        <v/>
      </c>
    </row>
    <row r="101" spans="3:22">
      <c r="C101" s="20"/>
      <c r="D101" s="173">
        <v>1.5169999999999999E-2</v>
      </c>
      <c r="E101" s="20" t="s">
        <v>102</v>
      </c>
      <c r="F101" s="21">
        <v>2</v>
      </c>
      <c r="G101" s="20" t="s">
        <v>42</v>
      </c>
      <c r="H101" s="20" t="s">
        <v>43</v>
      </c>
      <c r="I101" s="20" t="s">
        <v>40</v>
      </c>
      <c r="J101" s="20" t="s">
        <v>44</v>
      </c>
      <c r="K101" s="17" t="str">
        <f t="shared" si="1"/>
        <v>3M-Euribor-BootstrapIndex#0000</v>
      </c>
      <c r="L101" s="21">
        <v>0</v>
      </c>
      <c r="M101" s="20" t="s">
        <v>45</v>
      </c>
      <c r="N101" s="17" t="str">
        <f t="shared" si="2"/>
        <v>EONIA-Curve#0000</v>
      </c>
      <c r="O101" s="22" t="str">
        <f>_xll.qlSwapRateHelper2(,D101,F101,E101,G101,H101,I101,J101,K101,L101,M101,N101)</f>
        <v>obj_00089#0000</v>
      </c>
      <c r="P101" s="23" t="str">
        <f>_xll.ohRangeRetrieveError(O101)</f>
        <v/>
      </c>
    </row>
    <row r="102" spans="3:22">
      <c r="C102" s="20"/>
      <c r="D102" s="173">
        <v>1.528E-2</v>
      </c>
      <c r="E102" s="20" t="s">
        <v>126</v>
      </c>
      <c r="F102" s="21">
        <v>2</v>
      </c>
      <c r="G102" s="20" t="s">
        <v>42</v>
      </c>
      <c r="H102" s="20" t="s">
        <v>43</v>
      </c>
      <c r="I102" s="20" t="s">
        <v>40</v>
      </c>
      <c r="J102" s="20" t="s">
        <v>44</v>
      </c>
      <c r="K102" s="17" t="str">
        <f t="shared" si="1"/>
        <v>3M-Euribor-BootstrapIndex#0000</v>
      </c>
      <c r="L102" s="21">
        <v>0</v>
      </c>
      <c r="M102" s="20" t="s">
        <v>45</v>
      </c>
      <c r="N102" s="17" t="str">
        <f t="shared" si="2"/>
        <v>EONIA-Curve#0000</v>
      </c>
      <c r="O102" s="22" t="str">
        <f>_xll.qlSwapRateHelper2(,D102,F102,E102,G102,H102,I102,J102,K102,L102,M102,N102)</f>
        <v>obj_00077#0000</v>
      </c>
      <c r="P102" s="23" t="str">
        <f>_xll.ohRangeRetrieveError(O102)</f>
        <v/>
      </c>
    </row>
    <row r="103" spans="3:22">
      <c r="C103" s="20"/>
      <c r="D103" s="173">
        <v>1.5351000000000002E-2</v>
      </c>
      <c r="E103" s="20" t="s">
        <v>127</v>
      </c>
      <c r="F103" s="21">
        <v>2</v>
      </c>
      <c r="G103" s="20" t="s">
        <v>42</v>
      </c>
      <c r="H103" s="20" t="s">
        <v>43</v>
      </c>
      <c r="I103" s="20" t="s">
        <v>40</v>
      </c>
      <c r="J103" s="20" t="s">
        <v>44</v>
      </c>
      <c r="K103" s="17" t="str">
        <f t="shared" si="1"/>
        <v>3M-Euribor-BootstrapIndex#0000</v>
      </c>
      <c r="L103" s="21">
        <v>0</v>
      </c>
      <c r="M103" s="20" t="s">
        <v>45</v>
      </c>
      <c r="N103" s="17" t="str">
        <f t="shared" si="2"/>
        <v>EONIA-Curve#0000</v>
      </c>
      <c r="O103" s="22" t="str">
        <f>_xll.qlSwapRateHelper2(,D103,F103,E103,G103,H103,I103,J103,K103,L103,M103,N103)</f>
        <v>obj_0008a#0000</v>
      </c>
      <c r="P103" s="23" t="str">
        <f>_xll.ohRangeRetrieveError(O103)</f>
        <v/>
      </c>
    </row>
    <row r="104" spans="3:22">
      <c r="C104" s="20"/>
      <c r="D104" s="173">
        <v>1.5401E-2</v>
      </c>
      <c r="E104" s="20" t="s">
        <v>128</v>
      </c>
      <c r="F104" s="21">
        <v>2</v>
      </c>
      <c r="G104" s="20" t="s">
        <v>42</v>
      </c>
      <c r="H104" s="20" t="s">
        <v>43</v>
      </c>
      <c r="I104" s="20" t="s">
        <v>40</v>
      </c>
      <c r="J104" s="20" t="s">
        <v>44</v>
      </c>
      <c r="K104" s="17" t="str">
        <f t="shared" si="1"/>
        <v>3M-Euribor-BootstrapIndex#0000</v>
      </c>
      <c r="L104" s="21">
        <v>0</v>
      </c>
      <c r="M104" s="20" t="s">
        <v>45</v>
      </c>
      <c r="N104" s="17" t="str">
        <f t="shared" si="2"/>
        <v>EONIA-Curve#0000</v>
      </c>
      <c r="O104" s="22" t="str">
        <f>_xll.qlSwapRateHelper2(,D104,F104,E104,G104,H104,I104,J104,K104,L104,M104,N104)</f>
        <v>obj_00078#0000</v>
      </c>
      <c r="P104" s="23" t="str">
        <f>_xll.ohRangeRetrieveError(O104)</f>
        <v/>
      </c>
    </row>
    <row r="105" spans="3:22">
      <c r="C105" s="20"/>
      <c r="D105" s="173">
        <v>1.5445E-2</v>
      </c>
      <c r="E105" s="20" t="s">
        <v>129</v>
      </c>
      <c r="F105" s="21">
        <v>2</v>
      </c>
      <c r="G105" s="20" t="s">
        <v>42</v>
      </c>
      <c r="H105" s="20" t="s">
        <v>43</v>
      </c>
      <c r="I105" s="20" t="s">
        <v>40</v>
      </c>
      <c r="J105" s="20" t="s">
        <v>44</v>
      </c>
      <c r="K105" s="17" t="str">
        <f t="shared" si="1"/>
        <v>3M-Euribor-BootstrapIndex#0000</v>
      </c>
      <c r="L105" s="21">
        <v>0</v>
      </c>
      <c r="M105" s="20" t="s">
        <v>45</v>
      </c>
      <c r="N105" s="17" t="str">
        <f t="shared" si="2"/>
        <v>EONIA-Curve#0000</v>
      </c>
      <c r="O105" s="22" t="str">
        <f>_xll.qlSwapRateHelper2(,D105,F105,E105,G105,H105,I105,J105,K105,L105,M105,N105)</f>
        <v>obj_0008b#0000</v>
      </c>
      <c r="P105" s="23" t="str">
        <f>_xll.ohRangeRetrieveError(O105)</f>
        <v/>
      </c>
    </row>
    <row r="106" spans="3:22">
      <c r="C106" s="20"/>
      <c r="D106" s="173">
        <v>1.5489999999999999E-2</v>
      </c>
      <c r="E106" s="20" t="s">
        <v>103</v>
      </c>
      <c r="F106" s="21">
        <v>2</v>
      </c>
      <c r="G106" s="20" t="s">
        <v>42</v>
      </c>
      <c r="H106" s="20" t="s">
        <v>43</v>
      </c>
      <c r="I106" s="20" t="s">
        <v>40</v>
      </c>
      <c r="J106" s="20" t="s">
        <v>44</v>
      </c>
      <c r="K106" s="17" t="str">
        <f t="shared" si="1"/>
        <v>3M-Euribor-BootstrapIndex#0000</v>
      </c>
      <c r="L106" s="21">
        <v>0</v>
      </c>
      <c r="M106" s="20" t="s">
        <v>45</v>
      </c>
      <c r="N106" s="17" t="str">
        <f t="shared" si="2"/>
        <v>EONIA-Curve#0000</v>
      </c>
      <c r="O106" s="22" t="str">
        <f>_xll.qlSwapRateHelper2(,D106,F106,E106,G106,H106,I106,J106,K106,L106,M106,N106)</f>
        <v>obj_00079#0000</v>
      </c>
      <c r="P106" s="23" t="str">
        <f>_xll.ohRangeRetrieveError(O106)</f>
        <v/>
      </c>
    </row>
    <row r="107" spans="3:22">
      <c r="C107" s="20"/>
      <c r="D107" s="173">
        <v>1.5513000000000001E-2</v>
      </c>
      <c r="E107" s="20" t="s">
        <v>130</v>
      </c>
      <c r="F107" s="21">
        <v>2</v>
      </c>
      <c r="G107" s="20" t="s">
        <v>42</v>
      </c>
      <c r="H107" s="20" t="s">
        <v>43</v>
      </c>
      <c r="I107" s="20" t="s">
        <v>40</v>
      </c>
      <c r="J107" s="20" t="s">
        <v>44</v>
      </c>
      <c r="K107" s="17" t="str">
        <f t="shared" si="1"/>
        <v>3M-Euribor-BootstrapIndex#0000</v>
      </c>
      <c r="L107" s="21">
        <v>0</v>
      </c>
      <c r="M107" s="20" t="s">
        <v>45</v>
      </c>
      <c r="N107" s="17" t="str">
        <f t="shared" si="2"/>
        <v>EONIA-Curve#0000</v>
      </c>
      <c r="O107" s="22" t="str">
        <f>_xll.qlSwapRateHelper2(,D107,F107,E107,G107,H107,I107,J107,K107,L107,M107,N107)</f>
        <v>obj_0008c#0000</v>
      </c>
      <c r="P107" s="23" t="str">
        <f>_xll.ohRangeRetrieveError(O107)</f>
        <v/>
      </c>
    </row>
    <row r="108" spans="3:22">
      <c r="C108" s="20"/>
      <c r="D108" s="173">
        <v>1.5553000000000001E-2</v>
      </c>
      <c r="E108" s="20" t="s">
        <v>131</v>
      </c>
      <c r="F108" s="21">
        <v>2</v>
      </c>
      <c r="G108" s="20" t="s">
        <v>42</v>
      </c>
      <c r="H108" s="20" t="s">
        <v>43</v>
      </c>
      <c r="I108" s="20" t="s">
        <v>40</v>
      </c>
      <c r="J108" s="20" t="s">
        <v>44</v>
      </c>
      <c r="K108" s="17" t="str">
        <f t="shared" si="1"/>
        <v>3M-Euribor-BootstrapIndex#0000</v>
      </c>
      <c r="L108" s="21">
        <v>0</v>
      </c>
      <c r="M108" s="20" t="s">
        <v>45</v>
      </c>
      <c r="N108" s="17" t="str">
        <f t="shared" si="2"/>
        <v>EONIA-Curve#0000</v>
      </c>
      <c r="O108" s="22" t="str">
        <f>_xll.qlSwapRateHelper2(,D108,F108,E108,G108,H108,I108,J108,K108,L108,M108,N108)</f>
        <v>obj_0007a#0000</v>
      </c>
      <c r="P108" s="23" t="str">
        <f>_xll.ohRangeRetrieveError(O108)</f>
        <v/>
      </c>
    </row>
    <row r="109" spans="3:22">
      <c r="C109" s="20"/>
      <c r="D109" s="173">
        <v>1.5593000000000001E-2</v>
      </c>
      <c r="E109" s="20" t="s">
        <v>132</v>
      </c>
      <c r="F109" s="21">
        <v>2</v>
      </c>
      <c r="G109" s="20" t="s">
        <v>42</v>
      </c>
      <c r="H109" s="20" t="s">
        <v>43</v>
      </c>
      <c r="I109" s="20" t="s">
        <v>40</v>
      </c>
      <c r="J109" s="20" t="s">
        <v>44</v>
      </c>
      <c r="K109" s="17" t="str">
        <f t="shared" si="1"/>
        <v>3M-Euribor-BootstrapIndex#0000</v>
      </c>
      <c r="L109" s="21">
        <v>0</v>
      </c>
      <c r="M109" s="20" t="s">
        <v>45</v>
      </c>
      <c r="N109" s="17" t="str">
        <f t="shared" si="2"/>
        <v>EONIA-Curve#0000</v>
      </c>
      <c r="O109" s="22" t="str">
        <f>_xll.qlSwapRateHelper2(,D109,F109,E109,G109,H109,I109,J109,K109,L109,M109,N109)</f>
        <v>obj_0008d#0000</v>
      </c>
      <c r="P109" s="23" t="str">
        <f>_xll.ohRangeRetrieveError(O109)</f>
        <v/>
      </c>
    </row>
    <row r="110" spans="3:22">
      <c r="C110" s="20"/>
      <c r="D110" s="173">
        <v>1.5634000000000002E-2</v>
      </c>
      <c r="E110" s="20" t="s">
        <v>133</v>
      </c>
      <c r="F110" s="21">
        <v>2</v>
      </c>
      <c r="G110" s="20" t="s">
        <v>42</v>
      </c>
      <c r="H110" s="20" t="s">
        <v>43</v>
      </c>
      <c r="I110" s="20" t="s">
        <v>40</v>
      </c>
      <c r="J110" s="20" t="s">
        <v>44</v>
      </c>
      <c r="K110" s="17" t="str">
        <f t="shared" si="1"/>
        <v>3M-Euribor-BootstrapIndex#0000</v>
      </c>
      <c r="L110" s="21">
        <v>0</v>
      </c>
      <c r="M110" s="20" t="s">
        <v>45</v>
      </c>
      <c r="N110" s="17" t="str">
        <f t="shared" si="2"/>
        <v>EONIA-Curve#0000</v>
      </c>
      <c r="O110" s="22" t="str">
        <f>_xll.qlSwapRateHelper2(,D110,F110,E110,G110,H110,I110,J110,K110,L110,M110,N110)</f>
        <v>obj_0007b#0000</v>
      </c>
      <c r="P110" s="23" t="str">
        <f>_xll.ohRangeRetrieveError(O110)</f>
        <v/>
      </c>
    </row>
    <row r="111" spans="3:22">
      <c r="C111" s="20"/>
      <c r="D111" s="173">
        <v>1.5670000000000003E-2</v>
      </c>
      <c r="E111" s="20" t="s">
        <v>104</v>
      </c>
      <c r="F111" s="21">
        <v>2</v>
      </c>
      <c r="G111" s="20" t="s">
        <v>42</v>
      </c>
      <c r="H111" s="20" t="s">
        <v>43</v>
      </c>
      <c r="I111" s="20" t="s">
        <v>40</v>
      </c>
      <c r="J111" s="20" t="s">
        <v>44</v>
      </c>
      <c r="K111" s="17" t="str">
        <f t="shared" si="1"/>
        <v>3M-Euribor-BootstrapIndex#0000</v>
      </c>
      <c r="L111" s="21">
        <v>0</v>
      </c>
      <c r="M111" s="20" t="s">
        <v>45</v>
      </c>
      <c r="N111" s="17" t="str">
        <f t="shared" si="2"/>
        <v>EONIA-Curve#0000</v>
      </c>
      <c r="O111" s="22" t="str">
        <f>_xll.qlSwapRateHelper2(,D111,F111,E111,G111,H111,I111,J111,K111,L111,M111,N111)</f>
        <v>obj_0008e#0000</v>
      </c>
      <c r="P111" s="23" t="str">
        <f>_xll.ohRangeRetrieveError(O111)</f>
        <v/>
      </c>
    </row>
    <row r="112" spans="3:22">
      <c r="C112" s="20"/>
      <c r="D112" s="173">
        <v>1.5716000000000001E-2</v>
      </c>
      <c r="E112" s="20" t="s">
        <v>105</v>
      </c>
      <c r="F112" s="21">
        <v>2</v>
      </c>
      <c r="G112" s="20" t="s">
        <v>42</v>
      </c>
      <c r="H112" s="20" t="s">
        <v>43</v>
      </c>
      <c r="I112" s="20" t="s">
        <v>40</v>
      </c>
      <c r="J112" s="20" t="s">
        <v>44</v>
      </c>
      <c r="K112" s="17" t="str">
        <f t="shared" si="1"/>
        <v>3M-Euribor-BootstrapIndex#0000</v>
      </c>
      <c r="L112" s="21">
        <v>0</v>
      </c>
      <c r="M112" s="20" t="s">
        <v>45</v>
      </c>
      <c r="N112" s="17" t="str">
        <f t="shared" si="2"/>
        <v>EONIA-Curve#0000</v>
      </c>
      <c r="O112" s="22" t="str">
        <f>_xll.qlSwapRateHelper2(,D112,F112,E112,G112,H112,I112,J112,K112,L112,M112,N112)</f>
        <v>obj_0007c#0000</v>
      </c>
      <c r="P112" s="23" t="str">
        <f>_xll.ohRangeRetrieveError(O112)</f>
        <v/>
      </c>
    </row>
    <row r="113" spans="3:22">
      <c r="C113" s="20"/>
      <c r="D113" s="173">
        <v>1.5870000000000002E-2</v>
      </c>
      <c r="E113" s="20" t="s">
        <v>134</v>
      </c>
      <c r="F113" s="21">
        <v>2</v>
      </c>
      <c r="G113" s="20" t="s">
        <v>42</v>
      </c>
      <c r="H113" s="20" t="s">
        <v>43</v>
      </c>
      <c r="I113" s="20" t="s">
        <v>40</v>
      </c>
      <c r="J113" s="20" t="s">
        <v>44</v>
      </c>
      <c r="K113" s="17" t="str">
        <f t="shared" si="1"/>
        <v>3M-Euribor-BootstrapIndex#0000</v>
      </c>
      <c r="L113" s="21">
        <v>0</v>
      </c>
      <c r="M113" s="20" t="s">
        <v>45</v>
      </c>
      <c r="N113" s="17" t="str">
        <f t="shared" si="2"/>
        <v>EONIA-Curve#0000</v>
      </c>
      <c r="O113" s="22" t="str">
        <f>_xll.qlSwapRateHelper2(,D113,F113,E113,G113,H113,I113,J113,K113,L113,M113,N113)</f>
        <v>obj_0008f#0000</v>
      </c>
      <c r="P113" s="23" t="str">
        <f>_xll.ohRangeRetrieveError(O113)</f>
        <v/>
      </c>
    </row>
    <row r="114" spans="3:22">
      <c r="C114" s="25"/>
      <c r="D114" s="174">
        <v>1.5470000000000001E-2</v>
      </c>
      <c r="E114" s="25" t="s">
        <v>135</v>
      </c>
      <c r="F114" s="27">
        <v>2</v>
      </c>
      <c r="G114" s="25" t="s">
        <v>42</v>
      </c>
      <c r="H114" s="25" t="s">
        <v>43</v>
      </c>
      <c r="I114" s="25" t="s">
        <v>40</v>
      </c>
      <c r="J114" s="25" t="s">
        <v>44</v>
      </c>
      <c r="K114" s="26" t="str">
        <f t="shared" si="1"/>
        <v>3M-Euribor-BootstrapIndex#0000</v>
      </c>
      <c r="L114" s="27">
        <v>0</v>
      </c>
      <c r="M114" s="25" t="s">
        <v>45</v>
      </c>
      <c r="N114" s="26" t="str">
        <f t="shared" si="2"/>
        <v>EONIA-Curve#0000</v>
      </c>
      <c r="O114" s="60" t="str">
        <f>_xll.qlSwapRateHelper2(,D114,F114,E114,G114,H114,I114,J114,K114,L114,M114,N114)</f>
        <v>obj_0007d#0000</v>
      </c>
      <c r="P114" s="28" t="str">
        <f>_xll.ohRangeRetrieveError(O114)</f>
        <v/>
      </c>
    </row>
    <row r="115" spans="3:22"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</row>
    <row r="116" spans="3:22"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</row>
    <row r="117" spans="3:22"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55"/>
      <c r="P117" s="7"/>
    </row>
    <row r="118" spans="3:22"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55"/>
      <c r="P118" s="7"/>
    </row>
    <row r="119" spans="3:22"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</row>
    <row r="120" spans="3:22"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</row>
    <row r="121" spans="3:22"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</row>
    <row r="122" spans="3:22">
      <c r="C122" s="50" t="s">
        <v>71</v>
      </c>
    </row>
    <row r="124" spans="3:22">
      <c r="C124" s="6" t="s">
        <v>2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</row>
    <row r="125" spans="3:22">
      <c r="C125" s="6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</row>
    <row r="126" spans="3:22">
      <c r="C126" s="8" t="s">
        <v>3</v>
      </c>
      <c r="D126" s="9" t="str">
        <f>_xll.qlEuribor("6M-Euribor-BootstrapIndex","6M")</f>
        <v>6M-Euribor-BootstrapIndex#0000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</row>
    <row r="127" spans="3:22"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U127" s="41" t="s">
        <v>65</v>
      </c>
      <c r="V127" s="7"/>
    </row>
    <row r="128" spans="3:22">
      <c r="C128" s="10" t="s">
        <v>4</v>
      </c>
      <c r="D128" s="10" t="s">
        <v>5</v>
      </c>
      <c r="E128" s="10" t="s">
        <v>6</v>
      </c>
      <c r="F128" s="10" t="s">
        <v>7</v>
      </c>
      <c r="G128" s="10"/>
      <c r="H128" s="10" t="s">
        <v>8</v>
      </c>
      <c r="I128" s="10" t="s">
        <v>9</v>
      </c>
      <c r="J128" s="10" t="s">
        <v>10</v>
      </c>
      <c r="K128" s="10" t="s">
        <v>11</v>
      </c>
      <c r="L128" s="11"/>
      <c r="M128" s="12"/>
      <c r="N128" s="13"/>
      <c r="O128" s="10" t="s">
        <v>12</v>
      </c>
      <c r="P128" s="10" t="s">
        <v>13</v>
      </c>
      <c r="Q128" s="7"/>
      <c r="R128" s="6" t="s">
        <v>49</v>
      </c>
      <c r="S128" s="7"/>
      <c r="U128" s="7"/>
      <c r="V128" s="7"/>
    </row>
    <row r="129" spans="3:22">
      <c r="C129" s="14" t="s">
        <v>4</v>
      </c>
      <c r="D129" s="14" t="s">
        <v>5</v>
      </c>
      <c r="E129" s="14" t="s">
        <v>14</v>
      </c>
      <c r="F129" s="14"/>
      <c r="G129" s="14" t="s">
        <v>8</v>
      </c>
      <c r="H129" s="14" t="s">
        <v>15</v>
      </c>
      <c r="I129" s="14" t="s">
        <v>16</v>
      </c>
      <c r="J129" s="14" t="s">
        <v>17</v>
      </c>
      <c r="K129" s="14" t="s">
        <v>18</v>
      </c>
      <c r="L129" s="14" t="s">
        <v>19</v>
      </c>
      <c r="M129" s="14" t="s">
        <v>20</v>
      </c>
      <c r="N129" s="14" t="s">
        <v>21</v>
      </c>
      <c r="O129" s="14" t="s">
        <v>22</v>
      </c>
      <c r="P129" s="14" t="s">
        <v>13</v>
      </c>
      <c r="Q129" s="7"/>
      <c r="R129" s="7"/>
      <c r="S129" s="7"/>
      <c r="U129" s="42" t="s">
        <v>37</v>
      </c>
      <c r="V129" s="42" t="s">
        <v>66</v>
      </c>
    </row>
    <row r="130" spans="3:22">
      <c r="C130" s="15"/>
      <c r="D130" s="172" t="e">
        <v>#VALUE!</v>
      </c>
      <c r="E130" s="15"/>
      <c r="F130" s="16"/>
      <c r="G130" s="15"/>
      <c r="H130" s="15"/>
      <c r="I130" s="15"/>
      <c r="J130" s="15"/>
      <c r="K130" s="17" t="str">
        <f t="shared" ref="K130:K165" si="3">$D$126</f>
        <v>6M-Euribor-BootstrapIndex#0000</v>
      </c>
      <c r="L130" s="16"/>
      <c r="M130" s="16"/>
      <c r="N130" s="17"/>
      <c r="O130" s="18" t="e">
        <f>_xll.qlDepositRateHelper(,D130,K130)</f>
        <v>#NUM!</v>
      </c>
      <c r="P130" s="19" t="str">
        <f ca="1">_xll.ohRangeRetrieveError(O130)</f>
        <v>qlDepositRateHelper - Error converting parameter 'Rate' : 'unable to convert type 'struct ObjectHandler::empty_property_tag' to type 'QuantLib::Quote'</v>
      </c>
      <c r="Q130" s="7"/>
      <c r="R130" s="29" t="s">
        <v>50</v>
      </c>
      <c r="S130" s="30" t="str">
        <f>_xll.qlPiecewiseYieldCurve(S132,S133,S134,_xll.ohPack(O131:O165),S136,S137,S138,S139,S140,S141,S142,S143,S144)</f>
        <v>6M-EUR-Swap-Curve#0000</v>
      </c>
      <c r="U130" s="43">
        <f t="array" ref="U130:U159">_xll.qlPiecewiseYieldCurveDates(S130,S130)</f>
        <v>42160</v>
      </c>
      <c r="V130" s="51">
        <f t="array" ref="V130:V159">_xll.qlPiecewiseYieldCurveData(S130,S130)</f>
        <v>5.9810328823669233E-4</v>
      </c>
    </row>
    <row r="131" spans="3:22">
      <c r="C131" s="20"/>
      <c r="D131" s="173">
        <v>5.9000000000000003E-4</v>
      </c>
      <c r="E131" s="20" t="s">
        <v>83</v>
      </c>
      <c r="F131" s="21"/>
      <c r="G131" s="20"/>
      <c r="H131" s="20"/>
      <c r="I131" s="20"/>
      <c r="J131" s="20"/>
      <c r="K131" s="17" t="str">
        <f t="shared" si="3"/>
        <v>6M-Euribor-BootstrapIndex#0000</v>
      </c>
      <c r="L131" s="21"/>
      <c r="M131" s="20"/>
      <c r="N131" s="17"/>
      <c r="O131" s="22" t="str">
        <f>_xll.qlFraRateHelper(,D131,E131,K131)</f>
        <v>obj_0001d#0000</v>
      </c>
      <c r="P131" s="23" t="str">
        <f>_xll.ohRangeRetrieveError(O131)</f>
        <v/>
      </c>
      <c r="Q131" s="7"/>
      <c r="R131" s="31" t="s">
        <v>13</v>
      </c>
      <c r="S131" s="28" t="str">
        <f>_xll.ohRangeRetrieveError(S130)</f>
        <v/>
      </c>
      <c r="U131" s="44">
        <v>42380</v>
      </c>
      <c r="V131" s="52">
        <v>5.9810328823669233E-4</v>
      </c>
    </row>
    <row r="132" spans="3:22">
      <c r="C132" s="20"/>
      <c r="D132" s="173">
        <v>6.6E-4</v>
      </c>
      <c r="E132" s="20" t="s">
        <v>84</v>
      </c>
      <c r="F132" s="21"/>
      <c r="G132" s="20"/>
      <c r="H132" s="20"/>
      <c r="I132" s="20"/>
      <c r="J132" s="20"/>
      <c r="K132" s="17" t="str">
        <f t="shared" si="3"/>
        <v>6M-Euribor-BootstrapIndex#0000</v>
      </c>
      <c r="L132" s="21"/>
      <c r="M132" s="20"/>
      <c r="N132" s="17"/>
      <c r="O132" s="22" t="str">
        <f>_xll.qlFraRateHelper(,D132,E132,K132)</f>
        <v>obj_00021#0000</v>
      </c>
      <c r="P132" s="23" t="str">
        <f>_xll.ohRangeRetrieveError(O132)</f>
        <v/>
      </c>
      <c r="Q132" s="7"/>
      <c r="R132" s="32" t="s">
        <v>4</v>
      </c>
      <c r="S132" s="33" t="s">
        <v>51</v>
      </c>
      <c r="U132" s="44">
        <v>42410</v>
      </c>
      <c r="V132" s="52">
        <v>6.5032288397923166E-4</v>
      </c>
    </row>
    <row r="133" spans="3:22">
      <c r="C133" s="20"/>
      <c r="D133" s="173">
        <v>7.2000000000000005E-4</v>
      </c>
      <c r="E133" s="20" t="s">
        <v>81</v>
      </c>
      <c r="F133" s="21"/>
      <c r="G133" s="20"/>
      <c r="H133" s="20"/>
      <c r="I133" s="20"/>
      <c r="J133" s="20"/>
      <c r="K133" s="17" t="str">
        <f t="shared" si="3"/>
        <v>6M-Euribor-BootstrapIndex#0000</v>
      </c>
      <c r="L133" s="21"/>
      <c r="M133" s="20"/>
      <c r="N133" s="17"/>
      <c r="O133" s="22" t="str">
        <f>_xll.qlFraRateHelper(,D133,E133,K133)</f>
        <v>obj_00038#0000</v>
      </c>
      <c r="P133" s="24" t="str">
        <f>_xll.ohRangeRetrieveError(O133)</f>
        <v/>
      </c>
      <c r="Q133" s="7"/>
      <c r="R133" s="34" t="s">
        <v>52</v>
      </c>
      <c r="S133" s="35">
        <v>0</v>
      </c>
      <c r="U133" s="44">
        <v>42438</v>
      </c>
      <c r="V133" s="52">
        <v>6.8436597488096083E-4</v>
      </c>
    </row>
    <row r="134" spans="3:22">
      <c r="C134" s="20"/>
      <c r="D134" s="173">
        <v>7.9000000000000001E-4</v>
      </c>
      <c r="E134" s="20" t="s">
        <v>85</v>
      </c>
      <c r="F134" s="21"/>
      <c r="G134" s="20"/>
      <c r="H134" s="20"/>
      <c r="I134" s="20"/>
      <c r="J134" s="20"/>
      <c r="K134" s="17" t="str">
        <f t="shared" si="3"/>
        <v>6M-Euribor-BootstrapIndex#0000</v>
      </c>
      <c r="L134" s="21"/>
      <c r="M134" s="20"/>
      <c r="N134" s="17"/>
      <c r="O134" s="22" t="str">
        <f>_xll.qlFraRateHelper(,D134,E134,K134)</f>
        <v>obj_00019#0000</v>
      </c>
      <c r="P134" s="23" t="str">
        <f>_xll.ohRangeRetrieveError(O134)</f>
        <v/>
      </c>
      <c r="Q134" s="7"/>
      <c r="R134" s="34" t="s">
        <v>8</v>
      </c>
      <c r="S134" s="36" t="s">
        <v>39</v>
      </c>
      <c r="U134" s="44">
        <v>42471</v>
      </c>
      <c r="V134" s="52">
        <v>7.1868426081467631E-4</v>
      </c>
    </row>
    <row r="135" spans="3:22">
      <c r="C135" s="20"/>
      <c r="D135" s="173">
        <v>8.5000000000000006E-4</v>
      </c>
      <c r="E135" s="20" t="s">
        <v>86</v>
      </c>
      <c r="F135" s="21"/>
      <c r="G135" s="20"/>
      <c r="H135" s="20"/>
      <c r="I135" s="20"/>
      <c r="J135" s="20"/>
      <c r="K135" s="17" t="str">
        <f t="shared" si="3"/>
        <v>6M-Euribor-BootstrapIndex#0000</v>
      </c>
      <c r="L135" s="21"/>
      <c r="M135" s="20"/>
      <c r="N135" s="17"/>
      <c r="O135" s="22" t="str">
        <f>_xll.qlFraRateHelper(,D135,E135,K135)</f>
        <v>obj_00045#0000</v>
      </c>
      <c r="P135" s="23" t="str">
        <f>_xll.ohRangeRetrieveError(O135)</f>
        <v/>
      </c>
      <c r="Q135" s="7"/>
      <c r="R135" s="34" t="s">
        <v>2</v>
      </c>
      <c r="S135" s="37"/>
      <c r="U135" s="44">
        <v>42499</v>
      </c>
      <c r="V135" s="52">
        <v>7.3957857330057657E-4</v>
      </c>
    </row>
    <row r="136" spans="3:22">
      <c r="C136" s="20"/>
      <c r="D136" s="173">
        <v>9.2000000000000003E-4</v>
      </c>
      <c r="E136" s="20" t="s">
        <v>82</v>
      </c>
      <c r="F136" s="21"/>
      <c r="G136" s="20"/>
      <c r="H136" s="20"/>
      <c r="I136" s="20"/>
      <c r="J136" s="20"/>
      <c r="K136" s="17" t="str">
        <f t="shared" si="3"/>
        <v>6M-Euribor-BootstrapIndex#0000</v>
      </c>
      <c r="L136" s="21"/>
      <c r="M136" s="20"/>
      <c r="N136" s="17"/>
      <c r="O136" s="22" t="str">
        <f>_xll.qlFraRateHelper(,D136,E136,K136)</f>
        <v>obj_0004d#0000</v>
      </c>
      <c r="P136" s="24" t="str">
        <f>_xll.ohRangeRetrieveError(O136)</f>
        <v/>
      </c>
      <c r="Q136" s="7"/>
      <c r="R136" s="34" t="s">
        <v>53</v>
      </c>
      <c r="S136" s="36" t="s">
        <v>54</v>
      </c>
      <c r="U136" s="44">
        <v>42530</v>
      </c>
      <c r="V136" s="52">
        <v>7.6352363713700212E-4</v>
      </c>
    </row>
    <row r="137" spans="3:22">
      <c r="C137" s="20"/>
      <c r="D137" s="173">
        <v>9.8999999999999999E-4</v>
      </c>
      <c r="E137" s="20" t="s">
        <v>87</v>
      </c>
      <c r="F137" s="21"/>
      <c r="G137" s="20"/>
      <c r="H137" s="20"/>
      <c r="I137" s="20"/>
      <c r="J137" s="20"/>
      <c r="K137" s="17" t="str">
        <f t="shared" si="3"/>
        <v>6M-Euribor-BootstrapIndex#0000</v>
      </c>
      <c r="L137" s="21"/>
      <c r="M137" s="20"/>
      <c r="N137" s="17"/>
      <c r="O137" s="22" t="str">
        <f>_xll.qlFraRateHelper(,D137,E137,K137)</f>
        <v>obj_00034#0000</v>
      </c>
      <c r="P137" s="23" t="str">
        <f>_xll.ohRangeRetrieveError(O137)</f>
        <v/>
      </c>
      <c r="Q137" s="7"/>
      <c r="R137" s="34" t="s">
        <v>55</v>
      </c>
      <c r="S137" s="35"/>
      <c r="U137" s="44">
        <v>42562</v>
      </c>
      <c r="V137" s="52">
        <v>7.8164060289737027E-4</v>
      </c>
    </row>
    <row r="138" spans="3:22">
      <c r="C138" s="20"/>
      <c r="D138" s="173">
        <v>1.0499999999999999E-3</v>
      </c>
      <c r="E138" s="20" t="s">
        <v>88</v>
      </c>
      <c r="F138" s="21"/>
      <c r="G138" s="20"/>
      <c r="H138" s="20"/>
      <c r="I138" s="20"/>
      <c r="J138" s="20"/>
      <c r="K138" s="17" t="str">
        <f t="shared" si="3"/>
        <v>6M-Euribor-BootstrapIndex#0000</v>
      </c>
      <c r="L138" s="21"/>
      <c r="M138" s="20"/>
      <c r="N138" s="17"/>
      <c r="O138" s="22" t="str">
        <f>_xll.qlFraRateHelper(,D138,E138,K138)</f>
        <v>obj_00029#0000</v>
      </c>
      <c r="P138" s="23" t="str">
        <f>_xll.ohRangeRetrieveError(O138)</f>
        <v/>
      </c>
      <c r="R138" s="34" t="s">
        <v>56</v>
      </c>
      <c r="S138" s="35"/>
      <c r="U138" s="44">
        <v>42591</v>
      </c>
      <c r="V138" s="52">
        <v>8.2412931494001411E-4</v>
      </c>
    </row>
    <row r="139" spans="3:22">
      <c r="C139" s="20"/>
      <c r="D139" s="173">
        <v>1.1100000000000001E-3</v>
      </c>
      <c r="E139" s="20" t="s">
        <v>114</v>
      </c>
      <c r="F139" s="21"/>
      <c r="G139" s="20"/>
      <c r="H139" s="20"/>
      <c r="I139" s="20"/>
      <c r="J139" s="20"/>
      <c r="K139" s="17" t="str">
        <f t="shared" si="3"/>
        <v>6M-Euribor-BootstrapIndex#0000</v>
      </c>
      <c r="L139" s="21"/>
      <c r="M139" s="20"/>
      <c r="N139" s="17"/>
      <c r="O139" s="22" t="str">
        <f>_xll.qlFraRateHelper(,D139,E139,K139)</f>
        <v>obj_00049#0000</v>
      </c>
      <c r="P139" s="23" t="str">
        <f>_xll.ohRangeRetrieveError(O139)</f>
        <v/>
      </c>
      <c r="R139" s="34" t="s">
        <v>57</v>
      </c>
      <c r="S139" s="35"/>
      <c r="U139" s="44">
        <v>42622</v>
      </c>
      <c r="V139" s="52">
        <v>8.5989543104636143E-4</v>
      </c>
    </row>
    <row r="140" spans="3:22">
      <c r="C140" s="20"/>
      <c r="D140" s="173">
        <v>1.1900000000000001E-3</v>
      </c>
      <c r="E140" s="20" t="s">
        <v>115</v>
      </c>
      <c r="F140" s="21"/>
      <c r="G140" s="20"/>
      <c r="H140" s="20"/>
      <c r="I140" s="20"/>
      <c r="J140" s="20"/>
      <c r="K140" s="17" t="str">
        <f t="shared" si="3"/>
        <v>6M-Euribor-BootstrapIndex#0000</v>
      </c>
      <c r="L140" s="21"/>
      <c r="M140" s="20"/>
      <c r="N140" s="17"/>
      <c r="O140" s="22" t="str">
        <f>_xll.qlFraRateHelper(,D140,E140,K140)</f>
        <v>obj_00050#0000</v>
      </c>
      <c r="P140" s="24" t="str">
        <f>_xll.ohRangeRetrieveError(O140)</f>
        <v/>
      </c>
      <c r="R140" s="38" t="s">
        <v>59</v>
      </c>
      <c r="S140" s="36" t="s">
        <v>60</v>
      </c>
      <c r="U140" s="44">
        <v>42654</v>
      </c>
      <c r="V140" s="52">
        <v>8.9926849029181273E-4</v>
      </c>
    </row>
    <row r="141" spans="3:22">
      <c r="C141" s="20"/>
      <c r="D141" s="173">
        <v>1.2800000000000001E-3</v>
      </c>
      <c r="E141" s="20" t="s">
        <v>116</v>
      </c>
      <c r="F141" s="21"/>
      <c r="G141" s="20"/>
      <c r="H141" s="20"/>
      <c r="I141" s="20"/>
      <c r="J141" s="20"/>
      <c r="K141" s="17" t="str">
        <f t="shared" si="3"/>
        <v>6M-Euribor-BootstrapIndex#0000</v>
      </c>
      <c r="L141" s="21"/>
      <c r="M141" s="20"/>
      <c r="N141" s="17"/>
      <c r="O141" s="22" t="str">
        <f>_xll.qlFraRateHelper(,D141,E141,K141)</f>
        <v>obj_00030#0000</v>
      </c>
      <c r="P141" s="23" t="str">
        <f>_xll.ohRangeRetrieveError(O141)</f>
        <v/>
      </c>
      <c r="R141" s="38" t="s">
        <v>62</v>
      </c>
      <c r="S141" s="36" t="s">
        <v>63</v>
      </c>
      <c r="U141" s="44">
        <v>42683</v>
      </c>
      <c r="V141" s="52">
        <v>9.3581294528885636E-4</v>
      </c>
    </row>
    <row r="142" spans="3:22">
      <c r="C142" s="20"/>
      <c r="D142" s="173">
        <v>1.3700000000000001E-3</v>
      </c>
      <c r="E142" s="20" t="s">
        <v>160</v>
      </c>
      <c r="F142" s="21"/>
      <c r="G142" s="20"/>
      <c r="H142" s="20"/>
      <c r="I142" s="20"/>
      <c r="J142" s="20"/>
      <c r="K142" s="17" t="str">
        <f t="shared" si="3"/>
        <v>6M-Euribor-BootstrapIndex#0000</v>
      </c>
      <c r="L142" s="21"/>
      <c r="M142" s="20"/>
      <c r="N142" s="17"/>
      <c r="O142" s="22" t="str">
        <f>_xll.qlFraRateHelper(,D142,E142,K142)</f>
        <v>obj_00028#0000</v>
      </c>
      <c r="P142" s="23" t="str">
        <f>_xll.ohRangeRetrieveError(O142)</f>
        <v/>
      </c>
      <c r="R142" s="34" t="s">
        <v>58</v>
      </c>
      <c r="S142" s="35"/>
      <c r="U142" s="44">
        <v>42713</v>
      </c>
      <c r="V142" s="52">
        <v>9.7035688669964992E-4</v>
      </c>
    </row>
    <row r="143" spans="3:22">
      <c r="C143" s="20"/>
      <c r="D143" s="173">
        <v>1.2900000000000001E-3</v>
      </c>
      <c r="E143" s="20" t="s">
        <v>90</v>
      </c>
      <c r="F143" s="21">
        <v>2</v>
      </c>
      <c r="G143" s="20" t="s">
        <v>42</v>
      </c>
      <c r="H143" s="20" t="s">
        <v>43</v>
      </c>
      <c r="I143" s="20" t="s">
        <v>40</v>
      </c>
      <c r="J143" s="20" t="s">
        <v>44</v>
      </c>
      <c r="K143" s="17" t="str">
        <f t="shared" si="3"/>
        <v>6M-Euribor-BootstrapIndex#0000</v>
      </c>
      <c r="L143" s="21">
        <v>0</v>
      </c>
      <c r="M143" s="20" t="s">
        <v>45</v>
      </c>
      <c r="N143" s="17" t="str">
        <f t="shared" ref="N143:N165" si="4">$S$16</f>
        <v>EONIA-Curve#0000</v>
      </c>
      <c r="O143" s="22" t="str">
        <f>_xll.qlSwapRateHelper2(,D143,F143,E143,G143,H143,I143,J143,K143,L143,M143,N143)</f>
        <v>obj_00064#0000</v>
      </c>
      <c r="P143" s="23" t="str">
        <f>_xll.ohRangeRetrieveError(O143)</f>
        <v/>
      </c>
      <c r="R143" s="34" t="s">
        <v>61</v>
      </c>
      <c r="S143" s="35"/>
      <c r="U143" s="44">
        <v>42895</v>
      </c>
      <c r="V143" s="52">
        <v>1.2839540272393103E-3</v>
      </c>
    </row>
    <row r="144" spans="3:22">
      <c r="C144" s="20"/>
      <c r="D144" s="173">
        <v>2.2899999999999999E-3</v>
      </c>
      <c r="E144" s="20" t="s">
        <v>91</v>
      </c>
      <c r="F144" s="21">
        <v>2</v>
      </c>
      <c r="G144" s="20" t="s">
        <v>42</v>
      </c>
      <c r="H144" s="20" t="s">
        <v>43</v>
      </c>
      <c r="I144" s="20" t="s">
        <v>40</v>
      </c>
      <c r="J144" s="20" t="s">
        <v>44</v>
      </c>
      <c r="K144" s="17" t="str">
        <f t="shared" si="3"/>
        <v>6M-Euribor-BootstrapIndex#0000</v>
      </c>
      <c r="L144" s="21">
        <v>0</v>
      </c>
      <c r="M144" s="20" t="s">
        <v>45</v>
      </c>
      <c r="N144" s="17" t="str">
        <f t="shared" si="4"/>
        <v>EONIA-Curve#0000</v>
      </c>
      <c r="O144" s="22" t="str">
        <f>_xll.qlSwapRateHelper2(,D144,F144,E144,G144,H144,I144,J144,K144,L144,M144,N144)</f>
        <v>obj_00054#0000</v>
      </c>
      <c r="P144" s="23" t="str">
        <f>_xll.ohRangeRetrieveError(O144)</f>
        <v/>
      </c>
      <c r="R144" s="39" t="s">
        <v>64</v>
      </c>
      <c r="S144" s="40"/>
      <c r="U144" s="44">
        <v>43262</v>
      </c>
      <c r="V144" s="52">
        <v>2.2802858973658482E-3</v>
      </c>
    </row>
    <row r="145" spans="3:22">
      <c r="C145" s="20"/>
      <c r="D145" s="173">
        <v>3.65E-3</v>
      </c>
      <c r="E145" s="20" t="s">
        <v>92</v>
      </c>
      <c r="F145" s="21">
        <v>2</v>
      </c>
      <c r="G145" s="20" t="s">
        <v>42</v>
      </c>
      <c r="H145" s="20" t="s">
        <v>43</v>
      </c>
      <c r="I145" s="20" t="s">
        <v>40</v>
      </c>
      <c r="J145" s="20" t="s">
        <v>44</v>
      </c>
      <c r="K145" s="17" t="str">
        <f t="shared" si="3"/>
        <v>6M-Euribor-BootstrapIndex#0000</v>
      </c>
      <c r="L145" s="21">
        <v>0</v>
      </c>
      <c r="M145" s="20" t="s">
        <v>45</v>
      </c>
      <c r="N145" s="17" t="str">
        <f t="shared" si="4"/>
        <v>EONIA-Curve#0000</v>
      </c>
      <c r="O145" s="22" t="str">
        <f>_xll.qlSwapRateHelper2(,D145,F145,E145,G145,H145,I145,J145,K145,L145,M145,N145)</f>
        <v>obj_0006a#0000</v>
      </c>
      <c r="P145" s="24" t="str">
        <f>_xll.ohRangeRetrieveError(O145)</f>
        <v/>
      </c>
      <c r="U145" s="44">
        <v>43626</v>
      </c>
      <c r="V145" s="52">
        <v>3.6381569636115044E-3</v>
      </c>
    </row>
    <row r="146" spans="3:22">
      <c r="C146" s="20"/>
      <c r="D146" s="173">
        <v>5.1900000000000002E-3</v>
      </c>
      <c r="E146" s="20" t="s">
        <v>93</v>
      </c>
      <c r="F146" s="21">
        <v>2</v>
      </c>
      <c r="G146" s="20" t="s">
        <v>42</v>
      </c>
      <c r="H146" s="20" t="s">
        <v>43</v>
      </c>
      <c r="I146" s="20" t="s">
        <v>40</v>
      </c>
      <c r="J146" s="20" t="s">
        <v>44</v>
      </c>
      <c r="K146" s="17" t="str">
        <f t="shared" si="3"/>
        <v>6M-Euribor-BootstrapIndex#0000</v>
      </c>
      <c r="L146" s="21">
        <v>0</v>
      </c>
      <c r="M146" s="20" t="s">
        <v>45</v>
      </c>
      <c r="N146" s="17" t="str">
        <f t="shared" si="4"/>
        <v>EONIA-Curve#0000</v>
      </c>
      <c r="O146" s="22" t="str">
        <f>_xll.qlSwapRateHelper2(,D146,F146,E146,G146,H146,I146,J146,K146,L146,M146,N146)</f>
        <v>obj_0005a#0000</v>
      </c>
      <c r="P146" s="23" t="str">
        <f>_xll.ohRangeRetrieveError(O146)</f>
        <v/>
      </c>
      <c r="U146" s="44">
        <v>43991</v>
      </c>
      <c r="V146" s="52">
        <v>5.1787065038397737E-3</v>
      </c>
    </row>
    <row r="147" spans="3:22">
      <c r="C147" s="20"/>
      <c r="D147" s="173">
        <v>6.6900000000000006E-3</v>
      </c>
      <c r="E147" s="20" t="s">
        <v>94</v>
      </c>
      <c r="F147" s="21">
        <v>2</v>
      </c>
      <c r="G147" s="20" t="s">
        <v>42</v>
      </c>
      <c r="H147" s="20" t="s">
        <v>43</v>
      </c>
      <c r="I147" s="20" t="s">
        <v>40</v>
      </c>
      <c r="J147" s="20" t="s">
        <v>44</v>
      </c>
      <c r="K147" s="17" t="str">
        <f t="shared" si="3"/>
        <v>6M-Euribor-BootstrapIndex#0000</v>
      </c>
      <c r="L147" s="21">
        <v>0</v>
      </c>
      <c r="M147" s="20" t="s">
        <v>45</v>
      </c>
      <c r="N147" s="17" t="str">
        <f t="shared" si="4"/>
        <v>EONIA-Curve#0000</v>
      </c>
      <c r="O147" s="22" t="str">
        <f>_xll.qlSwapRateHelper2(,D147,F147,E147,G147,H147,I147,J147,K147,L147,M147,N147)</f>
        <v>obj_00063#0000</v>
      </c>
      <c r="P147" s="23" t="str">
        <f>_xll.ohRangeRetrieveError(O147)</f>
        <v/>
      </c>
      <c r="R147" s="29" t="s">
        <v>67</v>
      </c>
      <c r="S147" s="30" t="str">
        <f>_xll.qlEuribor(S149,S150,S151)</f>
        <v>6M-Euribor#0000</v>
      </c>
      <c r="U147" s="44">
        <v>44356</v>
      </c>
      <c r="V147" s="52">
        <v>6.6896202086209125E-3</v>
      </c>
    </row>
    <row r="148" spans="3:22">
      <c r="C148" s="20"/>
      <c r="D148" s="173">
        <v>8.09E-3</v>
      </c>
      <c r="E148" s="20" t="s">
        <v>95</v>
      </c>
      <c r="F148" s="21">
        <v>2</v>
      </c>
      <c r="G148" s="20" t="s">
        <v>42</v>
      </c>
      <c r="H148" s="20" t="s">
        <v>43</v>
      </c>
      <c r="I148" s="20" t="s">
        <v>40</v>
      </c>
      <c r="J148" s="20" t="s">
        <v>44</v>
      </c>
      <c r="K148" s="17" t="str">
        <f t="shared" si="3"/>
        <v>6M-Euribor-BootstrapIndex#0000</v>
      </c>
      <c r="L148" s="21">
        <v>0</v>
      </c>
      <c r="M148" s="20" t="s">
        <v>45</v>
      </c>
      <c r="N148" s="17" t="str">
        <f t="shared" si="4"/>
        <v>EONIA-Curve#0000</v>
      </c>
      <c r="O148" s="22" t="str">
        <f>_xll.qlSwapRateHelper2(,D148,F148,E148,G148,H148,I148,J148,K148,L148,M148,N148)</f>
        <v>obj_00060#0000</v>
      </c>
      <c r="P148" s="23" t="str">
        <f>_xll.ohRangeRetrieveError(O148)</f>
        <v/>
      </c>
      <c r="R148" s="31" t="s">
        <v>13</v>
      </c>
      <c r="S148" s="28" t="str">
        <f>_xll.ohRangeRetrieveError(S147)</f>
        <v/>
      </c>
      <c r="U148" s="44">
        <v>44721</v>
      </c>
      <c r="V148" s="52">
        <v>8.1085903392587293E-3</v>
      </c>
    </row>
    <row r="149" spans="3:22">
      <c r="C149" s="20"/>
      <c r="D149" s="173">
        <v>9.3900000000000008E-3</v>
      </c>
      <c r="E149" s="20" t="s">
        <v>96</v>
      </c>
      <c r="F149" s="21">
        <v>2</v>
      </c>
      <c r="G149" s="20" t="s">
        <v>42</v>
      </c>
      <c r="H149" s="20" t="s">
        <v>43</v>
      </c>
      <c r="I149" s="20" t="s">
        <v>40</v>
      </c>
      <c r="J149" s="20" t="s">
        <v>44</v>
      </c>
      <c r="K149" s="17" t="str">
        <f t="shared" si="3"/>
        <v>6M-Euribor-BootstrapIndex#0000</v>
      </c>
      <c r="L149" s="21">
        <v>0</v>
      </c>
      <c r="M149" s="20" t="s">
        <v>45</v>
      </c>
      <c r="N149" s="17" t="str">
        <f t="shared" si="4"/>
        <v>EONIA-Curve#0000</v>
      </c>
      <c r="O149" s="22" t="str">
        <f>_xll.qlSwapRateHelper2(,D149,F149,E149,G149,H149,I149,J149,K149,L149,M149,N149)</f>
        <v>obj_00059#0000</v>
      </c>
      <c r="P149" s="23" t="str">
        <f>_xll.ohRangeRetrieveError(O149)</f>
        <v/>
      </c>
      <c r="R149" s="46" t="s">
        <v>4</v>
      </c>
      <c r="S149" s="33" t="s">
        <v>68</v>
      </c>
      <c r="U149" s="44">
        <v>45086</v>
      </c>
      <c r="V149" s="52">
        <v>9.4354501885966259E-3</v>
      </c>
    </row>
    <row r="150" spans="3:22">
      <c r="C150" s="20"/>
      <c r="D150" s="173">
        <v>1.0529999999999999E-2</v>
      </c>
      <c r="E150" s="20" t="s">
        <v>97</v>
      </c>
      <c r="F150" s="21">
        <v>2</v>
      </c>
      <c r="G150" s="20" t="s">
        <v>42</v>
      </c>
      <c r="H150" s="20" t="s">
        <v>43</v>
      </c>
      <c r="I150" s="20" t="s">
        <v>40</v>
      </c>
      <c r="J150" s="20" t="s">
        <v>44</v>
      </c>
      <c r="K150" s="17" t="str">
        <f t="shared" si="3"/>
        <v>6M-Euribor-BootstrapIndex#0000</v>
      </c>
      <c r="L150" s="21">
        <v>0</v>
      </c>
      <c r="M150" s="20" t="s">
        <v>45</v>
      </c>
      <c r="N150" s="17" t="str">
        <f t="shared" si="4"/>
        <v>EONIA-Curve#0000</v>
      </c>
      <c r="O150" s="22" t="str">
        <f>_xll.qlSwapRateHelper2(,D150,F150,E150,G150,H150,I150,J150,K150,L150,M150,N150)</f>
        <v>obj_00069#0000</v>
      </c>
      <c r="P150" s="23" t="str">
        <f>_xll.ohRangeRetrieveError(O150)</f>
        <v/>
      </c>
      <c r="R150" s="47" t="s">
        <v>14</v>
      </c>
      <c r="S150" s="35" t="s">
        <v>38</v>
      </c>
      <c r="U150" s="44">
        <v>45453</v>
      </c>
      <c r="V150" s="52">
        <v>1.0603975755199337E-2</v>
      </c>
    </row>
    <row r="151" spans="3:22">
      <c r="C151" s="20"/>
      <c r="D151" s="173">
        <v>1.149E-2</v>
      </c>
      <c r="E151" s="20" t="s">
        <v>98</v>
      </c>
      <c r="F151" s="21">
        <v>2</v>
      </c>
      <c r="G151" s="20" t="s">
        <v>42</v>
      </c>
      <c r="H151" s="20" t="s">
        <v>43</v>
      </c>
      <c r="I151" s="20" t="s">
        <v>40</v>
      </c>
      <c r="J151" s="20" t="s">
        <v>44</v>
      </c>
      <c r="K151" s="17" t="str">
        <f t="shared" si="3"/>
        <v>6M-Euribor-BootstrapIndex#0000</v>
      </c>
      <c r="L151" s="21">
        <v>0</v>
      </c>
      <c r="M151" s="20" t="s">
        <v>45</v>
      </c>
      <c r="N151" s="17" t="str">
        <f t="shared" si="4"/>
        <v>EONIA-Curve#0000</v>
      </c>
      <c r="O151" s="22" t="str">
        <f>_xll.qlSwapRateHelper2(,D151,F151,E151,G151,H151,I151,J151,K151,L151,M151,N151)</f>
        <v>obj_00067#0000</v>
      </c>
      <c r="P151" s="23" t="str">
        <f>_xll.ohRangeRetrieveError(O151)</f>
        <v/>
      </c>
      <c r="R151" s="47" t="s">
        <v>69</v>
      </c>
      <c r="S151" s="48" t="str">
        <f>S130</f>
        <v>6M-EUR-Swap-Curve#0000</v>
      </c>
      <c r="U151" s="44">
        <v>45817</v>
      </c>
      <c r="V151" s="52">
        <v>1.1597127149617423E-2</v>
      </c>
    </row>
    <row r="152" spans="3:22">
      <c r="C152" s="20"/>
      <c r="D152" s="173">
        <v>1.2330000000000001E-2</v>
      </c>
      <c r="E152" s="20" t="s">
        <v>100</v>
      </c>
      <c r="F152" s="21">
        <v>2</v>
      </c>
      <c r="G152" s="20" t="s">
        <v>42</v>
      </c>
      <c r="H152" s="20" t="s">
        <v>43</v>
      </c>
      <c r="I152" s="20" t="s">
        <v>40</v>
      </c>
      <c r="J152" s="20" t="s">
        <v>44</v>
      </c>
      <c r="K152" s="17" t="str">
        <f t="shared" si="3"/>
        <v>6M-Euribor-BootstrapIndex#0000</v>
      </c>
      <c r="L152" s="21">
        <v>0</v>
      </c>
      <c r="M152" s="20" t="s">
        <v>45</v>
      </c>
      <c r="N152" s="17" t="str">
        <f t="shared" si="4"/>
        <v>EONIA-Curve#0000</v>
      </c>
      <c r="O152" s="22" t="str">
        <f>_xll.qlSwapRateHelper2(,D152,F152,E152,G152,H152,I152,J152,K152,L152,M152,N152)</f>
        <v>obj_00055#0000</v>
      </c>
      <c r="P152" s="23" t="str">
        <f>_xll.ohRangeRetrieveError(O152)</f>
        <v/>
      </c>
      <c r="R152" s="47" t="s">
        <v>58</v>
      </c>
      <c r="S152" s="35"/>
      <c r="U152" s="44">
        <v>46182</v>
      </c>
      <c r="V152" s="52">
        <v>1.2471952096422127E-2</v>
      </c>
    </row>
    <row r="153" spans="3:22">
      <c r="C153" s="20"/>
      <c r="D153" s="173">
        <v>1.307E-2</v>
      </c>
      <c r="E153" s="20" t="s">
        <v>101</v>
      </c>
      <c r="F153" s="21">
        <v>2</v>
      </c>
      <c r="G153" s="20" t="s">
        <v>42</v>
      </c>
      <c r="H153" s="20" t="s">
        <v>43</v>
      </c>
      <c r="I153" s="20" t="s">
        <v>40</v>
      </c>
      <c r="J153" s="20" t="s">
        <v>44</v>
      </c>
      <c r="K153" s="17" t="str">
        <f t="shared" si="3"/>
        <v>6M-Euribor-BootstrapIndex#0000</v>
      </c>
      <c r="L153" s="21">
        <v>0</v>
      </c>
      <c r="M153" s="20" t="s">
        <v>45</v>
      </c>
      <c r="N153" s="17" t="str">
        <f t="shared" si="4"/>
        <v>EONIA-Curve#0000</v>
      </c>
      <c r="O153" s="22" t="str">
        <f>_xll.qlSwapRateHelper2(,D153,F153,E153,G153,H153,I153,J153,K153,L153,M153,N153)</f>
        <v>obj_0005f#0000</v>
      </c>
      <c r="P153" s="23" t="str">
        <f>_xll.ohRangeRetrieveError(O153)</f>
        <v/>
      </c>
      <c r="R153" s="47" t="s">
        <v>61</v>
      </c>
      <c r="S153" s="35"/>
      <c r="U153" s="44">
        <v>46547</v>
      </c>
      <c r="V153" s="52">
        <v>1.3247789365581466E-2</v>
      </c>
    </row>
    <row r="154" spans="3:22">
      <c r="C154" s="20"/>
      <c r="D154" s="173">
        <v>1.367E-2</v>
      </c>
      <c r="E154" s="20" t="s">
        <v>120</v>
      </c>
      <c r="F154" s="21">
        <v>2</v>
      </c>
      <c r="G154" s="20" t="s">
        <v>42</v>
      </c>
      <c r="H154" s="20" t="s">
        <v>43</v>
      </c>
      <c r="I154" s="20" t="s">
        <v>40</v>
      </c>
      <c r="J154" s="20" t="s">
        <v>44</v>
      </c>
      <c r="K154" s="17" t="str">
        <f t="shared" si="3"/>
        <v>6M-Euribor-BootstrapIndex#0000</v>
      </c>
      <c r="L154" s="21">
        <v>0</v>
      </c>
      <c r="M154" s="20" t="s">
        <v>45</v>
      </c>
      <c r="N154" s="17" t="str">
        <f t="shared" si="4"/>
        <v>EONIA-Curve#0000</v>
      </c>
      <c r="O154" s="22" t="str">
        <f>_xll.qlSwapRateHelper2(,D154,F154,E154,G154,H154,I154,J154,K154,L154,M154,N154)</f>
        <v>obj_0005b#0000</v>
      </c>
      <c r="P154" s="23" t="str">
        <f>_xll.ohRangeRetrieveError(O154)</f>
        <v/>
      </c>
      <c r="R154" s="49" t="s">
        <v>64</v>
      </c>
      <c r="S154" s="40"/>
      <c r="U154" s="44">
        <v>46913</v>
      </c>
      <c r="V154" s="52">
        <v>1.3876121267127591E-2</v>
      </c>
    </row>
    <row r="155" spans="3:22">
      <c r="C155" s="20"/>
      <c r="D155" s="173">
        <v>1.4180000000000002E-2</v>
      </c>
      <c r="E155" s="20" t="s">
        <v>121</v>
      </c>
      <c r="F155" s="21">
        <v>2</v>
      </c>
      <c r="G155" s="20" t="s">
        <v>42</v>
      </c>
      <c r="H155" s="20" t="s">
        <v>43</v>
      </c>
      <c r="I155" s="20" t="s">
        <v>40</v>
      </c>
      <c r="J155" s="20" t="s">
        <v>44</v>
      </c>
      <c r="K155" s="17" t="str">
        <f t="shared" si="3"/>
        <v>6M-Euribor-BootstrapIndex#0000</v>
      </c>
      <c r="L155" s="21">
        <v>0</v>
      </c>
      <c r="M155" s="20" t="s">
        <v>45</v>
      </c>
      <c r="N155" s="17" t="str">
        <f t="shared" si="4"/>
        <v>EONIA-Curve#0000</v>
      </c>
      <c r="O155" s="22" t="str">
        <f>_xll.qlSwapRateHelper2(,D155,F155,E155,G155,H155,I155,J155,K155,L155,M155,N155)</f>
        <v>obj_00068#0000</v>
      </c>
      <c r="P155" s="23" t="str">
        <f>_xll.ohRangeRetrieveError(O155)</f>
        <v/>
      </c>
      <c r="U155" s="44">
        <v>47280</v>
      </c>
      <c r="V155" s="52">
        <v>1.4414780254258238E-2</v>
      </c>
    </row>
    <row r="156" spans="3:22">
      <c r="C156" s="20"/>
      <c r="D156" s="173">
        <v>1.4619999999999999E-2</v>
      </c>
      <c r="E156" s="20" t="s">
        <v>99</v>
      </c>
      <c r="F156" s="21">
        <v>2</v>
      </c>
      <c r="G156" s="20" t="s">
        <v>42</v>
      </c>
      <c r="H156" s="20" t="s">
        <v>43</v>
      </c>
      <c r="I156" s="20" t="s">
        <v>40</v>
      </c>
      <c r="J156" s="20" t="s">
        <v>44</v>
      </c>
      <c r="K156" s="17" t="str">
        <f t="shared" si="3"/>
        <v>6M-Euribor-BootstrapIndex#0000</v>
      </c>
      <c r="L156" s="21">
        <v>0</v>
      </c>
      <c r="M156" s="20" t="s">
        <v>45</v>
      </c>
      <c r="N156" s="17" t="str">
        <f t="shared" si="4"/>
        <v>EONIA-Curve#0000</v>
      </c>
      <c r="O156" s="22" t="str">
        <f>_xll.qlSwapRateHelper2(,D156,F156,E156,G156,H156,I156,J156,K156,L156,M156,N156)</f>
        <v>obj_00061#0000</v>
      </c>
      <c r="P156" s="23" t="str">
        <f>_xll.ohRangeRetrieveError(O156)</f>
        <v/>
      </c>
      <c r="S156" s="3" t="b">
        <f>_xll.qlExtrapolatorEnableExtrapolation(S130)</f>
        <v>1</v>
      </c>
      <c r="U156" s="44">
        <v>47644</v>
      </c>
      <c r="V156" s="52">
        <v>1.4881584899510985E-2</v>
      </c>
    </row>
    <row r="157" spans="3:22">
      <c r="C157" s="20"/>
      <c r="D157" s="173">
        <v>1.4959999999999999E-2</v>
      </c>
      <c r="E157" s="20" t="s">
        <v>122</v>
      </c>
      <c r="F157" s="21">
        <v>2</v>
      </c>
      <c r="G157" s="20" t="s">
        <v>42</v>
      </c>
      <c r="H157" s="20" t="s">
        <v>43</v>
      </c>
      <c r="I157" s="20" t="s">
        <v>40</v>
      </c>
      <c r="J157" s="20" t="s">
        <v>44</v>
      </c>
      <c r="K157" s="17" t="str">
        <f t="shared" si="3"/>
        <v>6M-Euribor-BootstrapIndex#0000</v>
      </c>
      <c r="L157" s="21">
        <v>0</v>
      </c>
      <c r="M157" s="20" t="s">
        <v>45</v>
      </c>
      <c r="N157" s="17" t="str">
        <f t="shared" si="4"/>
        <v>EONIA-Curve#0000</v>
      </c>
      <c r="O157" s="22" t="str">
        <f>_xll.qlSwapRateHelper2(,D157,F157,E157,G157,H157,I157,J157,K157,L157,M157,N157)</f>
        <v>obj_00057#0000</v>
      </c>
      <c r="P157" s="23" t="str">
        <f>_xll.ohRangeRetrieveError(O157)</f>
        <v/>
      </c>
      <c r="R157" s="1" t="s">
        <v>79</v>
      </c>
      <c r="S157" s="54" t="str">
        <f>_xll.qlSwapIndex("6M-EURSwaps",,"6M",2,"EUR",G162,"1Y",I162,J162,S147,S16)</f>
        <v>6M-EURSwaps#0000</v>
      </c>
      <c r="U157" s="44">
        <v>48008</v>
      </c>
      <c r="V157" s="52">
        <v>1.5240930691287697E-2</v>
      </c>
    </row>
    <row r="158" spans="3:22">
      <c r="C158" s="20"/>
      <c r="D158" s="173">
        <v>1.524E-2</v>
      </c>
      <c r="E158" s="20" t="s">
        <v>123</v>
      </c>
      <c r="F158" s="21">
        <v>2</v>
      </c>
      <c r="G158" s="20" t="s">
        <v>42</v>
      </c>
      <c r="H158" s="20" t="s">
        <v>43</v>
      </c>
      <c r="I158" s="20" t="s">
        <v>40</v>
      </c>
      <c r="J158" s="20" t="s">
        <v>44</v>
      </c>
      <c r="K158" s="17" t="str">
        <f t="shared" si="3"/>
        <v>6M-Euribor-BootstrapIndex#0000</v>
      </c>
      <c r="L158" s="21">
        <v>0</v>
      </c>
      <c r="M158" s="20" t="s">
        <v>45</v>
      </c>
      <c r="N158" s="17" t="str">
        <f t="shared" si="4"/>
        <v>EONIA-Curve#0000</v>
      </c>
      <c r="O158" s="22" t="str">
        <f>_xll.qlSwapRateHelper2(,D158,F158,E158,G158,H158,I158,J158,K158,L158,M158,N158)</f>
        <v>obj_00066#0000</v>
      </c>
      <c r="P158" s="23" t="str">
        <f>_xll.ohRangeRetrieveError(O158)</f>
        <v/>
      </c>
      <c r="U158" s="44">
        <v>48374</v>
      </c>
      <c r="V158" s="52">
        <v>1.5533478816511395E-2</v>
      </c>
    </row>
    <row r="159" spans="3:22">
      <c r="C159" s="20"/>
      <c r="D159" s="173">
        <v>1.5449999999999998E-2</v>
      </c>
      <c r="E159" s="20" t="s">
        <v>124</v>
      </c>
      <c r="F159" s="21">
        <v>2</v>
      </c>
      <c r="G159" s="20" t="s">
        <v>42</v>
      </c>
      <c r="H159" s="20" t="s">
        <v>43</v>
      </c>
      <c r="I159" s="20" t="s">
        <v>40</v>
      </c>
      <c r="J159" s="20" t="s">
        <v>44</v>
      </c>
      <c r="K159" s="17" t="str">
        <f t="shared" si="3"/>
        <v>6M-Euribor-BootstrapIndex#0000</v>
      </c>
      <c r="L159" s="21">
        <v>0</v>
      </c>
      <c r="M159" s="20" t="s">
        <v>45</v>
      </c>
      <c r="N159" s="17" t="str">
        <f t="shared" si="4"/>
        <v>EONIA-Curve#0000</v>
      </c>
      <c r="O159" s="22" t="str">
        <f>_xll.qlSwapRateHelper2(,D159,F159,E159,G159,H159,I159,J159,K159,L159,M159,N159)</f>
        <v>obj_00065#0000</v>
      </c>
      <c r="P159" s="24" t="str">
        <f>_xll.ohRangeRetrieveError(O159)</f>
        <v/>
      </c>
      <c r="U159" s="45">
        <v>48739</v>
      </c>
      <c r="V159" s="53">
        <v>1.5751986685401512E-2</v>
      </c>
    </row>
    <row r="160" spans="3:22">
      <c r="C160" s="20"/>
      <c r="D160" s="173">
        <v>1.562E-2</v>
      </c>
      <c r="E160" s="20" t="s">
        <v>125</v>
      </c>
      <c r="F160" s="21">
        <v>2</v>
      </c>
      <c r="G160" s="20" t="s">
        <v>42</v>
      </c>
      <c r="H160" s="20" t="s">
        <v>43</v>
      </c>
      <c r="I160" s="20" t="s">
        <v>40</v>
      </c>
      <c r="J160" s="20" t="s">
        <v>44</v>
      </c>
      <c r="K160" s="17" t="str">
        <f t="shared" si="3"/>
        <v>6M-Euribor-BootstrapIndex#0000</v>
      </c>
      <c r="L160" s="21">
        <v>0</v>
      </c>
      <c r="M160" s="20" t="s">
        <v>45</v>
      </c>
      <c r="N160" s="17" t="str">
        <f t="shared" si="4"/>
        <v>EONIA-Curve#0000</v>
      </c>
      <c r="O160" s="22" t="str">
        <f>_xll.qlSwapRateHelper2(,D160,F160,E160,G160,H160,I160,J160,K160,L160,M160,N160)</f>
        <v>obj_00056#0000</v>
      </c>
      <c r="P160" s="23" t="str">
        <f>_xll.ohRangeRetrieveError(O160)</f>
        <v/>
      </c>
    </row>
    <row r="161" spans="3:19">
      <c r="C161" s="20"/>
      <c r="D161" s="173">
        <v>1.5740000000000001E-2</v>
      </c>
      <c r="E161" s="20" t="s">
        <v>102</v>
      </c>
      <c r="F161" s="21">
        <v>2</v>
      </c>
      <c r="G161" s="20" t="s">
        <v>42</v>
      </c>
      <c r="H161" s="20" t="s">
        <v>43</v>
      </c>
      <c r="I161" s="20" t="s">
        <v>40</v>
      </c>
      <c r="J161" s="20" t="s">
        <v>44</v>
      </c>
      <c r="K161" s="17" t="str">
        <f t="shared" si="3"/>
        <v>6M-Euribor-BootstrapIndex#0000</v>
      </c>
      <c r="L161" s="21">
        <v>0</v>
      </c>
      <c r="M161" s="20" t="s">
        <v>45</v>
      </c>
      <c r="N161" s="17" t="str">
        <f t="shared" si="4"/>
        <v>EONIA-Curve#0000</v>
      </c>
      <c r="O161" s="22" t="str">
        <f>_xll.qlSwapRateHelper2(,D161,F161,E161,G161,H161,I161,J161,K161,L161,M161,N161)</f>
        <v>obj_00058#0000</v>
      </c>
      <c r="P161" s="23" t="str">
        <f>_xll.ohRangeRetrieveError(O161)</f>
        <v/>
      </c>
      <c r="R161" s="142">
        <v>45817</v>
      </c>
      <c r="S161" s="143">
        <f>_xll.qlYieldTSDiscount(S130,R161)</f>
        <v>0.89030277083930576</v>
      </c>
    </row>
    <row r="162" spans="3:19">
      <c r="C162" s="20"/>
      <c r="D162" s="173">
        <v>1.5990000000000001E-2</v>
      </c>
      <c r="E162" s="20" t="s">
        <v>103</v>
      </c>
      <c r="F162" s="21">
        <v>2</v>
      </c>
      <c r="G162" s="20" t="s">
        <v>42</v>
      </c>
      <c r="H162" s="20" t="s">
        <v>43</v>
      </c>
      <c r="I162" s="20" t="s">
        <v>40</v>
      </c>
      <c r="J162" s="20" t="s">
        <v>44</v>
      </c>
      <c r="K162" s="17" t="str">
        <f t="shared" si="3"/>
        <v>6M-Euribor-BootstrapIndex#0000</v>
      </c>
      <c r="L162" s="21">
        <v>0</v>
      </c>
      <c r="M162" s="20" t="s">
        <v>45</v>
      </c>
      <c r="N162" s="17" t="str">
        <f t="shared" si="4"/>
        <v>EONIA-Curve#0000</v>
      </c>
      <c r="O162" s="22" t="str">
        <f>_xll.qlSwapRateHelper2(,D162,F162,E162,G162,H162,I162,J162,K162,L162,M162,N162)</f>
        <v>obj_0005c#0000</v>
      </c>
      <c r="P162" s="23" t="str">
        <f>_xll.ohRangeRetrieveError(O162)</f>
        <v/>
      </c>
    </row>
    <row r="163" spans="3:19">
      <c r="C163" s="20"/>
      <c r="D163" s="173">
        <v>1.6109999999999999E-2</v>
      </c>
      <c r="E163" s="20" t="s">
        <v>104</v>
      </c>
      <c r="F163" s="21">
        <v>2</v>
      </c>
      <c r="G163" s="20" t="s">
        <v>42</v>
      </c>
      <c r="H163" s="20" t="s">
        <v>43</v>
      </c>
      <c r="I163" s="20" t="s">
        <v>40</v>
      </c>
      <c r="J163" s="20" t="s">
        <v>44</v>
      </c>
      <c r="K163" s="17" t="str">
        <f t="shared" si="3"/>
        <v>6M-Euribor-BootstrapIndex#0000</v>
      </c>
      <c r="L163" s="21">
        <v>0</v>
      </c>
      <c r="M163" s="20" t="s">
        <v>45</v>
      </c>
      <c r="N163" s="17" t="str">
        <f t="shared" si="4"/>
        <v>EONIA-Curve#0000</v>
      </c>
      <c r="O163" s="22" t="str">
        <f>_xll.qlSwapRateHelper2(,D163,F163,E163,G163,H163,I163,J163,K163,L163,M163,N163)</f>
        <v>obj_0005d#0000</v>
      </c>
      <c r="P163" s="23" t="str">
        <f>_xll.ohRangeRetrieveError(O163)</f>
        <v/>
      </c>
    </row>
    <row r="164" spans="3:19">
      <c r="C164" s="20"/>
      <c r="D164" s="173">
        <v>1.6240000000000001E-2</v>
      </c>
      <c r="E164" s="20" t="s">
        <v>134</v>
      </c>
      <c r="F164" s="21">
        <v>2</v>
      </c>
      <c r="G164" s="20" t="s">
        <v>42</v>
      </c>
      <c r="H164" s="20" t="s">
        <v>43</v>
      </c>
      <c r="I164" s="20" t="s">
        <v>40</v>
      </c>
      <c r="J164" s="20" t="s">
        <v>44</v>
      </c>
      <c r="K164" s="17" t="str">
        <f t="shared" si="3"/>
        <v>6M-Euribor-BootstrapIndex#0000</v>
      </c>
      <c r="L164" s="21">
        <v>0</v>
      </c>
      <c r="M164" s="20" t="s">
        <v>45</v>
      </c>
      <c r="N164" s="17" t="str">
        <f t="shared" si="4"/>
        <v>EONIA-Curve#0000</v>
      </c>
      <c r="O164" s="22" t="str">
        <f>_xll.qlSwapRateHelper2(,D164,F164,E164,G164,H164,I164,J164,K164,L164,M164,N164)</f>
        <v>obj_00062#0000</v>
      </c>
      <c r="P164" s="23" t="str">
        <f>_xll.ohRangeRetrieveError(O164)</f>
        <v/>
      </c>
    </row>
    <row r="165" spans="3:19">
      <c r="C165" s="25"/>
      <c r="D165" s="175">
        <v>1.5789999999999998E-2</v>
      </c>
      <c r="E165" s="25" t="s">
        <v>135</v>
      </c>
      <c r="F165" s="81">
        <v>2</v>
      </c>
      <c r="G165" s="25" t="s">
        <v>42</v>
      </c>
      <c r="H165" s="25" t="s">
        <v>43</v>
      </c>
      <c r="I165" s="25" t="s">
        <v>40</v>
      </c>
      <c r="J165" s="25" t="s">
        <v>44</v>
      </c>
      <c r="K165" s="26" t="str">
        <f t="shared" si="3"/>
        <v>6M-Euribor-BootstrapIndex#0000</v>
      </c>
      <c r="L165" s="81">
        <v>0</v>
      </c>
      <c r="M165" s="25" t="s">
        <v>45</v>
      </c>
      <c r="N165" s="26" t="str">
        <f t="shared" si="4"/>
        <v>EONIA-Curve#0000</v>
      </c>
      <c r="O165" s="82" t="str">
        <f>_xll.qlSwapRateHelper2(,D165,F165,E165,G165,H165,I165,J165,K165,L165,M165,N165)</f>
        <v>obj_0005e#0000</v>
      </c>
      <c r="P165" s="83" t="str">
        <f>_xll.ohRangeRetrieveError(O165)</f>
        <v/>
      </c>
    </row>
    <row r="166" spans="3:19">
      <c r="C166" s="144"/>
      <c r="D166" s="145"/>
      <c r="E166" s="144"/>
      <c r="F166" s="144"/>
      <c r="G166" s="144"/>
      <c r="H166" s="144"/>
      <c r="I166" s="144"/>
      <c r="J166" s="144"/>
      <c r="K166" s="146"/>
      <c r="L166" s="147"/>
      <c r="M166" s="144"/>
      <c r="N166" s="146"/>
      <c r="O166" s="148"/>
      <c r="P166" s="149"/>
    </row>
    <row r="167" spans="3:19">
      <c r="C167" s="144"/>
      <c r="D167" s="145"/>
      <c r="E167" s="144"/>
      <c r="F167" s="144"/>
      <c r="G167" s="144"/>
      <c r="H167" s="144"/>
      <c r="I167" s="144"/>
      <c r="J167" s="144"/>
      <c r="K167" s="146"/>
      <c r="L167" s="147"/>
      <c r="M167" s="144"/>
      <c r="N167" s="146"/>
      <c r="O167" s="148"/>
      <c r="P167" s="149"/>
    </row>
  </sheetData>
  <mergeCells count="1">
    <mergeCell ref="C5:D5"/>
  </mergeCells>
  <phoneticPr fontId="0" type="noConversion"/>
  <dataValidations count="6">
    <dataValidation type="list" allowBlank="1" showInputMessage="1" showErrorMessage="1" sqref="S136 S75 S22 K18 J19:J56 J68:J114 J131:J16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H130 S134 S73 S20 H18 F20:G56 F166:F167 G68:G114 G131:G16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H19:H56 H68:H114 H131:H167">
      <formula1>"Annual,Semiannual,EveryFourthMonth,Quarterly,Bimonthly,Monthly,Biweekly,Weekly,Daily,Once,NoFrequency"</formula1>
    </dataValidation>
    <dataValidation type="list" allowBlank="1" showInputMessage="1" showErrorMessage="1" sqref="I18:I56 I68:I114 I130:I167">
      <formula1>"Following,Modified Following,Preceding,Modified Preceding,Unadjusted"</formula1>
    </dataValidation>
    <dataValidation type="list" allowBlank="1" showInputMessage="1" showErrorMessage="1" sqref="S140 S79 S26">
      <formula1>"Discount,ZeroYield,ForwardRate"</formula1>
    </dataValidation>
    <dataValidation type="list" allowBlank="1" showInputMessage="1" showErrorMessage="1" sqref="S141 S80 S27">
      <formula1>"BackwardFlat,ForwardFlat,Linear,LogLinear,Cubic,LogCubic"</formula1>
    </dataValidation>
  </dataValidations>
  <pageMargins left="0.7" right="0.7" top="0.75" bottom="0.75" header="0.3" footer="0.3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C2:AI149"/>
  <sheetViews>
    <sheetView showGridLines="0" topLeftCell="A19" zoomScale="70" zoomScaleNormal="70" workbookViewId="0">
      <selection activeCell="W43" sqref="W43"/>
    </sheetView>
  </sheetViews>
  <sheetFormatPr defaultRowHeight="15"/>
  <cols>
    <col min="3" max="3" width="17" bestFit="1" customWidth="1"/>
    <col min="20" max="20" width="14" customWidth="1"/>
  </cols>
  <sheetData>
    <row r="2" spans="3:18">
      <c r="C2" s="62" t="s">
        <v>142</v>
      </c>
      <c r="D2" s="63" t="s">
        <v>143</v>
      </c>
      <c r="E2" s="64" t="s">
        <v>80</v>
      </c>
      <c r="F2" s="64">
        <v>-0.5</v>
      </c>
      <c r="G2" s="64">
        <v>-0.25</v>
      </c>
      <c r="H2" s="64">
        <v>-0.13</v>
      </c>
      <c r="I2" s="64">
        <v>0</v>
      </c>
      <c r="J2" s="64">
        <v>0.13</v>
      </c>
      <c r="K2" s="64">
        <v>0.25</v>
      </c>
      <c r="L2" s="64">
        <v>0.5</v>
      </c>
      <c r="M2" s="64">
        <v>1</v>
      </c>
      <c r="N2" s="64">
        <v>1.5</v>
      </c>
      <c r="O2" s="64">
        <v>2</v>
      </c>
      <c r="P2" s="64">
        <v>3</v>
      </c>
      <c r="Q2" s="64">
        <v>5</v>
      </c>
      <c r="R2" s="65">
        <v>10</v>
      </c>
    </row>
    <row r="3" spans="3:18">
      <c r="C3" s="66" t="s">
        <v>23</v>
      </c>
      <c r="D3" s="67">
        <v>0.01</v>
      </c>
      <c r="E3" s="68">
        <v>5</v>
      </c>
      <c r="F3" s="68" t="s">
        <v>144</v>
      </c>
      <c r="G3" s="68" t="s">
        <v>144</v>
      </c>
      <c r="H3" s="68" t="s">
        <v>144</v>
      </c>
      <c r="I3" s="68" t="s">
        <v>144</v>
      </c>
      <c r="J3" s="68">
        <v>3</v>
      </c>
      <c r="K3" s="68">
        <v>2</v>
      </c>
      <c r="L3" s="68">
        <v>1</v>
      </c>
      <c r="M3" s="68">
        <v>1</v>
      </c>
      <c r="N3" s="68" t="s">
        <v>144</v>
      </c>
      <c r="O3" s="68" t="s">
        <v>144</v>
      </c>
      <c r="P3" s="68" t="s">
        <v>144</v>
      </c>
      <c r="Q3" s="68" t="s">
        <v>144</v>
      </c>
      <c r="R3" s="69" t="s">
        <v>144</v>
      </c>
    </row>
    <row r="4" spans="3:18">
      <c r="C4" s="70" t="s">
        <v>47</v>
      </c>
      <c r="D4" s="71">
        <v>0.03</v>
      </c>
      <c r="E4" s="72">
        <v>12</v>
      </c>
      <c r="F4" s="72" t="s">
        <v>144</v>
      </c>
      <c r="G4" s="72" t="s">
        <v>144</v>
      </c>
      <c r="H4" s="72" t="s">
        <v>144</v>
      </c>
      <c r="I4" s="72" t="s">
        <v>144</v>
      </c>
      <c r="J4" s="72">
        <v>8</v>
      </c>
      <c r="K4" s="72">
        <v>5</v>
      </c>
      <c r="L4" s="72">
        <v>3</v>
      </c>
      <c r="M4" s="72">
        <v>2</v>
      </c>
      <c r="N4" s="72">
        <v>1</v>
      </c>
      <c r="O4" s="72">
        <v>1</v>
      </c>
      <c r="P4" s="72">
        <v>1</v>
      </c>
      <c r="Q4" s="72">
        <v>1</v>
      </c>
      <c r="R4" s="84" t="s">
        <v>144</v>
      </c>
    </row>
    <row r="5" spans="3:18">
      <c r="C5" s="70" t="s">
        <v>24</v>
      </c>
      <c r="D5" s="71">
        <v>0.06</v>
      </c>
      <c r="E5" s="72">
        <v>21</v>
      </c>
      <c r="F5" s="72" t="s">
        <v>144</v>
      </c>
      <c r="G5" s="72" t="s">
        <v>144</v>
      </c>
      <c r="H5" s="72" t="s">
        <v>144</v>
      </c>
      <c r="I5" s="72" t="s">
        <v>144</v>
      </c>
      <c r="J5" s="72">
        <v>17</v>
      </c>
      <c r="K5" s="72">
        <v>11</v>
      </c>
      <c r="L5" s="72">
        <v>7</v>
      </c>
      <c r="M5" s="72">
        <v>4</v>
      </c>
      <c r="N5" s="72">
        <v>3</v>
      </c>
      <c r="O5" s="72">
        <v>2</v>
      </c>
      <c r="P5" s="72">
        <v>2</v>
      </c>
      <c r="Q5" s="72">
        <v>1</v>
      </c>
      <c r="R5" s="84">
        <v>1</v>
      </c>
    </row>
    <row r="6" spans="3:18">
      <c r="C6" s="70" t="s">
        <v>25</v>
      </c>
      <c r="D6" s="71">
        <v>0.26</v>
      </c>
      <c r="E6" s="72">
        <v>48</v>
      </c>
      <c r="F6" s="72" t="s">
        <v>144</v>
      </c>
      <c r="G6" s="72" t="s">
        <v>144</v>
      </c>
      <c r="H6" s="72" t="s">
        <v>144</v>
      </c>
      <c r="I6" s="72" t="s">
        <v>144</v>
      </c>
      <c r="J6" s="72" t="s">
        <v>144</v>
      </c>
      <c r="K6" s="72" t="s">
        <v>144</v>
      </c>
      <c r="L6" s="72">
        <v>30</v>
      </c>
      <c r="M6" s="72">
        <v>15</v>
      </c>
      <c r="N6" s="72">
        <v>10</v>
      </c>
      <c r="O6" s="72">
        <v>7</v>
      </c>
      <c r="P6" s="72">
        <v>5</v>
      </c>
      <c r="Q6" s="72">
        <v>3</v>
      </c>
      <c r="R6" s="84">
        <v>1</v>
      </c>
    </row>
    <row r="7" spans="3:18">
      <c r="C7" s="70" t="s">
        <v>26</v>
      </c>
      <c r="D7" s="71">
        <v>0.4</v>
      </c>
      <c r="E7" s="72">
        <v>98</v>
      </c>
      <c r="F7" s="72" t="s">
        <v>144</v>
      </c>
      <c r="G7" s="72" t="s">
        <v>144</v>
      </c>
      <c r="H7" s="72" t="s">
        <v>144</v>
      </c>
      <c r="I7" s="72" t="s">
        <v>144</v>
      </c>
      <c r="J7" s="72" t="s">
        <v>144</v>
      </c>
      <c r="K7" s="72" t="s">
        <v>144</v>
      </c>
      <c r="L7" s="72">
        <v>86</v>
      </c>
      <c r="M7" s="72">
        <v>47</v>
      </c>
      <c r="N7" s="72">
        <v>29</v>
      </c>
      <c r="O7" s="72">
        <v>20</v>
      </c>
      <c r="P7" s="72">
        <v>12</v>
      </c>
      <c r="Q7" s="72">
        <v>6</v>
      </c>
      <c r="R7" s="84">
        <v>2</v>
      </c>
    </row>
    <row r="8" spans="3:18">
      <c r="C8" s="70" t="s">
        <v>27</v>
      </c>
      <c r="D8" s="71">
        <v>0.56000000000000005</v>
      </c>
      <c r="E8" s="72">
        <v>166</v>
      </c>
      <c r="F8" s="72" t="s">
        <v>144</v>
      </c>
      <c r="G8" s="72" t="s">
        <v>144</v>
      </c>
      <c r="H8" s="72" t="s">
        <v>144</v>
      </c>
      <c r="I8" s="72" t="s">
        <v>144</v>
      </c>
      <c r="J8" s="72" t="s">
        <v>144</v>
      </c>
      <c r="K8" s="72" t="s">
        <v>144</v>
      </c>
      <c r="L8" s="72" t="s">
        <v>144</v>
      </c>
      <c r="M8" s="72">
        <v>106</v>
      </c>
      <c r="N8" s="72">
        <v>66</v>
      </c>
      <c r="O8" s="72">
        <v>44</v>
      </c>
      <c r="P8" s="72">
        <v>24</v>
      </c>
      <c r="Q8" s="72">
        <v>11</v>
      </c>
      <c r="R8" s="84">
        <v>3</v>
      </c>
    </row>
    <row r="9" spans="3:18">
      <c r="C9" s="70" t="s">
        <v>28</v>
      </c>
      <c r="D9" s="71">
        <v>0.71</v>
      </c>
      <c r="E9" s="72">
        <v>250</v>
      </c>
      <c r="F9" s="72" t="s">
        <v>144</v>
      </c>
      <c r="G9" s="72" t="s">
        <v>144</v>
      </c>
      <c r="H9" s="72" t="s">
        <v>144</v>
      </c>
      <c r="I9" s="72" t="s">
        <v>144</v>
      </c>
      <c r="J9" s="72" t="s">
        <v>144</v>
      </c>
      <c r="K9" s="72" t="s">
        <v>144</v>
      </c>
      <c r="L9" s="72" t="s">
        <v>144</v>
      </c>
      <c r="M9" s="72">
        <v>194</v>
      </c>
      <c r="N9" s="72">
        <v>125</v>
      </c>
      <c r="O9" s="72">
        <v>83</v>
      </c>
      <c r="P9" s="72">
        <v>42</v>
      </c>
      <c r="Q9" s="72">
        <v>17</v>
      </c>
      <c r="R9" s="84">
        <v>5</v>
      </c>
    </row>
    <row r="10" spans="3:18">
      <c r="C10" s="70" t="s">
        <v>29</v>
      </c>
      <c r="D10" s="71">
        <v>0.85</v>
      </c>
      <c r="E10" s="72">
        <v>343</v>
      </c>
      <c r="F10" s="72" t="s">
        <v>144</v>
      </c>
      <c r="G10" s="72" t="s">
        <v>144</v>
      </c>
      <c r="H10" s="72" t="s">
        <v>144</v>
      </c>
      <c r="I10" s="72" t="s">
        <v>144</v>
      </c>
      <c r="J10" s="72" t="s">
        <v>144</v>
      </c>
      <c r="K10" s="72" t="s">
        <v>144</v>
      </c>
      <c r="L10" s="72" t="s">
        <v>144</v>
      </c>
      <c r="M10" s="72">
        <v>305</v>
      </c>
      <c r="N10" s="72">
        <v>205</v>
      </c>
      <c r="O10" s="72">
        <v>138</v>
      </c>
      <c r="P10" s="72">
        <v>70</v>
      </c>
      <c r="Q10" s="72">
        <v>29</v>
      </c>
      <c r="R10" s="84">
        <v>8</v>
      </c>
    </row>
    <row r="11" spans="3:18">
      <c r="C11" s="70" t="s">
        <v>30</v>
      </c>
      <c r="D11" s="71">
        <v>0.98</v>
      </c>
      <c r="E11" s="72">
        <v>441</v>
      </c>
      <c r="F11" s="72" t="s">
        <v>144</v>
      </c>
      <c r="G11" s="72" t="s">
        <v>144</v>
      </c>
      <c r="H11" s="72" t="s">
        <v>144</v>
      </c>
      <c r="I11" s="72" t="s">
        <v>144</v>
      </c>
      <c r="J11" s="72" t="s">
        <v>144</v>
      </c>
      <c r="K11" s="72" t="s">
        <v>144</v>
      </c>
      <c r="L11" s="72" t="s">
        <v>144</v>
      </c>
      <c r="M11" s="72">
        <v>434</v>
      </c>
      <c r="N11" s="72">
        <v>302</v>
      </c>
      <c r="O11" s="72">
        <v>209</v>
      </c>
      <c r="P11" s="72">
        <v>108</v>
      </c>
      <c r="Q11" s="72">
        <v>43</v>
      </c>
      <c r="R11" s="84">
        <v>12</v>
      </c>
    </row>
    <row r="12" spans="3:18">
      <c r="C12" s="70" t="s">
        <v>31</v>
      </c>
      <c r="D12" s="71">
        <v>1.0900000000000001</v>
      </c>
      <c r="E12" s="72">
        <v>541</v>
      </c>
      <c r="F12" s="72" t="s">
        <v>144</v>
      </c>
      <c r="G12" s="72" t="s">
        <v>144</v>
      </c>
      <c r="H12" s="72" t="s">
        <v>144</v>
      </c>
      <c r="I12" s="72" t="s">
        <v>144</v>
      </c>
      <c r="J12" s="72" t="s">
        <v>144</v>
      </c>
      <c r="K12" s="72" t="s">
        <v>144</v>
      </c>
      <c r="L12" s="72" t="s">
        <v>144</v>
      </c>
      <c r="M12" s="72" t="s">
        <v>144</v>
      </c>
      <c r="N12" s="72">
        <v>410</v>
      </c>
      <c r="O12" s="72">
        <v>291</v>
      </c>
      <c r="P12" s="72">
        <v>153</v>
      </c>
      <c r="Q12" s="72">
        <v>59</v>
      </c>
      <c r="R12" s="84">
        <v>16</v>
      </c>
    </row>
    <row r="13" spans="3:18">
      <c r="C13" s="70" t="s">
        <v>32</v>
      </c>
      <c r="D13" s="71">
        <v>1.18</v>
      </c>
      <c r="E13" s="72">
        <v>640</v>
      </c>
      <c r="F13" s="72" t="s">
        <v>144</v>
      </c>
      <c r="G13" s="72" t="s">
        <v>144</v>
      </c>
      <c r="H13" s="72" t="s">
        <v>144</v>
      </c>
      <c r="I13" s="72" t="s">
        <v>144</v>
      </c>
      <c r="J13" s="72" t="s">
        <v>144</v>
      </c>
      <c r="K13" s="72" t="s">
        <v>144</v>
      </c>
      <c r="L13" s="72" t="s">
        <v>144</v>
      </c>
      <c r="M13" s="72" t="s">
        <v>144</v>
      </c>
      <c r="N13" s="72">
        <v>524</v>
      </c>
      <c r="O13" s="72">
        <v>380</v>
      </c>
      <c r="P13" s="72">
        <v>205</v>
      </c>
      <c r="Q13" s="72">
        <v>78</v>
      </c>
      <c r="R13" s="84">
        <v>18</v>
      </c>
    </row>
    <row r="14" spans="3:18">
      <c r="C14" s="70" t="s">
        <v>48</v>
      </c>
      <c r="D14" s="71">
        <v>1.34</v>
      </c>
      <c r="E14" s="72">
        <v>838</v>
      </c>
      <c r="F14" s="72" t="s">
        <v>144</v>
      </c>
      <c r="G14" s="72" t="s">
        <v>144</v>
      </c>
      <c r="H14" s="72" t="s">
        <v>144</v>
      </c>
      <c r="I14" s="72" t="s">
        <v>144</v>
      </c>
      <c r="J14" s="72" t="s">
        <v>144</v>
      </c>
      <c r="K14" s="72" t="s">
        <v>144</v>
      </c>
      <c r="L14" s="72" t="s">
        <v>144</v>
      </c>
      <c r="M14" s="72" t="s">
        <v>144</v>
      </c>
      <c r="N14" s="72">
        <v>763</v>
      </c>
      <c r="O14" s="72">
        <v>571</v>
      </c>
      <c r="P14" s="72">
        <v>326</v>
      </c>
      <c r="Q14" s="72">
        <v>127</v>
      </c>
      <c r="R14" s="84">
        <v>27</v>
      </c>
    </row>
    <row r="15" spans="3:18">
      <c r="C15" s="70" t="s">
        <v>33</v>
      </c>
      <c r="D15" s="71">
        <v>1.48</v>
      </c>
      <c r="E15" s="72">
        <v>1132</v>
      </c>
      <c r="F15" s="72" t="s">
        <v>144</v>
      </c>
      <c r="G15" s="72" t="s">
        <v>144</v>
      </c>
      <c r="H15" s="72" t="s">
        <v>144</v>
      </c>
      <c r="I15" s="72" t="s">
        <v>144</v>
      </c>
      <c r="J15" s="72" t="s">
        <v>144</v>
      </c>
      <c r="K15" s="72" t="s">
        <v>144</v>
      </c>
      <c r="L15" s="72" t="s">
        <v>144</v>
      </c>
      <c r="M15" s="72" t="s">
        <v>144</v>
      </c>
      <c r="N15" s="72">
        <v>1122</v>
      </c>
      <c r="O15" s="72">
        <v>864</v>
      </c>
      <c r="P15" s="72">
        <v>519</v>
      </c>
      <c r="Q15" s="72">
        <v>215</v>
      </c>
      <c r="R15" s="84">
        <v>46</v>
      </c>
    </row>
    <row r="16" spans="3:18">
      <c r="C16" s="70" t="s">
        <v>34</v>
      </c>
      <c r="D16" s="71">
        <v>1.58</v>
      </c>
      <c r="E16" s="72">
        <v>1604</v>
      </c>
      <c r="F16" s="72" t="s">
        <v>144</v>
      </c>
      <c r="G16" s="72" t="s">
        <v>144</v>
      </c>
      <c r="H16" s="72" t="s">
        <v>144</v>
      </c>
      <c r="I16" s="72" t="s">
        <v>144</v>
      </c>
      <c r="J16" s="72" t="s">
        <v>144</v>
      </c>
      <c r="K16" s="72" t="s">
        <v>144</v>
      </c>
      <c r="L16" s="72" t="s">
        <v>144</v>
      </c>
      <c r="M16" s="72" t="s">
        <v>144</v>
      </c>
      <c r="N16" s="72" t="s">
        <v>144</v>
      </c>
      <c r="O16" s="72">
        <v>1317</v>
      </c>
      <c r="P16" s="72">
        <v>829</v>
      </c>
      <c r="Q16" s="72">
        <v>366</v>
      </c>
      <c r="R16" s="84">
        <v>85</v>
      </c>
    </row>
    <row r="17" spans="3:18">
      <c r="C17" s="70" t="s">
        <v>35</v>
      </c>
      <c r="D17" s="71">
        <v>1.6</v>
      </c>
      <c r="E17" s="72">
        <v>2068</v>
      </c>
      <c r="F17" s="72" t="s">
        <v>144</v>
      </c>
      <c r="G17" s="72" t="s">
        <v>144</v>
      </c>
      <c r="H17" s="72" t="s">
        <v>144</v>
      </c>
      <c r="I17" s="72" t="s">
        <v>144</v>
      </c>
      <c r="J17" s="72" t="s">
        <v>144</v>
      </c>
      <c r="K17" s="72" t="s">
        <v>144</v>
      </c>
      <c r="L17" s="72" t="s">
        <v>144</v>
      </c>
      <c r="M17" s="72" t="s">
        <v>144</v>
      </c>
      <c r="N17" s="72" t="s">
        <v>144</v>
      </c>
      <c r="O17" s="72">
        <v>1732</v>
      </c>
      <c r="P17" s="72">
        <v>1122</v>
      </c>
      <c r="Q17" s="72">
        <v>522</v>
      </c>
      <c r="R17" s="84">
        <v>132</v>
      </c>
    </row>
    <row r="18" spans="3:18">
      <c r="C18" s="74" t="s">
        <v>36</v>
      </c>
      <c r="D18" s="75">
        <v>1.61</v>
      </c>
      <c r="E18" s="76">
        <v>2520</v>
      </c>
      <c r="F18" s="76" t="s">
        <v>144</v>
      </c>
      <c r="G18" s="76" t="s">
        <v>144</v>
      </c>
      <c r="H18" s="76" t="s">
        <v>144</v>
      </c>
      <c r="I18" s="76" t="s">
        <v>144</v>
      </c>
      <c r="J18" s="76" t="s">
        <v>144</v>
      </c>
      <c r="K18" s="76" t="s">
        <v>144</v>
      </c>
      <c r="L18" s="76" t="s">
        <v>144</v>
      </c>
      <c r="M18" s="76" t="s">
        <v>144</v>
      </c>
      <c r="N18" s="76" t="s">
        <v>144</v>
      </c>
      <c r="O18" s="76">
        <v>2135</v>
      </c>
      <c r="P18" s="76">
        <v>1415</v>
      </c>
      <c r="Q18" s="76">
        <v>688</v>
      </c>
      <c r="R18" s="77">
        <v>192</v>
      </c>
    </row>
    <row r="20" spans="3:18">
      <c r="C20" s="62" t="s">
        <v>145</v>
      </c>
      <c r="D20" s="63" t="s">
        <v>143</v>
      </c>
      <c r="E20" s="64" t="s">
        <v>80</v>
      </c>
      <c r="F20" s="64">
        <v>-0.5</v>
      </c>
      <c r="G20" s="64">
        <v>-0.25</v>
      </c>
      <c r="H20" s="64">
        <v>-0.13</v>
      </c>
      <c r="I20" s="64">
        <v>0</v>
      </c>
      <c r="J20" s="64">
        <v>0.13</v>
      </c>
      <c r="K20" s="64">
        <v>0.25</v>
      </c>
      <c r="L20" s="64">
        <v>0.5</v>
      </c>
      <c r="M20" s="64">
        <v>1</v>
      </c>
      <c r="N20" s="64">
        <v>1.5</v>
      </c>
      <c r="O20" s="64">
        <v>2</v>
      </c>
      <c r="P20" s="64">
        <v>3</v>
      </c>
      <c r="Q20" s="64">
        <v>5</v>
      </c>
      <c r="R20" s="65">
        <v>10</v>
      </c>
    </row>
    <row r="21" spans="3:18">
      <c r="C21" s="66" t="s">
        <v>23</v>
      </c>
      <c r="D21" s="67">
        <v>0.01</v>
      </c>
      <c r="E21" s="68">
        <v>5</v>
      </c>
      <c r="F21" s="68">
        <v>1</v>
      </c>
      <c r="G21" s="68">
        <v>1</v>
      </c>
      <c r="H21" s="68">
        <v>2</v>
      </c>
      <c r="I21" s="68">
        <v>5</v>
      </c>
      <c r="J21" s="68" t="s">
        <v>144</v>
      </c>
      <c r="K21" s="68" t="s">
        <v>144</v>
      </c>
      <c r="L21" s="68" t="s">
        <v>144</v>
      </c>
      <c r="M21" s="68" t="s">
        <v>144</v>
      </c>
      <c r="N21" s="68" t="s">
        <v>144</v>
      </c>
      <c r="O21" s="68" t="s">
        <v>144</v>
      </c>
      <c r="P21" s="68" t="s">
        <v>144</v>
      </c>
      <c r="Q21" s="68" t="s">
        <v>144</v>
      </c>
      <c r="R21" s="69" t="s">
        <v>144</v>
      </c>
    </row>
    <row r="22" spans="3:18">
      <c r="C22" s="70" t="s">
        <v>47</v>
      </c>
      <c r="D22" s="71">
        <v>0.03</v>
      </c>
      <c r="E22" s="72">
        <v>12</v>
      </c>
      <c r="F22" s="72">
        <v>2</v>
      </c>
      <c r="G22" s="72">
        <v>3</v>
      </c>
      <c r="H22" s="72">
        <v>5</v>
      </c>
      <c r="I22" s="72">
        <v>10</v>
      </c>
      <c r="J22" s="72" t="s">
        <v>144</v>
      </c>
      <c r="K22" s="72" t="s">
        <v>144</v>
      </c>
      <c r="L22" s="72" t="s">
        <v>144</v>
      </c>
      <c r="M22" s="72" t="s">
        <v>144</v>
      </c>
      <c r="N22" s="72" t="s">
        <v>144</v>
      </c>
      <c r="O22" s="72" t="s">
        <v>144</v>
      </c>
      <c r="P22" s="72" t="s">
        <v>144</v>
      </c>
      <c r="Q22" s="72" t="s">
        <v>144</v>
      </c>
      <c r="R22" s="84" t="s">
        <v>144</v>
      </c>
    </row>
    <row r="23" spans="3:18">
      <c r="C23" s="70" t="s">
        <v>24</v>
      </c>
      <c r="D23" s="71">
        <v>0.06</v>
      </c>
      <c r="E23" s="72">
        <v>21</v>
      </c>
      <c r="F23" s="72">
        <v>3</v>
      </c>
      <c r="G23" s="72">
        <v>6</v>
      </c>
      <c r="H23" s="72">
        <v>8</v>
      </c>
      <c r="I23" s="72">
        <v>15</v>
      </c>
      <c r="J23" s="72" t="s">
        <v>144</v>
      </c>
      <c r="K23" s="72" t="s">
        <v>144</v>
      </c>
      <c r="L23" s="72" t="s">
        <v>144</v>
      </c>
      <c r="M23" s="72" t="s">
        <v>144</v>
      </c>
      <c r="N23" s="72" t="s">
        <v>144</v>
      </c>
      <c r="O23" s="72" t="s">
        <v>144</v>
      </c>
      <c r="P23" s="72" t="s">
        <v>144</v>
      </c>
      <c r="Q23" s="72" t="s">
        <v>144</v>
      </c>
      <c r="R23" s="84" t="s">
        <v>144</v>
      </c>
    </row>
    <row r="24" spans="3:18">
      <c r="C24" s="70" t="s">
        <v>25</v>
      </c>
      <c r="D24" s="71">
        <v>0.26</v>
      </c>
      <c r="E24" s="72">
        <v>48</v>
      </c>
      <c r="F24" s="72">
        <v>8</v>
      </c>
      <c r="G24" s="72">
        <v>11</v>
      </c>
      <c r="H24" s="72">
        <v>15</v>
      </c>
      <c r="I24" s="72">
        <v>20</v>
      </c>
      <c r="J24" s="72">
        <v>32</v>
      </c>
      <c r="K24" s="72">
        <v>47</v>
      </c>
      <c r="L24" s="72" t="s">
        <v>144</v>
      </c>
      <c r="M24" s="72" t="s">
        <v>144</v>
      </c>
      <c r="N24" s="72" t="s">
        <v>144</v>
      </c>
      <c r="O24" s="72" t="s">
        <v>144</v>
      </c>
      <c r="P24" s="72" t="s">
        <v>144</v>
      </c>
      <c r="Q24" s="72" t="s">
        <v>144</v>
      </c>
      <c r="R24" s="84" t="s">
        <v>144</v>
      </c>
    </row>
    <row r="25" spans="3:18">
      <c r="C25" s="70" t="s">
        <v>26</v>
      </c>
      <c r="D25" s="71">
        <v>0.4</v>
      </c>
      <c r="E25" s="72">
        <v>98</v>
      </c>
      <c r="F25" s="72">
        <v>16</v>
      </c>
      <c r="G25" s="72">
        <v>23</v>
      </c>
      <c r="H25" s="72">
        <v>28</v>
      </c>
      <c r="I25" s="72">
        <v>35</v>
      </c>
      <c r="J25" s="72">
        <v>50</v>
      </c>
      <c r="K25" s="72">
        <v>67</v>
      </c>
      <c r="L25" s="72" t="s">
        <v>144</v>
      </c>
      <c r="M25" s="72" t="s">
        <v>144</v>
      </c>
      <c r="N25" s="72" t="s">
        <v>144</v>
      </c>
      <c r="O25" s="72" t="s">
        <v>144</v>
      </c>
      <c r="P25" s="72" t="s">
        <v>144</v>
      </c>
      <c r="Q25" s="72" t="s">
        <v>144</v>
      </c>
      <c r="R25" s="84" t="s">
        <v>144</v>
      </c>
    </row>
    <row r="26" spans="3:18">
      <c r="C26" s="70" t="s">
        <v>27</v>
      </c>
      <c r="D26" s="71">
        <v>0.56000000000000005</v>
      </c>
      <c r="E26" s="72">
        <v>166</v>
      </c>
      <c r="F26" s="72">
        <v>28</v>
      </c>
      <c r="G26" s="72">
        <v>38</v>
      </c>
      <c r="H26" s="72">
        <v>44</v>
      </c>
      <c r="I26" s="72">
        <v>54</v>
      </c>
      <c r="J26" s="72">
        <v>71</v>
      </c>
      <c r="K26" s="72">
        <v>90</v>
      </c>
      <c r="L26" s="72">
        <v>150</v>
      </c>
      <c r="M26" s="72" t="s">
        <v>144</v>
      </c>
      <c r="N26" s="72" t="s">
        <v>144</v>
      </c>
      <c r="O26" s="72" t="s">
        <v>144</v>
      </c>
      <c r="P26" s="72" t="s">
        <v>144</v>
      </c>
      <c r="Q26" s="72" t="s">
        <v>144</v>
      </c>
      <c r="R26" s="84" t="s">
        <v>144</v>
      </c>
    </row>
    <row r="27" spans="3:18">
      <c r="C27" s="70" t="s">
        <v>28</v>
      </c>
      <c r="D27" s="71">
        <v>0.71</v>
      </c>
      <c r="E27" s="72">
        <v>250</v>
      </c>
      <c r="F27" s="72">
        <v>47</v>
      </c>
      <c r="G27" s="72">
        <v>59</v>
      </c>
      <c r="H27" s="72">
        <v>67</v>
      </c>
      <c r="I27" s="72">
        <v>79</v>
      </c>
      <c r="J27" s="72">
        <v>97</v>
      </c>
      <c r="K27" s="72">
        <v>119</v>
      </c>
      <c r="L27" s="72">
        <v>183</v>
      </c>
      <c r="M27" s="72" t="s">
        <v>144</v>
      </c>
      <c r="N27" s="72" t="s">
        <v>144</v>
      </c>
      <c r="O27" s="72" t="s">
        <v>144</v>
      </c>
      <c r="P27" s="72" t="s">
        <v>144</v>
      </c>
      <c r="Q27" s="72" t="s">
        <v>144</v>
      </c>
      <c r="R27" s="84" t="s">
        <v>144</v>
      </c>
    </row>
    <row r="28" spans="3:18">
      <c r="C28" s="70" t="s">
        <v>29</v>
      </c>
      <c r="D28" s="71">
        <v>0.85</v>
      </c>
      <c r="E28" s="72">
        <v>343</v>
      </c>
      <c r="F28" s="72">
        <v>68</v>
      </c>
      <c r="G28" s="72">
        <v>83</v>
      </c>
      <c r="H28" s="72">
        <v>93</v>
      </c>
      <c r="I28" s="72">
        <v>106</v>
      </c>
      <c r="J28" s="72">
        <v>127</v>
      </c>
      <c r="K28" s="72">
        <v>151</v>
      </c>
      <c r="L28" s="72">
        <v>220</v>
      </c>
      <c r="M28" s="72" t="s">
        <v>144</v>
      </c>
      <c r="N28" s="72" t="s">
        <v>144</v>
      </c>
      <c r="O28" s="72" t="s">
        <v>144</v>
      </c>
      <c r="P28" s="72" t="s">
        <v>144</v>
      </c>
      <c r="Q28" s="72" t="s">
        <v>144</v>
      </c>
      <c r="R28" s="84" t="s">
        <v>144</v>
      </c>
    </row>
    <row r="29" spans="3:18">
      <c r="C29" s="70" t="s">
        <v>30</v>
      </c>
      <c r="D29" s="71">
        <v>0.98</v>
      </c>
      <c r="E29" s="72">
        <v>441</v>
      </c>
      <c r="F29" s="72">
        <v>89</v>
      </c>
      <c r="G29" s="72">
        <v>107</v>
      </c>
      <c r="H29" s="72">
        <v>119</v>
      </c>
      <c r="I29" s="72">
        <v>134</v>
      </c>
      <c r="J29" s="72">
        <v>157</v>
      </c>
      <c r="K29" s="72">
        <v>183</v>
      </c>
      <c r="L29" s="72">
        <v>256</v>
      </c>
      <c r="M29" s="72" t="s">
        <v>144</v>
      </c>
      <c r="N29" s="72" t="s">
        <v>144</v>
      </c>
      <c r="O29" s="72" t="s">
        <v>144</v>
      </c>
      <c r="P29" s="72" t="s">
        <v>144</v>
      </c>
      <c r="Q29" s="72" t="s">
        <v>144</v>
      </c>
      <c r="R29" s="84" t="s">
        <v>144</v>
      </c>
    </row>
    <row r="30" spans="3:18">
      <c r="C30" s="70" t="s">
        <v>31</v>
      </c>
      <c r="D30" s="71">
        <v>1.0900000000000001</v>
      </c>
      <c r="E30" s="72">
        <v>541</v>
      </c>
      <c r="F30" s="72">
        <v>108</v>
      </c>
      <c r="G30" s="72">
        <v>130</v>
      </c>
      <c r="H30" s="72">
        <v>143</v>
      </c>
      <c r="I30" s="72">
        <v>160</v>
      </c>
      <c r="J30" s="72">
        <v>185</v>
      </c>
      <c r="K30" s="72">
        <v>213</v>
      </c>
      <c r="L30" s="72">
        <v>291</v>
      </c>
      <c r="M30" s="72">
        <v>497</v>
      </c>
      <c r="N30" s="72" t="s">
        <v>144</v>
      </c>
      <c r="O30" s="72" t="s">
        <v>144</v>
      </c>
      <c r="P30" s="72" t="s">
        <v>144</v>
      </c>
      <c r="Q30" s="72" t="s">
        <v>144</v>
      </c>
      <c r="R30" s="84" t="s">
        <v>144</v>
      </c>
    </row>
    <row r="31" spans="3:18">
      <c r="C31" s="70" t="s">
        <v>32</v>
      </c>
      <c r="D31" s="71">
        <v>1.18</v>
      </c>
      <c r="E31" s="72">
        <v>640</v>
      </c>
      <c r="F31" s="72">
        <v>126</v>
      </c>
      <c r="G31" s="72">
        <v>151</v>
      </c>
      <c r="H31" s="72">
        <v>166</v>
      </c>
      <c r="I31" s="72">
        <v>185</v>
      </c>
      <c r="J31" s="72">
        <v>212</v>
      </c>
      <c r="K31" s="72">
        <v>242</v>
      </c>
      <c r="L31" s="72">
        <v>326</v>
      </c>
      <c r="M31" s="72">
        <v>545</v>
      </c>
      <c r="N31" s="72" t="s">
        <v>144</v>
      </c>
      <c r="O31" s="72" t="s">
        <v>144</v>
      </c>
      <c r="P31" s="72" t="s">
        <v>144</v>
      </c>
      <c r="Q31" s="72" t="s">
        <v>144</v>
      </c>
      <c r="R31" s="84" t="s">
        <v>144</v>
      </c>
    </row>
    <row r="32" spans="3:18">
      <c r="C32" s="70" t="s">
        <v>48</v>
      </c>
      <c r="D32" s="71">
        <v>1.34</v>
      </c>
      <c r="E32" s="72">
        <v>838</v>
      </c>
      <c r="F32" s="72">
        <v>156</v>
      </c>
      <c r="G32" s="72">
        <v>188</v>
      </c>
      <c r="H32" s="72">
        <v>206</v>
      </c>
      <c r="I32" s="72">
        <v>230</v>
      </c>
      <c r="J32" s="72">
        <v>262</v>
      </c>
      <c r="K32" s="72">
        <v>297</v>
      </c>
      <c r="L32" s="72">
        <v>391</v>
      </c>
      <c r="M32" s="72">
        <v>636</v>
      </c>
      <c r="N32" s="72" t="s">
        <v>144</v>
      </c>
      <c r="O32" s="72" t="s">
        <v>144</v>
      </c>
      <c r="P32" s="72" t="s">
        <v>144</v>
      </c>
      <c r="Q32" s="72" t="s">
        <v>144</v>
      </c>
      <c r="R32" s="84" t="s">
        <v>144</v>
      </c>
    </row>
    <row r="33" spans="3:18">
      <c r="C33" s="70" t="s">
        <v>33</v>
      </c>
      <c r="D33" s="71">
        <v>1.48</v>
      </c>
      <c r="E33" s="72">
        <v>1132</v>
      </c>
      <c r="F33" s="72">
        <v>208</v>
      </c>
      <c r="G33" s="72">
        <v>251</v>
      </c>
      <c r="H33" s="72">
        <v>275</v>
      </c>
      <c r="I33" s="72">
        <v>305</v>
      </c>
      <c r="J33" s="72">
        <v>344</v>
      </c>
      <c r="K33" s="72">
        <v>386</v>
      </c>
      <c r="L33" s="72">
        <v>497</v>
      </c>
      <c r="M33" s="72">
        <v>784</v>
      </c>
      <c r="N33" s="72" t="s">
        <v>144</v>
      </c>
      <c r="O33" s="72" t="s">
        <v>144</v>
      </c>
      <c r="P33" s="72" t="s">
        <v>144</v>
      </c>
      <c r="Q33" s="72" t="s">
        <v>144</v>
      </c>
      <c r="R33" s="84" t="s">
        <v>144</v>
      </c>
    </row>
    <row r="34" spans="3:18">
      <c r="C34" s="70" t="s">
        <v>34</v>
      </c>
      <c r="D34" s="71">
        <v>1.58</v>
      </c>
      <c r="E34" s="72">
        <v>1604</v>
      </c>
      <c r="F34" s="72">
        <v>321</v>
      </c>
      <c r="G34" s="72">
        <v>384</v>
      </c>
      <c r="H34" s="72">
        <v>419</v>
      </c>
      <c r="I34" s="72">
        <v>463</v>
      </c>
      <c r="J34" s="72">
        <v>515</v>
      </c>
      <c r="K34" s="72">
        <v>571</v>
      </c>
      <c r="L34" s="72">
        <v>712</v>
      </c>
      <c r="M34" s="72">
        <v>1071</v>
      </c>
      <c r="N34" s="72">
        <v>1519</v>
      </c>
      <c r="O34" s="72" t="s">
        <v>144</v>
      </c>
      <c r="P34" s="72" t="s">
        <v>144</v>
      </c>
      <c r="Q34" s="72" t="s">
        <v>144</v>
      </c>
      <c r="R34" s="84" t="s">
        <v>144</v>
      </c>
    </row>
    <row r="35" spans="3:18">
      <c r="C35" s="70" t="s">
        <v>35</v>
      </c>
      <c r="D35" s="71">
        <v>1.6</v>
      </c>
      <c r="E35" s="72">
        <v>2068</v>
      </c>
      <c r="F35" s="72">
        <v>468</v>
      </c>
      <c r="G35" s="72">
        <v>556</v>
      </c>
      <c r="H35" s="72">
        <v>603</v>
      </c>
      <c r="I35" s="72">
        <v>661</v>
      </c>
      <c r="J35" s="72">
        <v>729</v>
      </c>
      <c r="K35" s="72">
        <v>799</v>
      </c>
      <c r="L35" s="72">
        <v>973</v>
      </c>
      <c r="M35" s="72">
        <v>1407</v>
      </c>
      <c r="N35" s="72">
        <v>1945</v>
      </c>
      <c r="O35" s="72" t="s">
        <v>144</v>
      </c>
      <c r="P35" s="72" t="s">
        <v>144</v>
      </c>
      <c r="Q35" s="72" t="s">
        <v>144</v>
      </c>
      <c r="R35" s="84" t="s">
        <v>144</v>
      </c>
    </row>
    <row r="36" spans="3:18">
      <c r="C36" s="74" t="s">
        <v>36</v>
      </c>
      <c r="D36" s="75">
        <v>1.61</v>
      </c>
      <c r="E36" s="76">
        <v>2520</v>
      </c>
      <c r="F36" s="76">
        <v>626</v>
      </c>
      <c r="G36" s="76">
        <v>737</v>
      </c>
      <c r="H36" s="76">
        <v>797</v>
      </c>
      <c r="I36" s="76">
        <v>869</v>
      </c>
      <c r="J36" s="76">
        <v>951</v>
      </c>
      <c r="K36" s="76">
        <v>1035</v>
      </c>
      <c r="L36" s="76">
        <v>1241</v>
      </c>
      <c r="M36" s="76">
        <v>1747</v>
      </c>
      <c r="N36" s="76">
        <v>2369</v>
      </c>
      <c r="O36" s="76" t="s">
        <v>144</v>
      </c>
      <c r="P36" s="76" t="s">
        <v>144</v>
      </c>
      <c r="Q36" s="76" t="s">
        <v>144</v>
      </c>
      <c r="R36" s="77" t="s">
        <v>144</v>
      </c>
    </row>
    <row r="38" spans="3:18">
      <c r="C38" s="62" t="s">
        <v>153</v>
      </c>
      <c r="D38" s="63" t="s">
        <v>143</v>
      </c>
      <c r="E38" s="64" t="s">
        <v>80</v>
      </c>
      <c r="F38" s="64" t="s">
        <v>154</v>
      </c>
      <c r="G38" s="64" t="s">
        <v>155</v>
      </c>
      <c r="H38" s="64" t="s">
        <v>156</v>
      </c>
      <c r="I38" s="64" t="s">
        <v>157</v>
      </c>
      <c r="J38" s="64" t="s">
        <v>158</v>
      </c>
      <c r="K38" s="64" t="s">
        <v>146</v>
      </c>
      <c r="L38" s="64" t="s">
        <v>147</v>
      </c>
      <c r="M38" s="64" t="s">
        <v>148</v>
      </c>
      <c r="N38" s="64" t="s">
        <v>149</v>
      </c>
      <c r="O38" s="64" t="s">
        <v>150</v>
      </c>
      <c r="P38" s="64" t="s">
        <v>151</v>
      </c>
      <c r="Q38" s="64" t="s">
        <v>152</v>
      </c>
      <c r="R38" s="65" t="s">
        <v>159</v>
      </c>
    </row>
    <row r="39" spans="3:18">
      <c r="C39" s="66" t="s">
        <v>23</v>
      </c>
      <c r="D39" s="67">
        <v>0.01</v>
      </c>
      <c r="E39" s="68">
        <v>25.9</v>
      </c>
      <c r="F39" s="68">
        <v>42.9</v>
      </c>
      <c r="G39" s="68">
        <v>32.200000000000003</v>
      </c>
      <c r="H39" s="68">
        <v>27.6</v>
      </c>
      <c r="I39" s="68">
        <v>25.4</v>
      </c>
      <c r="J39" s="68">
        <v>30.2</v>
      </c>
      <c r="K39" s="68">
        <v>34.700000000000003</v>
      </c>
      <c r="L39" s="68">
        <v>47.5</v>
      </c>
      <c r="M39" s="68">
        <v>71.5</v>
      </c>
      <c r="N39" s="68">
        <v>93.9</v>
      </c>
      <c r="O39" s="68">
        <v>115</v>
      </c>
      <c r="P39" s="68">
        <v>155</v>
      </c>
      <c r="Q39" s="68">
        <v>231</v>
      </c>
      <c r="R39" s="69">
        <v>405</v>
      </c>
    </row>
    <row r="40" spans="3:18">
      <c r="C40" s="70" t="s">
        <v>47</v>
      </c>
      <c r="D40" s="71">
        <v>0.03</v>
      </c>
      <c r="E40" s="72">
        <v>27.91</v>
      </c>
      <c r="F40" s="72">
        <v>42.8</v>
      </c>
      <c r="G40" s="72">
        <v>33.299999999999997</v>
      </c>
      <c r="H40" s="72">
        <v>29.1</v>
      </c>
      <c r="I40" s="72">
        <v>26.9</v>
      </c>
      <c r="J40" s="72">
        <v>30.8</v>
      </c>
      <c r="K40" s="72">
        <v>34.299999999999997</v>
      </c>
      <c r="L40" s="72">
        <v>45.3</v>
      </c>
      <c r="M40" s="72">
        <v>66.7</v>
      </c>
      <c r="N40" s="72">
        <v>86.8</v>
      </c>
      <c r="O40" s="72">
        <v>105</v>
      </c>
      <c r="P40" s="72">
        <v>141</v>
      </c>
      <c r="Q40" s="72">
        <v>208</v>
      </c>
      <c r="R40" s="73">
        <v>361</v>
      </c>
    </row>
    <row r="41" spans="3:18">
      <c r="C41" s="70" t="s">
        <v>24</v>
      </c>
      <c r="D41" s="71">
        <v>0.06</v>
      </c>
      <c r="E41" s="72">
        <v>30.26</v>
      </c>
      <c r="F41" s="72">
        <v>42.6</v>
      </c>
      <c r="G41" s="72">
        <v>34.6</v>
      </c>
      <c r="H41" s="72">
        <v>31</v>
      </c>
      <c r="I41" s="72">
        <v>28.9</v>
      </c>
      <c r="J41" s="72">
        <v>31.6</v>
      </c>
      <c r="K41" s="72">
        <v>33.799999999999997</v>
      </c>
      <c r="L41" s="72">
        <v>42.7</v>
      </c>
      <c r="M41" s="72">
        <v>61.1</v>
      </c>
      <c r="N41" s="72">
        <v>78.7</v>
      </c>
      <c r="O41" s="72">
        <v>95.4</v>
      </c>
      <c r="P41" s="72">
        <v>127</v>
      </c>
      <c r="Q41" s="72">
        <v>185</v>
      </c>
      <c r="R41" s="73">
        <v>318</v>
      </c>
    </row>
    <row r="42" spans="3:18">
      <c r="C42" s="70" t="s">
        <v>25</v>
      </c>
      <c r="D42" s="71">
        <v>0.26</v>
      </c>
      <c r="E42" s="72">
        <v>37.76</v>
      </c>
      <c r="F42" s="72">
        <v>50.1</v>
      </c>
      <c r="G42" s="72">
        <v>43.6</v>
      </c>
      <c r="H42" s="72">
        <v>40.4</v>
      </c>
      <c r="I42" s="72">
        <v>37.4</v>
      </c>
      <c r="J42" s="72">
        <v>37.299999999999997</v>
      </c>
      <c r="K42" s="72">
        <v>37.5</v>
      </c>
      <c r="L42" s="72">
        <v>42.5</v>
      </c>
      <c r="M42" s="72">
        <v>55.1</v>
      </c>
      <c r="N42" s="72">
        <v>68.7</v>
      </c>
      <c r="O42" s="72">
        <v>82.1</v>
      </c>
      <c r="P42" s="72">
        <v>107</v>
      </c>
      <c r="Q42" s="72">
        <v>155</v>
      </c>
      <c r="R42" s="73">
        <v>261</v>
      </c>
    </row>
    <row r="43" spans="3:18">
      <c r="C43" s="70" t="s">
        <v>26</v>
      </c>
      <c r="D43" s="71">
        <v>0.4</v>
      </c>
      <c r="E43" s="72">
        <v>46.72</v>
      </c>
      <c r="F43" s="72">
        <v>55.9</v>
      </c>
      <c r="G43" s="72">
        <v>50.1</v>
      </c>
      <c r="H43" s="72">
        <v>47.3</v>
      </c>
      <c r="I43" s="72">
        <v>44.7</v>
      </c>
      <c r="J43" s="72">
        <v>44.3</v>
      </c>
      <c r="K43" s="72">
        <v>44.4</v>
      </c>
      <c r="L43" s="72">
        <v>47.9</v>
      </c>
      <c r="M43" s="72">
        <v>56.6</v>
      </c>
      <c r="N43" s="72">
        <v>66.400000000000006</v>
      </c>
      <c r="O43" s="72">
        <v>76.900000000000006</v>
      </c>
      <c r="P43" s="72">
        <v>97.9</v>
      </c>
      <c r="Q43" s="72">
        <v>137</v>
      </c>
      <c r="R43" s="73">
        <v>227</v>
      </c>
    </row>
    <row r="44" spans="3:18">
      <c r="C44" s="70" t="s">
        <v>27</v>
      </c>
      <c r="D44" s="71">
        <v>0.56000000000000005</v>
      </c>
      <c r="E44" s="72">
        <v>54.19</v>
      </c>
      <c r="F44" s="72">
        <v>61.8</v>
      </c>
      <c r="G44" s="72">
        <v>56.5</v>
      </c>
      <c r="H44" s="72">
        <v>53.9</v>
      </c>
      <c r="I44" s="72">
        <v>51.5</v>
      </c>
      <c r="J44" s="72">
        <v>50.8</v>
      </c>
      <c r="K44" s="72">
        <v>50.8</v>
      </c>
      <c r="L44" s="72">
        <v>53.4</v>
      </c>
      <c r="M44" s="72">
        <v>59.5</v>
      </c>
      <c r="N44" s="72">
        <v>66.2</v>
      </c>
      <c r="O44" s="72">
        <v>73.900000000000006</v>
      </c>
      <c r="P44" s="72">
        <v>90.8</v>
      </c>
      <c r="Q44" s="72">
        <v>125</v>
      </c>
      <c r="R44" s="73">
        <v>203</v>
      </c>
    </row>
    <row r="45" spans="3:18">
      <c r="C45" s="70" t="s">
        <v>28</v>
      </c>
      <c r="D45" s="71">
        <v>0.71</v>
      </c>
      <c r="E45" s="72">
        <v>60.76</v>
      </c>
      <c r="F45" s="72">
        <v>68.2</v>
      </c>
      <c r="G45" s="72">
        <v>63.1</v>
      </c>
      <c r="H45" s="72">
        <v>60.7</v>
      </c>
      <c r="I45" s="72">
        <v>58.3</v>
      </c>
      <c r="J45" s="72">
        <v>57.5</v>
      </c>
      <c r="K45" s="72">
        <v>57.2</v>
      </c>
      <c r="L45" s="72">
        <v>58.9</v>
      </c>
      <c r="M45" s="72">
        <v>63.1</v>
      </c>
      <c r="N45" s="72">
        <v>67.400000000000006</v>
      </c>
      <c r="O45" s="72">
        <v>72.400000000000006</v>
      </c>
      <c r="P45" s="72">
        <v>85.2</v>
      </c>
      <c r="Q45" s="72">
        <v>114</v>
      </c>
      <c r="R45" s="73">
        <v>185</v>
      </c>
    </row>
    <row r="46" spans="3:18">
      <c r="C46" s="70" t="s">
        <v>29</v>
      </c>
      <c r="D46" s="71">
        <v>0.85</v>
      </c>
      <c r="E46" s="72">
        <v>65.62</v>
      </c>
      <c r="F46" s="72">
        <v>73.2</v>
      </c>
      <c r="G46" s="72">
        <v>68.400000000000006</v>
      </c>
      <c r="H46" s="72">
        <v>66.099999999999994</v>
      </c>
      <c r="I46" s="72">
        <v>63.8</v>
      </c>
      <c r="J46" s="72">
        <v>62.8</v>
      </c>
      <c r="K46" s="72">
        <v>62.4</v>
      </c>
      <c r="L46" s="72">
        <v>63.5</v>
      </c>
      <c r="M46" s="72">
        <v>66.400000000000006</v>
      </c>
      <c r="N46" s="72">
        <v>69.3</v>
      </c>
      <c r="O46" s="72">
        <v>72.8</v>
      </c>
      <c r="P46" s="72">
        <v>83</v>
      </c>
      <c r="Q46" s="72">
        <v>109</v>
      </c>
      <c r="R46" s="73">
        <v>176</v>
      </c>
    </row>
    <row r="47" spans="3:18">
      <c r="C47" s="70" t="s">
        <v>30</v>
      </c>
      <c r="D47" s="71">
        <v>0.98</v>
      </c>
      <c r="E47" s="72">
        <v>68.739999999999995</v>
      </c>
      <c r="F47" s="72">
        <v>76.3</v>
      </c>
      <c r="G47" s="72">
        <v>71.900000000000006</v>
      </c>
      <c r="H47" s="72">
        <v>69.7</v>
      </c>
      <c r="I47" s="72">
        <v>67.7</v>
      </c>
      <c r="J47" s="72">
        <v>66.599999999999994</v>
      </c>
      <c r="K47" s="72">
        <v>66.099999999999994</v>
      </c>
      <c r="L47" s="72">
        <v>66.7</v>
      </c>
      <c r="M47" s="72">
        <v>68.8</v>
      </c>
      <c r="N47" s="72">
        <v>70.8</v>
      </c>
      <c r="O47" s="72">
        <v>73.400000000000006</v>
      </c>
      <c r="P47" s="72">
        <v>81.7</v>
      </c>
      <c r="Q47" s="72">
        <v>105</v>
      </c>
      <c r="R47" s="73">
        <v>168</v>
      </c>
    </row>
    <row r="48" spans="3:18">
      <c r="C48" s="70" t="s">
        <v>31</v>
      </c>
      <c r="D48" s="71">
        <v>1.0900000000000001</v>
      </c>
      <c r="E48" s="72">
        <v>70.72</v>
      </c>
      <c r="F48" s="72">
        <v>77.8</v>
      </c>
      <c r="G48" s="72">
        <v>73.8</v>
      </c>
      <c r="H48" s="72">
        <v>71.8</v>
      </c>
      <c r="I48" s="72">
        <v>70</v>
      </c>
      <c r="J48" s="72">
        <v>68.900000000000006</v>
      </c>
      <c r="K48" s="72">
        <v>68.400000000000006</v>
      </c>
      <c r="L48" s="72">
        <v>68.8</v>
      </c>
      <c r="M48" s="72">
        <v>70.400000000000006</v>
      </c>
      <c r="N48" s="72">
        <v>72</v>
      </c>
      <c r="O48" s="72">
        <v>74</v>
      </c>
      <c r="P48" s="72">
        <v>81</v>
      </c>
      <c r="Q48" s="72">
        <v>102</v>
      </c>
      <c r="R48" s="73">
        <v>159</v>
      </c>
    </row>
    <row r="49" spans="3:18">
      <c r="C49" s="70" t="s">
        <v>32</v>
      </c>
      <c r="D49" s="71">
        <v>1.18</v>
      </c>
      <c r="E49" s="72">
        <v>71.930000000000007</v>
      </c>
      <c r="F49" s="72">
        <v>78.099999999999994</v>
      </c>
      <c r="G49" s="72">
        <v>74.599999999999994</v>
      </c>
      <c r="H49" s="72">
        <v>72.900000000000006</v>
      </c>
      <c r="I49" s="72">
        <v>71.2</v>
      </c>
      <c r="J49" s="72">
        <v>70.3</v>
      </c>
      <c r="K49" s="72">
        <v>69.8</v>
      </c>
      <c r="L49" s="72">
        <v>70.099999999999994</v>
      </c>
      <c r="M49" s="72">
        <v>71.400000000000006</v>
      </c>
      <c r="N49" s="72">
        <v>72.8</v>
      </c>
      <c r="O49" s="72">
        <v>74.599999999999994</v>
      </c>
      <c r="P49" s="72">
        <v>80.7</v>
      </c>
      <c r="Q49" s="72">
        <v>99.2</v>
      </c>
      <c r="R49" s="73">
        <v>150</v>
      </c>
    </row>
    <row r="50" spans="3:18">
      <c r="C50" s="70" t="s">
        <v>48</v>
      </c>
      <c r="D50" s="71">
        <v>1.34</v>
      </c>
      <c r="E50" s="72">
        <v>72.94</v>
      </c>
      <c r="F50" s="72">
        <v>77.099999999999994</v>
      </c>
      <c r="G50" s="72">
        <v>74.400000000000006</v>
      </c>
      <c r="H50" s="72">
        <v>73</v>
      </c>
      <c r="I50" s="72">
        <v>71.7</v>
      </c>
      <c r="J50" s="72">
        <v>71</v>
      </c>
      <c r="K50" s="72">
        <v>70.599999999999994</v>
      </c>
      <c r="L50" s="72">
        <v>70.900000000000006</v>
      </c>
      <c r="M50" s="72">
        <v>72.099999999999994</v>
      </c>
      <c r="N50" s="72">
        <v>73.400000000000006</v>
      </c>
      <c r="O50" s="72">
        <v>75.099999999999994</v>
      </c>
      <c r="P50" s="72">
        <v>80.5</v>
      </c>
      <c r="Q50" s="72">
        <v>96.4</v>
      </c>
      <c r="R50" s="73">
        <v>140</v>
      </c>
    </row>
    <row r="51" spans="3:18">
      <c r="C51" s="70" t="s">
        <v>33</v>
      </c>
      <c r="D51" s="71">
        <v>1.48</v>
      </c>
      <c r="E51" s="72">
        <v>73.099999999999994</v>
      </c>
      <c r="F51" s="72">
        <v>75.099999999999994</v>
      </c>
      <c r="G51" s="72">
        <v>73.2</v>
      </c>
      <c r="H51" s="72">
        <v>72.2</v>
      </c>
      <c r="I51" s="72">
        <v>71.3</v>
      </c>
      <c r="J51" s="72">
        <v>70.8</v>
      </c>
      <c r="K51" s="72">
        <v>70.599999999999994</v>
      </c>
      <c r="L51" s="72">
        <v>70.8</v>
      </c>
      <c r="M51" s="72">
        <v>71.900000000000006</v>
      </c>
      <c r="N51" s="72">
        <v>73.099999999999994</v>
      </c>
      <c r="O51" s="72">
        <v>74.8</v>
      </c>
      <c r="P51" s="72">
        <v>79.8</v>
      </c>
      <c r="Q51" s="72">
        <v>93.9</v>
      </c>
      <c r="R51" s="73">
        <v>132</v>
      </c>
    </row>
    <row r="52" spans="3:18">
      <c r="C52" s="70" t="s">
        <v>34</v>
      </c>
      <c r="D52" s="71">
        <v>1.58</v>
      </c>
      <c r="E52" s="72">
        <v>72.12</v>
      </c>
      <c r="F52" s="72">
        <v>71.8</v>
      </c>
      <c r="G52" s="72">
        <v>70.8</v>
      </c>
      <c r="H52" s="72">
        <v>70.2</v>
      </c>
      <c r="I52" s="72">
        <v>69.7</v>
      </c>
      <c r="J52" s="72">
        <v>69.400000000000006</v>
      </c>
      <c r="K52" s="72">
        <v>69.3</v>
      </c>
      <c r="L52" s="72">
        <v>69.599999999999994</v>
      </c>
      <c r="M52" s="72">
        <v>70.7</v>
      </c>
      <c r="N52" s="72">
        <v>71.900000000000006</v>
      </c>
      <c r="O52" s="72">
        <v>73.400000000000006</v>
      </c>
      <c r="P52" s="72">
        <v>78</v>
      </c>
      <c r="Q52" s="72">
        <v>90.5</v>
      </c>
      <c r="R52" s="73">
        <v>124</v>
      </c>
    </row>
    <row r="53" spans="3:18">
      <c r="C53" s="70" t="s">
        <v>35</v>
      </c>
      <c r="D53" s="71">
        <v>1.6</v>
      </c>
      <c r="E53" s="72">
        <v>70.91</v>
      </c>
      <c r="F53" s="72">
        <v>69.3</v>
      </c>
      <c r="G53" s="72">
        <v>68.7</v>
      </c>
      <c r="H53" s="72">
        <v>68.400000000000006</v>
      </c>
      <c r="I53" s="72">
        <v>68.099999999999994</v>
      </c>
      <c r="J53" s="72">
        <v>68</v>
      </c>
      <c r="K53" s="72">
        <v>68</v>
      </c>
      <c r="L53" s="72">
        <v>68.3</v>
      </c>
      <c r="M53" s="72">
        <v>69.400000000000006</v>
      </c>
      <c r="N53" s="72">
        <v>70.599999999999994</v>
      </c>
      <c r="O53" s="72">
        <v>72.2</v>
      </c>
      <c r="P53" s="72">
        <v>76.5</v>
      </c>
      <c r="Q53" s="72">
        <v>88</v>
      </c>
      <c r="R53" s="73">
        <v>119</v>
      </c>
    </row>
    <row r="54" spans="3:18">
      <c r="C54" s="74" t="s">
        <v>36</v>
      </c>
      <c r="D54" s="75">
        <v>1.61</v>
      </c>
      <c r="E54" s="76">
        <v>69.59</v>
      </c>
      <c r="F54" s="76">
        <v>67.2</v>
      </c>
      <c r="G54" s="76">
        <v>66.900000000000006</v>
      </c>
      <c r="H54" s="76">
        <v>66.7</v>
      </c>
      <c r="I54" s="76">
        <v>66.5</v>
      </c>
      <c r="J54" s="76">
        <v>66.5</v>
      </c>
      <c r="K54" s="76">
        <v>66.599999999999994</v>
      </c>
      <c r="L54" s="76">
        <v>67</v>
      </c>
      <c r="M54" s="76">
        <v>68</v>
      </c>
      <c r="N54" s="76">
        <v>69.3</v>
      </c>
      <c r="O54" s="76">
        <v>70.8</v>
      </c>
      <c r="P54" s="76">
        <v>75</v>
      </c>
      <c r="Q54" s="76">
        <v>86</v>
      </c>
      <c r="R54" s="77">
        <v>115</v>
      </c>
    </row>
    <row r="57" spans="3:18">
      <c r="C57" s="62" t="s">
        <v>161</v>
      </c>
      <c r="D57" s="63"/>
      <c r="E57" s="64"/>
      <c r="F57" s="64">
        <v>-0.5</v>
      </c>
      <c r="G57" s="64">
        <v>-0.25</v>
      </c>
      <c r="H57" s="64">
        <v>-0.13</v>
      </c>
      <c r="I57" s="64">
        <v>0</v>
      </c>
      <c r="J57" s="64">
        <v>0.13</v>
      </c>
      <c r="K57" s="64">
        <v>0.25</v>
      </c>
      <c r="L57" s="64">
        <v>0.5</v>
      </c>
      <c r="M57" s="64">
        <v>1</v>
      </c>
      <c r="N57" s="64">
        <v>1.5</v>
      </c>
      <c r="O57" s="64">
        <v>2</v>
      </c>
      <c r="P57" s="64">
        <v>3</v>
      </c>
      <c r="Q57" s="64">
        <v>5</v>
      </c>
      <c r="R57" s="65">
        <v>10</v>
      </c>
    </row>
    <row r="58" spans="3:18">
      <c r="C58" s="66" t="s">
        <v>23</v>
      </c>
      <c r="D58" s="67"/>
      <c r="E58" s="68"/>
      <c r="F58" s="85" t="str">
        <f t="shared" ref="F58:R58" si="0">IF(F3&lt;&gt;"","Cap",IF(F21&lt;&gt;"","Floor",""))</f>
        <v>Floor</v>
      </c>
      <c r="G58" s="85" t="str">
        <f t="shared" si="0"/>
        <v>Floor</v>
      </c>
      <c r="H58" s="85" t="str">
        <f t="shared" si="0"/>
        <v>Floor</v>
      </c>
      <c r="I58" s="85" t="str">
        <f t="shared" si="0"/>
        <v>Floor</v>
      </c>
      <c r="J58" s="88" t="str">
        <f t="shared" si="0"/>
        <v>Cap</v>
      </c>
      <c r="K58" s="88" t="str">
        <f t="shared" si="0"/>
        <v>Cap</v>
      </c>
      <c r="L58" s="88" t="str">
        <f t="shared" si="0"/>
        <v>Cap</v>
      </c>
      <c r="M58" s="88" t="str">
        <f t="shared" si="0"/>
        <v>Cap</v>
      </c>
      <c r="N58" s="88" t="str">
        <f t="shared" si="0"/>
        <v/>
      </c>
      <c r="O58" s="88" t="str">
        <f t="shared" si="0"/>
        <v/>
      </c>
      <c r="P58" s="88" t="str">
        <f t="shared" si="0"/>
        <v/>
      </c>
      <c r="Q58" s="88" t="str">
        <f t="shared" si="0"/>
        <v/>
      </c>
      <c r="R58" s="89" t="str">
        <f t="shared" si="0"/>
        <v/>
      </c>
    </row>
    <row r="59" spans="3:18">
      <c r="C59" s="70" t="s">
        <v>47</v>
      </c>
      <c r="D59" s="71"/>
      <c r="E59" s="72"/>
      <c r="F59" s="86" t="str">
        <f t="shared" ref="F59:R59" si="1">IF(F4&lt;&gt;"","Cap",IF(F22&lt;&gt;"","Floor",""))</f>
        <v>Floor</v>
      </c>
      <c r="G59" s="86" t="str">
        <f t="shared" si="1"/>
        <v>Floor</v>
      </c>
      <c r="H59" s="86" t="str">
        <f t="shared" si="1"/>
        <v>Floor</v>
      </c>
      <c r="I59" s="86" t="str">
        <f t="shared" si="1"/>
        <v>Floor</v>
      </c>
      <c r="J59" s="90" t="str">
        <f t="shared" si="1"/>
        <v>Cap</v>
      </c>
      <c r="K59" s="90" t="str">
        <f t="shared" si="1"/>
        <v>Cap</v>
      </c>
      <c r="L59" s="90" t="str">
        <f t="shared" si="1"/>
        <v>Cap</v>
      </c>
      <c r="M59" s="90" t="str">
        <f t="shared" si="1"/>
        <v>Cap</v>
      </c>
      <c r="N59" s="90" t="str">
        <f t="shared" si="1"/>
        <v>Cap</v>
      </c>
      <c r="O59" s="90" t="str">
        <f t="shared" si="1"/>
        <v>Cap</v>
      </c>
      <c r="P59" s="90" t="str">
        <f t="shared" si="1"/>
        <v>Cap</v>
      </c>
      <c r="Q59" s="90" t="str">
        <f t="shared" si="1"/>
        <v>Cap</v>
      </c>
      <c r="R59" s="91" t="str">
        <f t="shared" si="1"/>
        <v/>
      </c>
    </row>
    <row r="60" spans="3:18">
      <c r="C60" s="70" t="s">
        <v>24</v>
      </c>
      <c r="D60" s="71"/>
      <c r="E60" s="72"/>
      <c r="F60" s="86" t="str">
        <f t="shared" ref="F60:R60" si="2">IF(F5&lt;&gt;"","Cap",IF(F23&lt;&gt;"","Floor",""))</f>
        <v>Floor</v>
      </c>
      <c r="G60" s="86" t="str">
        <f t="shared" si="2"/>
        <v>Floor</v>
      </c>
      <c r="H60" s="86" t="str">
        <f t="shared" si="2"/>
        <v>Floor</v>
      </c>
      <c r="I60" s="86" t="str">
        <f t="shared" si="2"/>
        <v>Floor</v>
      </c>
      <c r="J60" s="90" t="str">
        <f t="shared" si="2"/>
        <v>Cap</v>
      </c>
      <c r="K60" s="90" t="str">
        <f t="shared" si="2"/>
        <v>Cap</v>
      </c>
      <c r="L60" s="90" t="str">
        <f t="shared" si="2"/>
        <v>Cap</v>
      </c>
      <c r="M60" s="90" t="str">
        <f t="shared" si="2"/>
        <v>Cap</v>
      </c>
      <c r="N60" s="90" t="str">
        <f t="shared" si="2"/>
        <v>Cap</v>
      </c>
      <c r="O60" s="90" t="str">
        <f t="shared" si="2"/>
        <v>Cap</v>
      </c>
      <c r="P60" s="90" t="str">
        <f t="shared" si="2"/>
        <v>Cap</v>
      </c>
      <c r="Q60" s="90" t="str">
        <f t="shared" si="2"/>
        <v>Cap</v>
      </c>
      <c r="R60" s="91" t="str">
        <f t="shared" si="2"/>
        <v>Cap</v>
      </c>
    </row>
    <row r="61" spans="3:18">
      <c r="C61" s="70" t="s">
        <v>25</v>
      </c>
      <c r="D61" s="71"/>
      <c r="E61" s="72"/>
      <c r="F61" s="86" t="str">
        <f t="shared" ref="F61:R61" si="3">IF(F6&lt;&gt;"","Cap",IF(F24&lt;&gt;"","Floor",""))</f>
        <v>Floor</v>
      </c>
      <c r="G61" s="86" t="str">
        <f t="shared" si="3"/>
        <v>Floor</v>
      </c>
      <c r="H61" s="86" t="str">
        <f t="shared" si="3"/>
        <v>Floor</v>
      </c>
      <c r="I61" s="86" t="str">
        <f t="shared" si="3"/>
        <v>Floor</v>
      </c>
      <c r="J61" s="86" t="str">
        <f t="shared" si="3"/>
        <v>Floor</v>
      </c>
      <c r="K61" s="86" t="str">
        <f t="shared" si="3"/>
        <v>Floor</v>
      </c>
      <c r="L61" s="90" t="str">
        <f t="shared" si="3"/>
        <v>Cap</v>
      </c>
      <c r="M61" s="90" t="str">
        <f t="shared" si="3"/>
        <v>Cap</v>
      </c>
      <c r="N61" s="90" t="str">
        <f t="shared" si="3"/>
        <v>Cap</v>
      </c>
      <c r="O61" s="90" t="str">
        <f t="shared" si="3"/>
        <v>Cap</v>
      </c>
      <c r="P61" s="90" t="str">
        <f t="shared" si="3"/>
        <v>Cap</v>
      </c>
      <c r="Q61" s="90" t="str">
        <f t="shared" si="3"/>
        <v>Cap</v>
      </c>
      <c r="R61" s="91" t="str">
        <f t="shared" si="3"/>
        <v>Cap</v>
      </c>
    </row>
    <row r="62" spans="3:18">
      <c r="C62" s="70" t="s">
        <v>26</v>
      </c>
      <c r="D62" s="71"/>
      <c r="E62" s="72"/>
      <c r="F62" s="86" t="str">
        <f t="shared" ref="F62:R62" si="4">IF(F7&lt;&gt;"","Cap",IF(F25&lt;&gt;"","Floor",""))</f>
        <v>Floor</v>
      </c>
      <c r="G62" s="86" t="str">
        <f t="shared" si="4"/>
        <v>Floor</v>
      </c>
      <c r="H62" s="86" t="str">
        <f t="shared" si="4"/>
        <v>Floor</v>
      </c>
      <c r="I62" s="86" t="str">
        <f t="shared" si="4"/>
        <v>Floor</v>
      </c>
      <c r="J62" s="86" t="str">
        <f t="shared" si="4"/>
        <v>Floor</v>
      </c>
      <c r="K62" s="86" t="str">
        <f t="shared" si="4"/>
        <v>Floor</v>
      </c>
      <c r="L62" s="90" t="str">
        <f t="shared" si="4"/>
        <v>Cap</v>
      </c>
      <c r="M62" s="90" t="str">
        <f t="shared" si="4"/>
        <v>Cap</v>
      </c>
      <c r="N62" s="90" t="str">
        <f t="shared" si="4"/>
        <v>Cap</v>
      </c>
      <c r="O62" s="90" t="str">
        <f t="shared" si="4"/>
        <v>Cap</v>
      </c>
      <c r="P62" s="90" t="str">
        <f t="shared" si="4"/>
        <v>Cap</v>
      </c>
      <c r="Q62" s="90" t="str">
        <f t="shared" si="4"/>
        <v>Cap</v>
      </c>
      <c r="R62" s="91" t="str">
        <f t="shared" si="4"/>
        <v>Cap</v>
      </c>
    </row>
    <row r="63" spans="3:18">
      <c r="C63" s="70" t="s">
        <v>27</v>
      </c>
      <c r="D63" s="71"/>
      <c r="E63" s="72"/>
      <c r="F63" s="86" t="str">
        <f t="shared" ref="F63:R63" si="5">IF(F8&lt;&gt;"","Cap",IF(F26&lt;&gt;"","Floor",""))</f>
        <v>Floor</v>
      </c>
      <c r="G63" s="86" t="str">
        <f t="shared" si="5"/>
        <v>Floor</v>
      </c>
      <c r="H63" s="86" t="str">
        <f t="shared" si="5"/>
        <v>Floor</v>
      </c>
      <c r="I63" s="86" t="str">
        <f t="shared" si="5"/>
        <v>Floor</v>
      </c>
      <c r="J63" s="86" t="str">
        <f t="shared" si="5"/>
        <v>Floor</v>
      </c>
      <c r="K63" s="86" t="str">
        <f t="shared" si="5"/>
        <v>Floor</v>
      </c>
      <c r="L63" s="86" t="str">
        <f t="shared" si="5"/>
        <v>Floor</v>
      </c>
      <c r="M63" s="90" t="str">
        <f t="shared" si="5"/>
        <v>Cap</v>
      </c>
      <c r="N63" s="90" t="str">
        <f t="shared" si="5"/>
        <v>Cap</v>
      </c>
      <c r="O63" s="90" t="str">
        <f t="shared" si="5"/>
        <v>Cap</v>
      </c>
      <c r="P63" s="90" t="str">
        <f t="shared" si="5"/>
        <v>Cap</v>
      </c>
      <c r="Q63" s="90" t="str">
        <f t="shared" si="5"/>
        <v>Cap</v>
      </c>
      <c r="R63" s="91" t="str">
        <f t="shared" si="5"/>
        <v>Cap</v>
      </c>
    </row>
    <row r="64" spans="3:18">
      <c r="C64" s="70" t="s">
        <v>28</v>
      </c>
      <c r="D64" s="71"/>
      <c r="E64" s="72"/>
      <c r="F64" s="86" t="str">
        <f t="shared" ref="F64:R64" si="6">IF(F9&lt;&gt;"","Cap",IF(F27&lt;&gt;"","Floor",""))</f>
        <v>Floor</v>
      </c>
      <c r="G64" s="86" t="str">
        <f t="shared" si="6"/>
        <v>Floor</v>
      </c>
      <c r="H64" s="86" t="str">
        <f t="shared" si="6"/>
        <v>Floor</v>
      </c>
      <c r="I64" s="86" t="str">
        <f t="shared" si="6"/>
        <v>Floor</v>
      </c>
      <c r="J64" s="86" t="str">
        <f t="shared" si="6"/>
        <v>Floor</v>
      </c>
      <c r="K64" s="86" t="str">
        <f t="shared" si="6"/>
        <v>Floor</v>
      </c>
      <c r="L64" s="86" t="str">
        <f t="shared" si="6"/>
        <v>Floor</v>
      </c>
      <c r="M64" s="90" t="str">
        <f t="shared" si="6"/>
        <v>Cap</v>
      </c>
      <c r="N64" s="90" t="str">
        <f t="shared" si="6"/>
        <v>Cap</v>
      </c>
      <c r="O64" s="90" t="str">
        <f t="shared" si="6"/>
        <v>Cap</v>
      </c>
      <c r="P64" s="90" t="str">
        <f t="shared" si="6"/>
        <v>Cap</v>
      </c>
      <c r="Q64" s="90" t="str">
        <f t="shared" si="6"/>
        <v>Cap</v>
      </c>
      <c r="R64" s="91" t="str">
        <f t="shared" si="6"/>
        <v>Cap</v>
      </c>
    </row>
    <row r="65" spans="3:18">
      <c r="C65" s="70" t="s">
        <v>29</v>
      </c>
      <c r="D65" s="71"/>
      <c r="E65" s="72"/>
      <c r="F65" s="86" t="str">
        <f t="shared" ref="F65:R65" si="7">IF(F10&lt;&gt;"","Cap",IF(F28&lt;&gt;"","Floor",""))</f>
        <v>Floor</v>
      </c>
      <c r="G65" s="86" t="str">
        <f t="shared" si="7"/>
        <v>Floor</v>
      </c>
      <c r="H65" s="86" t="str">
        <f t="shared" si="7"/>
        <v>Floor</v>
      </c>
      <c r="I65" s="86" t="str">
        <f t="shared" si="7"/>
        <v>Floor</v>
      </c>
      <c r="J65" s="86" t="str">
        <f t="shared" si="7"/>
        <v>Floor</v>
      </c>
      <c r="K65" s="86" t="str">
        <f t="shared" si="7"/>
        <v>Floor</v>
      </c>
      <c r="L65" s="86" t="str">
        <f t="shared" si="7"/>
        <v>Floor</v>
      </c>
      <c r="M65" s="90" t="str">
        <f t="shared" si="7"/>
        <v>Cap</v>
      </c>
      <c r="N65" s="90" t="str">
        <f t="shared" si="7"/>
        <v>Cap</v>
      </c>
      <c r="O65" s="90" t="str">
        <f t="shared" si="7"/>
        <v>Cap</v>
      </c>
      <c r="P65" s="90" t="str">
        <f t="shared" si="7"/>
        <v>Cap</v>
      </c>
      <c r="Q65" s="90" t="str">
        <f t="shared" si="7"/>
        <v>Cap</v>
      </c>
      <c r="R65" s="91" t="str">
        <f t="shared" si="7"/>
        <v>Cap</v>
      </c>
    </row>
    <row r="66" spans="3:18">
      <c r="C66" s="70" t="s">
        <v>30</v>
      </c>
      <c r="D66" s="71"/>
      <c r="E66" s="72"/>
      <c r="F66" s="86" t="str">
        <f t="shared" ref="F66:R66" si="8">IF(F11&lt;&gt;"","Cap",IF(F29&lt;&gt;"","Floor",""))</f>
        <v>Floor</v>
      </c>
      <c r="G66" s="86" t="str">
        <f t="shared" si="8"/>
        <v>Floor</v>
      </c>
      <c r="H66" s="86" t="str">
        <f t="shared" si="8"/>
        <v>Floor</v>
      </c>
      <c r="I66" s="86" t="str">
        <f t="shared" si="8"/>
        <v>Floor</v>
      </c>
      <c r="J66" s="86" t="str">
        <f t="shared" si="8"/>
        <v>Floor</v>
      </c>
      <c r="K66" s="86" t="str">
        <f t="shared" si="8"/>
        <v>Floor</v>
      </c>
      <c r="L66" s="86" t="str">
        <f t="shared" si="8"/>
        <v>Floor</v>
      </c>
      <c r="M66" s="90" t="str">
        <f t="shared" si="8"/>
        <v>Cap</v>
      </c>
      <c r="N66" s="90" t="str">
        <f t="shared" si="8"/>
        <v>Cap</v>
      </c>
      <c r="O66" s="90" t="str">
        <f t="shared" si="8"/>
        <v>Cap</v>
      </c>
      <c r="P66" s="90" t="str">
        <f t="shared" si="8"/>
        <v>Cap</v>
      </c>
      <c r="Q66" s="90" t="str">
        <f t="shared" si="8"/>
        <v>Cap</v>
      </c>
      <c r="R66" s="91" t="str">
        <f t="shared" si="8"/>
        <v>Cap</v>
      </c>
    </row>
    <row r="67" spans="3:18">
      <c r="C67" s="70" t="s">
        <v>31</v>
      </c>
      <c r="D67" s="71"/>
      <c r="E67" s="72"/>
      <c r="F67" s="86" t="str">
        <f t="shared" ref="F67:R67" si="9">IF(F12&lt;&gt;"","Cap",IF(F30&lt;&gt;"","Floor",""))</f>
        <v>Floor</v>
      </c>
      <c r="G67" s="86" t="str">
        <f t="shared" si="9"/>
        <v>Floor</v>
      </c>
      <c r="H67" s="86" t="str">
        <f t="shared" si="9"/>
        <v>Floor</v>
      </c>
      <c r="I67" s="86" t="str">
        <f t="shared" si="9"/>
        <v>Floor</v>
      </c>
      <c r="J67" s="86" t="str">
        <f t="shared" si="9"/>
        <v>Floor</v>
      </c>
      <c r="K67" s="86" t="str">
        <f t="shared" si="9"/>
        <v>Floor</v>
      </c>
      <c r="L67" s="86" t="str">
        <f t="shared" si="9"/>
        <v>Floor</v>
      </c>
      <c r="M67" s="119" t="str">
        <f t="shared" si="9"/>
        <v>Floor</v>
      </c>
      <c r="N67" s="90" t="str">
        <f t="shared" si="9"/>
        <v>Cap</v>
      </c>
      <c r="O67" s="90" t="str">
        <f t="shared" si="9"/>
        <v>Cap</v>
      </c>
      <c r="P67" s="90" t="str">
        <f t="shared" si="9"/>
        <v>Cap</v>
      </c>
      <c r="Q67" s="90" t="str">
        <f t="shared" si="9"/>
        <v>Cap</v>
      </c>
      <c r="R67" s="91" t="str">
        <f t="shared" si="9"/>
        <v>Cap</v>
      </c>
    </row>
    <row r="68" spans="3:18">
      <c r="C68" s="70" t="s">
        <v>32</v>
      </c>
      <c r="D68" s="71"/>
      <c r="E68" s="72"/>
      <c r="F68" s="86" t="str">
        <f t="shared" ref="F68:R68" si="10">IF(F13&lt;&gt;"","Cap",IF(F31&lt;&gt;"","Floor",""))</f>
        <v>Floor</v>
      </c>
      <c r="G68" s="86" t="str">
        <f t="shared" si="10"/>
        <v>Floor</v>
      </c>
      <c r="H68" s="86" t="str">
        <f t="shared" si="10"/>
        <v>Floor</v>
      </c>
      <c r="I68" s="86" t="str">
        <f t="shared" si="10"/>
        <v>Floor</v>
      </c>
      <c r="J68" s="86" t="str">
        <f t="shared" si="10"/>
        <v>Floor</v>
      </c>
      <c r="K68" s="86" t="str">
        <f t="shared" si="10"/>
        <v>Floor</v>
      </c>
      <c r="L68" s="86" t="str">
        <f t="shared" si="10"/>
        <v>Floor</v>
      </c>
      <c r="M68" s="86" t="str">
        <f t="shared" si="10"/>
        <v>Floor</v>
      </c>
      <c r="N68" s="90" t="str">
        <f t="shared" si="10"/>
        <v>Cap</v>
      </c>
      <c r="O68" s="90" t="str">
        <f t="shared" si="10"/>
        <v>Cap</v>
      </c>
      <c r="P68" s="90" t="str">
        <f t="shared" si="10"/>
        <v>Cap</v>
      </c>
      <c r="Q68" s="90" t="str">
        <f t="shared" si="10"/>
        <v>Cap</v>
      </c>
      <c r="R68" s="91" t="str">
        <f t="shared" si="10"/>
        <v>Cap</v>
      </c>
    </row>
    <row r="69" spans="3:18">
      <c r="C69" s="70" t="s">
        <v>48</v>
      </c>
      <c r="D69" s="71"/>
      <c r="E69" s="72"/>
      <c r="F69" s="86" t="str">
        <f t="shared" ref="F69:R69" si="11">IF(F14&lt;&gt;"","Cap",IF(F32&lt;&gt;"","Floor",""))</f>
        <v>Floor</v>
      </c>
      <c r="G69" s="86" t="str">
        <f t="shared" si="11"/>
        <v>Floor</v>
      </c>
      <c r="H69" s="86" t="str">
        <f t="shared" si="11"/>
        <v>Floor</v>
      </c>
      <c r="I69" s="86" t="str">
        <f t="shared" si="11"/>
        <v>Floor</v>
      </c>
      <c r="J69" s="86" t="str">
        <f t="shared" si="11"/>
        <v>Floor</v>
      </c>
      <c r="K69" s="86" t="str">
        <f t="shared" si="11"/>
        <v>Floor</v>
      </c>
      <c r="L69" s="86" t="str">
        <f t="shared" si="11"/>
        <v>Floor</v>
      </c>
      <c r="M69" s="86" t="str">
        <f t="shared" si="11"/>
        <v>Floor</v>
      </c>
      <c r="N69" s="90" t="str">
        <f t="shared" si="11"/>
        <v>Cap</v>
      </c>
      <c r="O69" s="90" t="str">
        <f t="shared" si="11"/>
        <v>Cap</v>
      </c>
      <c r="P69" s="90" t="str">
        <f t="shared" si="11"/>
        <v>Cap</v>
      </c>
      <c r="Q69" s="90" t="str">
        <f t="shared" si="11"/>
        <v>Cap</v>
      </c>
      <c r="R69" s="91" t="str">
        <f t="shared" si="11"/>
        <v>Cap</v>
      </c>
    </row>
    <row r="70" spans="3:18">
      <c r="C70" s="70" t="s">
        <v>33</v>
      </c>
      <c r="D70" s="71"/>
      <c r="E70" s="72"/>
      <c r="F70" s="86" t="str">
        <f t="shared" ref="F70:R70" si="12">IF(F15&lt;&gt;"","Cap",IF(F33&lt;&gt;"","Floor",""))</f>
        <v>Floor</v>
      </c>
      <c r="G70" s="86" t="str">
        <f t="shared" si="12"/>
        <v>Floor</v>
      </c>
      <c r="H70" s="86" t="str">
        <f t="shared" si="12"/>
        <v>Floor</v>
      </c>
      <c r="I70" s="86" t="str">
        <f t="shared" si="12"/>
        <v>Floor</v>
      </c>
      <c r="J70" s="86" t="str">
        <f t="shared" si="12"/>
        <v>Floor</v>
      </c>
      <c r="K70" s="86" t="str">
        <f t="shared" si="12"/>
        <v>Floor</v>
      </c>
      <c r="L70" s="86" t="str">
        <f t="shared" si="12"/>
        <v>Floor</v>
      </c>
      <c r="M70" s="86" t="str">
        <f t="shared" si="12"/>
        <v>Floor</v>
      </c>
      <c r="N70" s="90" t="str">
        <f t="shared" si="12"/>
        <v>Cap</v>
      </c>
      <c r="O70" s="90" t="str">
        <f t="shared" si="12"/>
        <v>Cap</v>
      </c>
      <c r="P70" s="90" t="str">
        <f t="shared" si="12"/>
        <v>Cap</v>
      </c>
      <c r="Q70" s="90" t="str">
        <f t="shared" si="12"/>
        <v>Cap</v>
      </c>
      <c r="R70" s="91" t="str">
        <f t="shared" si="12"/>
        <v>Cap</v>
      </c>
    </row>
    <row r="71" spans="3:18">
      <c r="C71" s="70" t="s">
        <v>34</v>
      </c>
      <c r="D71" s="71"/>
      <c r="E71" s="72"/>
      <c r="F71" s="86" t="str">
        <f t="shared" ref="F71:R71" si="13">IF(F16&lt;&gt;"","Cap",IF(F34&lt;&gt;"","Floor",""))</f>
        <v>Floor</v>
      </c>
      <c r="G71" s="86" t="str">
        <f t="shared" si="13"/>
        <v>Floor</v>
      </c>
      <c r="H71" s="86" t="str">
        <f t="shared" si="13"/>
        <v>Floor</v>
      </c>
      <c r="I71" s="86" t="str">
        <f t="shared" si="13"/>
        <v>Floor</v>
      </c>
      <c r="J71" s="86" t="str">
        <f t="shared" si="13"/>
        <v>Floor</v>
      </c>
      <c r="K71" s="86" t="str">
        <f t="shared" si="13"/>
        <v>Floor</v>
      </c>
      <c r="L71" s="86" t="str">
        <f t="shared" si="13"/>
        <v>Floor</v>
      </c>
      <c r="M71" s="86" t="str">
        <f t="shared" si="13"/>
        <v>Floor</v>
      </c>
      <c r="N71" s="86" t="str">
        <f t="shared" si="13"/>
        <v>Floor</v>
      </c>
      <c r="O71" s="90" t="str">
        <f t="shared" si="13"/>
        <v>Cap</v>
      </c>
      <c r="P71" s="90" t="str">
        <f t="shared" si="13"/>
        <v>Cap</v>
      </c>
      <c r="Q71" s="90" t="str">
        <f t="shared" si="13"/>
        <v>Cap</v>
      </c>
      <c r="R71" s="91" t="str">
        <f t="shared" si="13"/>
        <v>Cap</v>
      </c>
    </row>
    <row r="72" spans="3:18">
      <c r="C72" s="70" t="s">
        <v>35</v>
      </c>
      <c r="D72" s="71"/>
      <c r="E72" s="72"/>
      <c r="F72" s="86" t="str">
        <f t="shared" ref="F72:R72" si="14">IF(F17&lt;&gt;"","Cap",IF(F35&lt;&gt;"","Floor",""))</f>
        <v>Floor</v>
      </c>
      <c r="G72" s="86" t="str">
        <f t="shared" si="14"/>
        <v>Floor</v>
      </c>
      <c r="H72" s="86" t="str">
        <f t="shared" si="14"/>
        <v>Floor</v>
      </c>
      <c r="I72" s="86" t="str">
        <f t="shared" si="14"/>
        <v>Floor</v>
      </c>
      <c r="J72" s="86" t="str">
        <f t="shared" si="14"/>
        <v>Floor</v>
      </c>
      <c r="K72" s="86" t="str">
        <f t="shared" si="14"/>
        <v>Floor</v>
      </c>
      <c r="L72" s="86" t="str">
        <f t="shared" si="14"/>
        <v>Floor</v>
      </c>
      <c r="M72" s="86" t="str">
        <f t="shared" si="14"/>
        <v>Floor</v>
      </c>
      <c r="N72" s="86" t="str">
        <f t="shared" si="14"/>
        <v>Floor</v>
      </c>
      <c r="O72" s="90" t="str">
        <f t="shared" si="14"/>
        <v>Cap</v>
      </c>
      <c r="P72" s="90" t="str">
        <f t="shared" si="14"/>
        <v>Cap</v>
      </c>
      <c r="Q72" s="90" t="str">
        <f t="shared" si="14"/>
        <v>Cap</v>
      </c>
      <c r="R72" s="91" t="str">
        <f t="shared" si="14"/>
        <v>Cap</v>
      </c>
    </row>
    <row r="73" spans="3:18">
      <c r="C73" s="74" t="s">
        <v>36</v>
      </c>
      <c r="D73" s="75"/>
      <c r="E73" s="76"/>
      <c r="F73" s="87" t="str">
        <f t="shared" ref="F73:R73" si="15">IF(F18&lt;&gt;"","Cap",IF(F36&lt;&gt;"","Floor",""))</f>
        <v>Floor</v>
      </c>
      <c r="G73" s="87" t="str">
        <f t="shared" si="15"/>
        <v>Floor</v>
      </c>
      <c r="H73" s="87" t="str">
        <f t="shared" si="15"/>
        <v>Floor</v>
      </c>
      <c r="I73" s="87" t="str">
        <f t="shared" si="15"/>
        <v>Floor</v>
      </c>
      <c r="J73" s="87" t="str">
        <f t="shared" si="15"/>
        <v>Floor</v>
      </c>
      <c r="K73" s="87" t="str">
        <f t="shared" si="15"/>
        <v>Floor</v>
      </c>
      <c r="L73" s="87" t="str">
        <f t="shared" si="15"/>
        <v>Floor</v>
      </c>
      <c r="M73" s="87" t="str">
        <f t="shared" si="15"/>
        <v>Floor</v>
      </c>
      <c r="N73" s="87" t="str">
        <f t="shared" si="15"/>
        <v>Floor</v>
      </c>
      <c r="O73" s="92" t="str">
        <f t="shared" si="15"/>
        <v>Cap</v>
      </c>
      <c r="P73" s="92" t="str">
        <f t="shared" si="15"/>
        <v>Cap</v>
      </c>
      <c r="Q73" s="92" t="str">
        <f t="shared" si="15"/>
        <v>Cap</v>
      </c>
      <c r="R73" s="93" t="str">
        <f t="shared" si="15"/>
        <v>Cap</v>
      </c>
    </row>
    <row r="76" spans="3:18">
      <c r="C76" s="62" t="s">
        <v>162</v>
      </c>
      <c r="D76" s="63"/>
      <c r="E76" s="64"/>
      <c r="F76" s="64">
        <v>-0.5</v>
      </c>
      <c r="G76" s="64">
        <v>-0.25</v>
      </c>
      <c r="H76" s="64">
        <v>-0.13</v>
      </c>
      <c r="I76" s="64">
        <v>0</v>
      </c>
      <c r="J76" s="64">
        <v>0.13</v>
      </c>
      <c r="K76" s="64">
        <v>0.25</v>
      </c>
      <c r="L76" s="64">
        <v>0.5</v>
      </c>
      <c r="M76" s="64">
        <v>1</v>
      </c>
      <c r="N76" s="64">
        <v>1.5</v>
      </c>
      <c r="O76" s="64">
        <v>2</v>
      </c>
      <c r="P76" s="64">
        <v>3</v>
      </c>
      <c r="Q76" s="64">
        <v>5</v>
      </c>
      <c r="R76" s="65">
        <v>10</v>
      </c>
    </row>
    <row r="77" spans="3:18">
      <c r="C77" s="66" t="s">
        <v>23</v>
      </c>
      <c r="D77" s="67"/>
      <c r="E77" s="68"/>
      <c r="F77" s="94">
        <f t="shared" ref="F77:R77" si="16">IF(F58="Cap",F3,IF(F58="Floor",F21,""))</f>
        <v>1</v>
      </c>
      <c r="G77" s="94">
        <f t="shared" si="16"/>
        <v>1</v>
      </c>
      <c r="H77" s="94">
        <f t="shared" si="16"/>
        <v>2</v>
      </c>
      <c r="I77" s="94">
        <f t="shared" si="16"/>
        <v>5</v>
      </c>
      <c r="J77" s="95">
        <f t="shared" si="16"/>
        <v>3</v>
      </c>
      <c r="K77" s="95">
        <f t="shared" si="16"/>
        <v>2</v>
      </c>
      <c r="L77" s="95">
        <f t="shared" si="16"/>
        <v>1</v>
      </c>
      <c r="M77" s="95">
        <f t="shared" si="16"/>
        <v>1</v>
      </c>
      <c r="N77" s="95" t="str">
        <f t="shared" si="16"/>
        <v/>
      </c>
      <c r="O77" s="95" t="str">
        <f t="shared" si="16"/>
        <v/>
      </c>
      <c r="P77" s="95" t="str">
        <f t="shared" si="16"/>
        <v/>
      </c>
      <c r="Q77" s="95" t="str">
        <f t="shared" si="16"/>
        <v/>
      </c>
      <c r="R77" s="96" t="str">
        <f t="shared" si="16"/>
        <v/>
      </c>
    </row>
    <row r="78" spans="3:18">
      <c r="C78" s="70" t="s">
        <v>47</v>
      </c>
      <c r="D78" s="71"/>
      <c r="E78" s="72"/>
      <c r="F78" s="97">
        <f t="shared" ref="F78:R78" si="17">IF(F59="Cap",F4,IF(F59="Floor",F22,""))</f>
        <v>2</v>
      </c>
      <c r="G78" s="97">
        <f t="shared" si="17"/>
        <v>3</v>
      </c>
      <c r="H78" s="97">
        <f t="shared" si="17"/>
        <v>5</v>
      </c>
      <c r="I78" s="97">
        <f t="shared" si="17"/>
        <v>10</v>
      </c>
      <c r="J78" s="98">
        <f t="shared" si="17"/>
        <v>8</v>
      </c>
      <c r="K78" s="98">
        <f t="shared" si="17"/>
        <v>5</v>
      </c>
      <c r="L78" s="98">
        <f t="shared" si="17"/>
        <v>3</v>
      </c>
      <c r="M78" s="98">
        <f t="shared" si="17"/>
        <v>2</v>
      </c>
      <c r="N78" s="98">
        <f t="shared" si="17"/>
        <v>1</v>
      </c>
      <c r="O78" s="98">
        <f t="shared" si="17"/>
        <v>1</v>
      </c>
      <c r="P78" s="98">
        <f t="shared" si="17"/>
        <v>1</v>
      </c>
      <c r="Q78" s="98">
        <f t="shared" si="17"/>
        <v>1</v>
      </c>
      <c r="R78" s="99" t="str">
        <f t="shared" si="17"/>
        <v/>
      </c>
    </row>
    <row r="79" spans="3:18">
      <c r="C79" s="70" t="s">
        <v>24</v>
      </c>
      <c r="D79" s="71"/>
      <c r="E79" s="72"/>
      <c r="F79" s="97">
        <f t="shared" ref="F79:R79" si="18">IF(F60="Cap",F5,IF(F60="Floor",F23,""))</f>
        <v>3</v>
      </c>
      <c r="G79" s="97">
        <f t="shared" si="18"/>
        <v>6</v>
      </c>
      <c r="H79" s="97">
        <f t="shared" si="18"/>
        <v>8</v>
      </c>
      <c r="I79" s="97">
        <f t="shared" si="18"/>
        <v>15</v>
      </c>
      <c r="J79" s="98">
        <f t="shared" si="18"/>
        <v>17</v>
      </c>
      <c r="K79" s="98">
        <f t="shared" si="18"/>
        <v>11</v>
      </c>
      <c r="L79" s="98">
        <f t="shared" si="18"/>
        <v>7</v>
      </c>
      <c r="M79" s="98">
        <f t="shared" si="18"/>
        <v>4</v>
      </c>
      <c r="N79" s="98">
        <f t="shared" si="18"/>
        <v>3</v>
      </c>
      <c r="O79" s="98">
        <f t="shared" si="18"/>
        <v>2</v>
      </c>
      <c r="P79" s="98">
        <f t="shared" si="18"/>
        <v>2</v>
      </c>
      <c r="Q79" s="98">
        <f t="shared" si="18"/>
        <v>1</v>
      </c>
      <c r="R79" s="99">
        <f t="shared" si="18"/>
        <v>1</v>
      </c>
    </row>
    <row r="80" spans="3:18">
      <c r="C80" s="70" t="s">
        <v>25</v>
      </c>
      <c r="D80" s="71"/>
      <c r="E80" s="72"/>
      <c r="F80" s="97">
        <f t="shared" ref="F80:R80" si="19">IF(F61="Cap",F6,IF(F61="Floor",F24,""))</f>
        <v>8</v>
      </c>
      <c r="G80" s="97">
        <f t="shared" si="19"/>
        <v>11</v>
      </c>
      <c r="H80" s="97">
        <f t="shared" si="19"/>
        <v>15</v>
      </c>
      <c r="I80" s="97">
        <f t="shared" si="19"/>
        <v>20</v>
      </c>
      <c r="J80" s="97">
        <f t="shared" si="19"/>
        <v>32</v>
      </c>
      <c r="K80" s="97">
        <f t="shared" si="19"/>
        <v>47</v>
      </c>
      <c r="L80" s="98">
        <f t="shared" si="19"/>
        <v>30</v>
      </c>
      <c r="M80" s="98">
        <f t="shared" si="19"/>
        <v>15</v>
      </c>
      <c r="N80" s="98">
        <f t="shared" si="19"/>
        <v>10</v>
      </c>
      <c r="O80" s="98">
        <f t="shared" si="19"/>
        <v>7</v>
      </c>
      <c r="P80" s="98">
        <f t="shared" si="19"/>
        <v>5</v>
      </c>
      <c r="Q80" s="98">
        <f t="shared" si="19"/>
        <v>3</v>
      </c>
      <c r="R80" s="99">
        <f t="shared" si="19"/>
        <v>1</v>
      </c>
    </row>
    <row r="81" spans="3:35">
      <c r="C81" s="70" t="s">
        <v>26</v>
      </c>
      <c r="D81" s="71"/>
      <c r="E81" s="72"/>
      <c r="F81" s="97">
        <f t="shared" ref="F81:R81" si="20">IF(F62="Cap",F7,IF(F62="Floor",F25,""))</f>
        <v>16</v>
      </c>
      <c r="G81" s="97">
        <f t="shared" si="20"/>
        <v>23</v>
      </c>
      <c r="H81" s="97">
        <f t="shared" si="20"/>
        <v>28</v>
      </c>
      <c r="I81" s="97">
        <f t="shared" si="20"/>
        <v>35</v>
      </c>
      <c r="J81" s="97">
        <f t="shared" si="20"/>
        <v>50</v>
      </c>
      <c r="K81" s="97">
        <f t="shared" si="20"/>
        <v>67</v>
      </c>
      <c r="L81" s="98">
        <f t="shared" si="20"/>
        <v>86</v>
      </c>
      <c r="M81" s="98">
        <f t="shared" si="20"/>
        <v>47</v>
      </c>
      <c r="N81" s="98">
        <f t="shared" si="20"/>
        <v>29</v>
      </c>
      <c r="O81" s="98">
        <f t="shared" si="20"/>
        <v>20</v>
      </c>
      <c r="P81" s="98">
        <f t="shared" si="20"/>
        <v>12</v>
      </c>
      <c r="Q81" s="98">
        <f t="shared" si="20"/>
        <v>6</v>
      </c>
      <c r="R81" s="99">
        <f t="shared" si="20"/>
        <v>2</v>
      </c>
    </row>
    <row r="82" spans="3:35">
      <c r="C82" s="70" t="s">
        <v>27</v>
      </c>
      <c r="D82" s="71"/>
      <c r="E82" s="72"/>
      <c r="F82" s="97">
        <f t="shared" ref="F82:R82" si="21">IF(F63="Cap",F8,IF(F63="Floor",F26,""))</f>
        <v>28</v>
      </c>
      <c r="G82" s="97">
        <f t="shared" si="21"/>
        <v>38</v>
      </c>
      <c r="H82" s="97">
        <f t="shared" si="21"/>
        <v>44</v>
      </c>
      <c r="I82" s="97">
        <f t="shared" si="21"/>
        <v>54</v>
      </c>
      <c r="J82" s="97">
        <f t="shared" si="21"/>
        <v>71</v>
      </c>
      <c r="K82" s="97">
        <f t="shared" si="21"/>
        <v>90</v>
      </c>
      <c r="L82" s="97">
        <f t="shared" si="21"/>
        <v>150</v>
      </c>
      <c r="M82" s="98">
        <f t="shared" si="21"/>
        <v>106</v>
      </c>
      <c r="N82" s="98">
        <f t="shared" si="21"/>
        <v>66</v>
      </c>
      <c r="O82" s="98">
        <f t="shared" si="21"/>
        <v>44</v>
      </c>
      <c r="P82" s="98">
        <f t="shared" si="21"/>
        <v>24</v>
      </c>
      <c r="Q82" s="98">
        <f t="shared" si="21"/>
        <v>11</v>
      </c>
      <c r="R82" s="99">
        <f t="shared" si="21"/>
        <v>3</v>
      </c>
    </row>
    <row r="83" spans="3:35">
      <c r="C83" s="70" t="s">
        <v>28</v>
      </c>
      <c r="D83" s="71"/>
      <c r="E83" s="72"/>
      <c r="F83" s="97">
        <f t="shared" ref="F83:R83" si="22">IF(F64="Cap",F9,IF(F64="Floor",F27,""))</f>
        <v>47</v>
      </c>
      <c r="G83" s="97">
        <f t="shared" si="22"/>
        <v>59</v>
      </c>
      <c r="H83" s="97">
        <f t="shared" si="22"/>
        <v>67</v>
      </c>
      <c r="I83" s="97">
        <f t="shared" si="22"/>
        <v>79</v>
      </c>
      <c r="J83" s="97">
        <f t="shared" si="22"/>
        <v>97</v>
      </c>
      <c r="K83" s="97">
        <f t="shared" si="22"/>
        <v>119</v>
      </c>
      <c r="L83" s="97">
        <f t="shared" si="22"/>
        <v>183</v>
      </c>
      <c r="M83" s="98">
        <f t="shared" si="22"/>
        <v>194</v>
      </c>
      <c r="N83" s="98">
        <f t="shared" si="22"/>
        <v>125</v>
      </c>
      <c r="O83" s="98">
        <f t="shared" si="22"/>
        <v>83</v>
      </c>
      <c r="P83" s="98">
        <f t="shared" si="22"/>
        <v>42</v>
      </c>
      <c r="Q83" s="98">
        <f t="shared" si="22"/>
        <v>17</v>
      </c>
      <c r="R83" s="99">
        <f t="shared" si="22"/>
        <v>5</v>
      </c>
    </row>
    <row r="84" spans="3:35">
      <c r="C84" s="70" t="s">
        <v>29</v>
      </c>
      <c r="D84" s="71"/>
      <c r="E84" s="72"/>
      <c r="F84" s="97">
        <f t="shared" ref="F84:R84" si="23">IF(F65="Cap",F10,IF(F65="Floor",F28,""))</f>
        <v>68</v>
      </c>
      <c r="G84" s="97">
        <f t="shared" si="23"/>
        <v>83</v>
      </c>
      <c r="H84" s="97">
        <f t="shared" si="23"/>
        <v>93</v>
      </c>
      <c r="I84" s="97">
        <f t="shared" si="23"/>
        <v>106</v>
      </c>
      <c r="J84" s="97">
        <f t="shared" si="23"/>
        <v>127</v>
      </c>
      <c r="K84" s="97">
        <f t="shared" si="23"/>
        <v>151</v>
      </c>
      <c r="L84" s="97">
        <f t="shared" si="23"/>
        <v>220</v>
      </c>
      <c r="M84" s="98">
        <f t="shared" si="23"/>
        <v>305</v>
      </c>
      <c r="N84" s="98">
        <f t="shared" si="23"/>
        <v>205</v>
      </c>
      <c r="O84" s="98">
        <f t="shared" si="23"/>
        <v>138</v>
      </c>
      <c r="P84" s="98">
        <f t="shared" si="23"/>
        <v>70</v>
      </c>
      <c r="Q84" s="98">
        <f t="shared" si="23"/>
        <v>29</v>
      </c>
      <c r="R84" s="99">
        <f t="shared" si="23"/>
        <v>8</v>
      </c>
    </row>
    <row r="85" spans="3:35">
      <c r="C85" s="70" t="s">
        <v>30</v>
      </c>
      <c r="D85" s="71"/>
      <c r="E85" s="72"/>
      <c r="F85" s="97">
        <f t="shared" ref="F85:R85" si="24">IF(F66="Cap",F11,IF(F66="Floor",F29,""))</f>
        <v>89</v>
      </c>
      <c r="G85" s="97">
        <f t="shared" si="24"/>
        <v>107</v>
      </c>
      <c r="H85" s="97">
        <f t="shared" si="24"/>
        <v>119</v>
      </c>
      <c r="I85" s="97">
        <f t="shared" si="24"/>
        <v>134</v>
      </c>
      <c r="J85" s="97">
        <f t="shared" si="24"/>
        <v>157</v>
      </c>
      <c r="K85" s="97">
        <f t="shared" si="24"/>
        <v>183</v>
      </c>
      <c r="L85" s="97">
        <f t="shared" si="24"/>
        <v>256</v>
      </c>
      <c r="M85" s="98">
        <f t="shared" si="24"/>
        <v>434</v>
      </c>
      <c r="N85" s="98">
        <f t="shared" si="24"/>
        <v>302</v>
      </c>
      <c r="O85" s="98">
        <f t="shared" si="24"/>
        <v>209</v>
      </c>
      <c r="P85" s="98">
        <f t="shared" si="24"/>
        <v>108</v>
      </c>
      <c r="Q85" s="98">
        <f t="shared" si="24"/>
        <v>43</v>
      </c>
      <c r="R85" s="99">
        <f t="shared" si="24"/>
        <v>12</v>
      </c>
    </row>
    <row r="86" spans="3:35">
      <c r="C86" s="70" t="s">
        <v>31</v>
      </c>
      <c r="D86" s="71"/>
      <c r="E86" s="72"/>
      <c r="F86" s="97">
        <f t="shared" ref="F86:R86" si="25">IF(F67="Cap",F12,IF(F67="Floor",F30,""))</f>
        <v>108</v>
      </c>
      <c r="G86" s="97">
        <f t="shared" si="25"/>
        <v>130</v>
      </c>
      <c r="H86" s="97">
        <f t="shared" si="25"/>
        <v>143</v>
      </c>
      <c r="I86" s="97">
        <f t="shared" si="25"/>
        <v>160</v>
      </c>
      <c r="J86" s="97">
        <f t="shared" si="25"/>
        <v>185</v>
      </c>
      <c r="K86" s="97">
        <f t="shared" si="25"/>
        <v>213</v>
      </c>
      <c r="L86" s="97">
        <f t="shared" si="25"/>
        <v>291</v>
      </c>
      <c r="M86" s="97">
        <f t="shared" si="25"/>
        <v>497</v>
      </c>
      <c r="N86" s="98">
        <f t="shared" si="25"/>
        <v>410</v>
      </c>
      <c r="O86" s="98">
        <f t="shared" si="25"/>
        <v>291</v>
      </c>
      <c r="P86" s="98">
        <f t="shared" si="25"/>
        <v>153</v>
      </c>
      <c r="Q86" s="98">
        <f t="shared" si="25"/>
        <v>59</v>
      </c>
      <c r="R86" s="99">
        <f t="shared" si="25"/>
        <v>16</v>
      </c>
      <c r="T86" s="150"/>
    </row>
    <row r="87" spans="3:35">
      <c r="C87" s="70" t="s">
        <v>32</v>
      </c>
      <c r="D87" s="71"/>
      <c r="E87" s="72"/>
      <c r="F87" s="97">
        <f t="shared" ref="F87:R87" si="26">IF(F68="Cap",F13,IF(F68="Floor",F31,""))</f>
        <v>126</v>
      </c>
      <c r="G87" s="97">
        <f t="shared" si="26"/>
        <v>151</v>
      </c>
      <c r="H87" s="97">
        <f t="shared" si="26"/>
        <v>166</v>
      </c>
      <c r="I87" s="97">
        <f t="shared" si="26"/>
        <v>185</v>
      </c>
      <c r="J87" s="97">
        <f t="shared" si="26"/>
        <v>212</v>
      </c>
      <c r="K87" s="97">
        <f t="shared" si="26"/>
        <v>242</v>
      </c>
      <c r="L87" s="97">
        <f t="shared" si="26"/>
        <v>326</v>
      </c>
      <c r="M87" s="97">
        <f t="shared" si="26"/>
        <v>545</v>
      </c>
      <c r="N87" s="98">
        <f t="shared" si="26"/>
        <v>524</v>
      </c>
      <c r="O87" s="98">
        <f t="shared" si="26"/>
        <v>380</v>
      </c>
      <c r="P87" s="98">
        <f t="shared" si="26"/>
        <v>205</v>
      </c>
      <c r="Q87" s="98">
        <f t="shared" si="26"/>
        <v>78</v>
      </c>
      <c r="R87" s="99">
        <f t="shared" si="26"/>
        <v>18</v>
      </c>
      <c r="T87" s="150"/>
    </row>
    <row r="88" spans="3:35">
      <c r="C88" s="70" t="s">
        <v>48</v>
      </c>
      <c r="D88" s="71"/>
      <c r="E88" s="72"/>
      <c r="F88" s="97">
        <f t="shared" ref="F88:R88" si="27">IF(F69="Cap",F14,IF(F69="Floor",F32,""))</f>
        <v>156</v>
      </c>
      <c r="G88" s="97">
        <f t="shared" si="27"/>
        <v>188</v>
      </c>
      <c r="H88" s="97">
        <f t="shared" si="27"/>
        <v>206</v>
      </c>
      <c r="I88" s="97">
        <f t="shared" si="27"/>
        <v>230</v>
      </c>
      <c r="J88" s="97">
        <f t="shared" si="27"/>
        <v>262</v>
      </c>
      <c r="K88" s="97">
        <f t="shared" si="27"/>
        <v>297</v>
      </c>
      <c r="L88" s="97">
        <f t="shared" si="27"/>
        <v>391</v>
      </c>
      <c r="M88" s="97">
        <f t="shared" si="27"/>
        <v>636</v>
      </c>
      <c r="N88" s="98">
        <f t="shared" si="27"/>
        <v>763</v>
      </c>
      <c r="O88" s="98">
        <f t="shared" si="27"/>
        <v>571</v>
      </c>
      <c r="P88" s="98">
        <f t="shared" si="27"/>
        <v>326</v>
      </c>
      <c r="Q88" s="98">
        <f t="shared" si="27"/>
        <v>127</v>
      </c>
      <c r="R88" s="99">
        <f t="shared" si="27"/>
        <v>27</v>
      </c>
      <c r="T88" s="150"/>
    </row>
    <row r="89" spans="3:35">
      <c r="C89" s="70" t="s">
        <v>33</v>
      </c>
      <c r="D89" s="71"/>
      <c r="E89" s="72"/>
      <c r="F89" s="97">
        <f t="shared" ref="F89:R89" si="28">IF(F70="Cap",F15,IF(F70="Floor",F33,""))</f>
        <v>208</v>
      </c>
      <c r="G89" s="97">
        <f t="shared" si="28"/>
        <v>251</v>
      </c>
      <c r="H89" s="97">
        <f t="shared" si="28"/>
        <v>275</v>
      </c>
      <c r="I89" s="97">
        <f t="shared" si="28"/>
        <v>305</v>
      </c>
      <c r="J89" s="97">
        <f t="shared" si="28"/>
        <v>344</v>
      </c>
      <c r="K89" s="97">
        <f t="shared" si="28"/>
        <v>386</v>
      </c>
      <c r="L89" s="97">
        <f t="shared" si="28"/>
        <v>497</v>
      </c>
      <c r="M89" s="97">
        <f t="shared" si="28"/>
        <v>784</v>
      </c>
      <c r="N89" s="98">
        <f t="shared" si="28"/>
        <v>1122</v>
      </c>
      <c r="O89" s="98">
        <f t="shared" si="28"/>
        <v>864</v>
      </c>
      <c r="P89" s="98">
        <f t="shared" si="28"/>
        <v>519</v>
      </c>
      <c r="Q89" s="98">
        <f t="shared" si="28"/>
        <v>215</v>
      </c>
      <c r="R89" s="99">
        <f t="shared" si="28"/>
        <v>46</v>
      </c>
    </row>
    <row r="90" spans="3:35">
      <c r="C90" s="70" t="s">
        <v>34</v>
      </c>
      <c r="D90" s="71"/>
      <c r="E90" s="72"/>
      <c r="F90" s="97">
        <f t="shared" ref="F90:R90" si="29">IF(F71="Cap",F16,IF(F71="Floor",F34,""))</f>
        <v>321</v>
      </c>
      <c r="G90" s="97">
        <f t="shared" si="29"/>
        <v>384</v>
      </c>
      <c r="H90" s="97">
        <f t="shared" si="29"/>
        <v>419</v>
      </c>
      <c r="I90" s="97">
        <f t="shared" si="29"/>
        <v>463</v>
      </c>
      <c r="J90" s="97">
        <f t="shared" si="29"/>
        <v>515</v>
      </c>
      <c r="K90" s="97">
        <f t="shared" si="29"/>
        <v>571</v>
      </c>
      <c r="L90" s="97">
        <f t="shared" si="29"/>
        <v>712</v>
      </c>
      <c r="M90" s="97">
        <f t="shared" si="29"/>
        <v>1071</v>
      </c>
      <c r="N90" s="97">
        <f t="shared" si="29"/>
        <v>1519</v>
      </c>
      <c r="O90" s="98">
        <f t="shared" si="29"/>
        <v>1317</v>
      </c>
      <c r="P90" s="98">
        <f t="shared" si="29"/>
        <v>829</v>
      </c>
      <c r="Q90" s="98">
        <f t="shared" si="29"/>
        <v>366</v>
      </c>
      <c r="R90" s="99">
        <f t="shared" si="29"/>
        <v>85</v>
      </c>
    </row>
    <row r="91" spans="3:35">
      <c r="C91" s="70" t="s">
        <v>35</v>
      </c>
      <c r="D91" s="71"/>
      <c r="E91" s="72"/>
      <c r="F91" s="97">
        <f t="shared" ref="F91:R91" si="30">IF(F72="Cap",F17,IF(F72="Floor",F35,""))</f>
        <v>468</v>
      </c>
      <c r="G91" s="97">
        <f t="shared" si="30"/>
        <v>556</v>
      </c>
      <c r="H91" s="97">
        <f t="shared" si="30"/>
        <v>603</v>
      </c>
      <c r="I91" s="97">
        <f t="shared" si="30"/>
        <v>661</v>
      </c>
      <c r="J91" s="97">
        <f t="shared" si="30"/>
        <v>729</v>
      </c>
      <c r="K91" s="97">
        <f t="shared" si="30"/>
        <v>799</v>
      </c>
      <c r="L91" s="97">
        <f t="shared" si="30"/>
        <v>973</v>
      </c>
      <c r="M91" s="97">
        <f t="shared" si="30"/>
        <v>1407</v>
      </c>
      <c r="N91" s="97">
        <f t="shared" si="30"/>
        <v>1945</v>
      </c>
      <c r="O91" s="98">
        <f t="shared" si="30"/>
        <v>1732</v>
      </c>
      <c r="P91" s="98">
        <f t="shared" si="30"/>
        <v>1122</v>
      </c>
      <c r="Q91" s="98">
        <f t="shared" si="30"/>
        <v>522</v>
      </c>
      <c r="R91" s="99">
        <f t="shared" si="30"/>
        <v>132</v>
      </c>
    </row>
    <row r="92" spans="3:35">
      <c r="C92" s="74" t="s">
        <v>36</v>
      </c>
      <c r="D92" s="75"/>
      <c r="E92" s="76"/>
      <c r="F92" s="100">
        <f t="shared" ref="F92:R92" si="31">IF(F73="Cap",F18,IF(F73="Floor",F36,""))</f>
        <v>626</v>
      </c>
      <c r="G92" s="100">
        <f t="shared" si="31"/>
        <v>737</v>
      </c>
      <c r="H92" s="100">
        <f t="shared" si="31"/>
        <v>797</v>
      </c>
      <c r="I92" s="100">
        <f t="shared" si="31"/>
        <v>869</v>
      </c>
      <c r="J92" s="100">
        <f t="shared" si="31"/>
        <v>951</v>
      </c>
      <c r="K92" s="100">
        <f t="shared" si="31"/>
        <v>1035</v>
      </c>
      <c r="L92" s="100">
        <f t="shared" si="31"/>
        <v>1241</v>
      </c>
      <c r="M92" s="100">
        <f t="shared" si="31"/>
        <v>1747</v>
      </c>
      <c r="N92" s="100">
        <f t="shared" si="31"/>
        <v>2369</v>
      </c>
      <c r="O92" s="101">
        <f t="shared" si="31"/>
        <v>2135</v>
      </c>
      <c r="P92" s="101">
        <f t="shared" si="31"/>
        <v>1415</v>
      </c>
      <c r="Q92" s="101">
        <f t="shared" si="31"/>
        <v>688</v>
      </c>
      <c r="R92" s="102">
        <f t="shared" si="31"/>
        <v>192</v>
      </c>
    </row>
    <row r="93" spans="3:35">
      <c r="T93" t="s">
        <v>170</v>
      </c>
    </row>
    <row r="95" spans="3:35">
      <c r="C95" s="62" t="s">
        <v>163</v>
      </c>
      <c r="D95" s="63" t="s">
        <v>112</v>
      </c>
      <c r="E95" s="64" t="s">
        <v>113</v>
      </c>
      <c r="F95" s="64">
        <v>-0.5</v>
      </c>
      <c r="G95" s="64">
        <v>-0.25</v>
      </c>
      <c r="H95" s="64">
        <v>-0.13</v>
      </c>
      <c r="I95" s="64">
        <v>0</v>
      </c>
      <c r="J95" s="64">
        <v>0.13</v>
      </c>
      <c r="K95" s="64">
        <v>0.25</v>
      </c>
      <c r="L95" s="64">
        <v>0.5</v>
      </c>
      <c r="M95" s="64">
        <v>1</v>
      </c>
      <c r="N95" s="64">
        <v>1.5</v>
      </c>
      <c r="O95" s="64">
        <v>2</v>
      </c>
      <c r="P95" s="64">
        <v>3</v>
      </c>
      <c r="Q95" s="64">
        <v>5</v>
      </c>
      <c r="R95" s="65">
        <v>10</v>
      </c>
      <c r="T95" s="62" t="s">
        <v>163</v>
      </c>
      <c r="U95" s="63" t="s">
        <v>112</v>
      </c>
      <c r="V95" s="64" t="s">
        <v>113</v>
      </c>
      <c r="W95" s="64">
        <v>-0.5</v>
      </c>
      <c r="X95" s="64">
        <v>-0.25</v>
      </c>
      <c r="Y95" s="64">
        <v>-0.13</v>
      </c>
      <c r="Z95" s="64">
        <v>0</v>
      </c>
      <c r="AA95" s="64">
        <v>0.13</v>
      </c>
      <c r="AB95" s="64">
        <v>0.25</v>
      </c>
      <c r="AC95" s="64">
        <v>0.5</v>
      </c>
      <c r="AD95" s="64">
        <v>1</v>
      </c>
      <c r="AE95" s="64">
        <v>1.5</v>
      </c>
      <c r="AF95" s="64">
        <v>2</v>
      </c>
      <c r="AG95" s="64">
        <v>3</v>
      </c>
      <c r="AH95" s="64">
        <v>5</v>
      </c>
      <c r="AI95" s="65">
        <v>10</v>
      </c>
    </row>
    <row r="96" spans="3:35">
      <c r="C96" s="66" t="s">
        <v>23</v>
      </c>
      <c r="D96" s="105" t="str">
        <f>_xll.qlSchedule(,_xll.qlCalendarAdvance("Target",_xll.qlCalendarAdvance("Target",Curve!$D$6,"2d"),"3m"),_xll.qlCalendarAdvance("Target",_xll.qlCalendarAdvance("Target",Curve!$D$6,"2d"),C96),"3m","Target","modified following")</f>
        <v>obj_00013#0000</v>
      </c>
      <c r="E96" s="88" t="str">
        <f>_xll.qlIborLeg(,,10000,D96,2,,"act/360",,,Curve!$S$86)</f>
        <v>obj_00096#0000</v>
      </c>
      <c r="F96" s="109" t="str">
        <f>_xll.qlCapFloor(,F58,$E96,F$95%)</f>
        <v>obj_000d9#0000</v>
      </c>
      <c r="G96" s="109" t="str">
        <f>_xll.qlCapFloor(,G58,$E96,G$95%)</f>
        <v>obj_000df#0000</v>
      </c>
      <c r="H96" s="109" t="str">
        <f>_xll.qlCapFloor(,H58,$E96,H$95%)</f>
        <v>obj_000e4#0000</v>
      </c>
      <c r="I96" s="109" t="str">
        <f>_xll.qlCapFloor(,I58,$E96,I$95%)</f>
        <v>obj_000e0#0000</v>
      </c>
      <c r="J96" s="110" t="str">
        <f>_xll.qlCapFloor(,J58,$E96,J$95%)</f>
        <v>obj_000de#0000</v>
      </c>
      <c r="K96" s="110" t="str">
        <f>_xll.qlCapFloor(,K58,$E96,K$95%)</f>
        <v>obj_000e3#0000</v>
      </c>
      <c r="L96" s="110" t="str">
        <f>_xll.qlCapFloor(,L58,$E96,L$95%)</f>
        <v>obj_000d8#0000</v>
      </c>
      <c r="M96" s="110" t="str">
        <f>_xll.qlCapFloor(,M58,$E96,M$95%)</f>
        <v>obj_000da#0000</v>
      </c>
      <c r="N96" s="110"/>
      <c r="O96" s="110"/>
      <c r="P96" s="110"/>
      <c r="Q96" s="110"/>
      <c r="R96" s="111"/>
      <c r="T96" s="66" t="s">
        <v>23</v>
      </c>
      <c r="U96" s="105"/>
      <c r="V96" s="88"/>
      <c r="W96" s="109" t="str">
        <f>_xll.qlCapFloor(,F58,$E96,W$95%)</f>
        <v>obj_000e2#0000</v>
      </c>
      <c r="X96" s="109" t="str">
        <f>_xll.qlCapFloor(,G58,$E96,X$95%)</f>
        <v>obj_000e7#0000</v>
      </c>
      <c r="Y96" s="109" t="str">
        <f>_xll.qlCapFloor(,H58,$E96,Y$95%)</f>
        <v>obj_000dd#0000</v>
      </c>
      <c r="Z96" s="109" t="str">
        <f>_xll.qlCapFloor(,I58,$E96,Z$95%)</f>
        <v>obj_000e5#0000</v>
      </c>
      <c r="AA96" s="110" t="str">
        <f>_xll.qlCapFloor(,J58,$E96,AA$95%)</f>
        <v>obj_000e6#0000</v>
      </c>
      <c r="AB96" s="110" t="str">
        <f>_xll.qlCapFloor(,K58,$E96,AB$95%)</f>
        <v>obj_000db#0000</v>
      </c>
      <c r="AC96" s="110" t="str">
        <f>_xll.qlCapFloor(,L58,$E96,AC$95%)</f>
        <v>obj_000e1#0000</v>
      </c>
      <c r="AD96" s="110" t="str">
        <f>_xll.qlCapFloor(,M58,$E96,AD$95%)</f>
        <v>obj_000dc#0000</v>
      </c>
      <c r="AE96" s="110"/>
      <c r="AF96" s="110"/>
      <c r="AG96" s="110"/>
      <c r="AH96" s="110"/>
      <c r="AI96" s="111"/>
    </row>
    <row r="97" spans="3:35">
      <c r="C97" s="70" t="s">
        <v>47</v>
      </c>
      <c r="D97" s="106" t="str">
        <f>_xll.qlSchedule(,_xll.qlCalendarAdvance("Target",_xll.qlCalendarAdvance("Target",Curve!$D$6,"2d"),"3m"),_xll.qlCalendarAdvance("Target",_xll.qlCalendarAdvance("Target",Curve!$D$6,"2d"),C97),"3m","Target","modified following")</f>
        <v>obj_00008#0000</v>
      </c>
      <c r="E97" s="90" t="str">
        <f>_xll.qlIborLeg(,,10000,D97,2,,"act/360",,,Curve!$S$86)</f>
        <v>obj_00094#0000</v>
      </c>
      <c r="F97" s="112" t="str">
        <f>_xll.qlCapFloor(,F59,$E97,F$95%)</f>
        <v>obj_000b2#0000</v>
      </c>
      <c r="G97" s="112" t="str">
        <f>_xll.qlCapFloor(,G59,$E97,G$95%)</f>
        <v>obj_000bc#0000</v>
      </c>
      <c r="H97" s="112" t="str">
        <f>_xll.qlCapFloor(,H59,$E97,H$95%)</f>
        <v>obj_000ae#0000</v>
      </c>
      <c r="I97" s="112" t="str">
        <f>_xll.qlCapFloor(,I59,$E97,I$95%)</f>
        <v>obj_000b0#0000</v>
      </c>
      <c r="J97" s="113" t="str">
        <f>_xll.qlCapFloor(,J59,$E97,J$95%)</f>
        <v>obj_000ad#0000</v>
      </c>
      <c r="K97" s="113" t="str">
        <f>_xll.qlCapFloor(,K59,$E97,K$95%)</f>
        <v>obj_000a9#0000</v>
      </c>
      <c r="L97" s="113" t="str">
        <f>_xll.qlCapFloor(,L59,$E97,L$95%)</f>
        <v>obj_000b6#0000</v>
      </c>
      <c r="M97" s="113" t="str">
        <f>_xll.qlCapFloor(,M59,$E97,M$95%)</f>
        <v>obj_000b7#0000</v>
      </c>
      <c r="N97" s="113" t="str">
        <f>_xll.qlCapFloor(,N59,$E97,N$95%)</f>
        <v>obj_000a6#0000</v>
      </c>
      <c r="O97" s="113" t="str">
        <f>_xll.qlCapFloor(,O59,$E97,O$95%)</f>
        <v>obj_000aa#0000</v>
      </c>
      <c r="P97" s="113" t="str">
        <f>_xll.qlCapFloor(,P59,$E97,P$95%)</f>
        <v>obj_000bb#0000</v>
      </c>
      <c r="Q97" s="113" t="str">
        <f>_xll.qlCapFloor(,Q59,$E97,Q$95%)</f>
        <v>obj_000bd#0000</v>
      </c>
      <c r="R97" s="114"/>
      <c r="T97" s="70" t="s">
        <v>47</v>
      </c>
      <c r="U97" s="106"/>
      <c r="V97" s="90"/>
      <c r="W97" s="112" t="str">
        <f>_xll.qlCapFloor(,F59,$E97,W$95%)</f>
        <v>obj_000b9#0000</v>
      </c>
      <c r="X97" s="112" t="str">
        <f>_xll.qlCapFloor(,G59,$E97,X$95%)</f>
        <v>obj_000ab#0000</v>
      </c>
      <c r="Y97" s="112" t="str">
        <f>_xll.qlCapFloor(,H59,$E97,Y$95%)</f>
        <v>obj_000a7#0000</v>
      </c>
      <c r="Z97" s="112" t="str">
        <f>_xll.qlCapFloor(,I59,$E97,Z$95%)</f>
        <v>obj_000a8#0000</v>
      </c>
      <c r="AA97" s="113" t="str">
        <f>_xll.qlCapFloor(,J59,$E97,AA$95%)</f>
        <v>obj_000b5#0000</v>
      </c>
      <c r="AB97" s="113" t="str">
        <f>_xll.qlCapFloor(,K59,$E97,AB$95%)</f>
        <v>obj_000b8#0000</v>
      </c>
      <c r="AC97" s="113" t="str">
        <f>_xll.qlCapFloor(,L59,$E97,AC$95%)</f>
        <v>obj_000af#0000</v>
      </c>
      <c r="AD97" s="113" t="str">
        <f>_xll.qlCapFloor(,M59,$E97,AD$95%)</f>
        <v>obj_000b1#0000</v>
      </c>
      <c r="AE97" s="113" t="str">
        <f>_xll.qlCapFloor(,N59,$E97,AE$95%)</f>
        <v>obj_000ac#0000</v>
      </c>
      <c r="AF97" s="113" t="str">
        <f>_xll.qlCapFloor(,O59,$E97,AF$95%)</f>
        <v>obj_000ba#0000</v>
      </c>
      <c r="AG97" s="113" t="str">
        <f>_xll.qlCapFloor(,P59,$E97,AG$95%)</f>
        <v>obj_000b3#0000</v>
      </c>
      <c r="AH97" s="113" t="str">
        <f>_xll.qlCapFloor(,Q59,$E97,AH$95%)</f>
        <v>obj_000b4#0000</v>
      </c>
      <c r="AI97" s="114"/>
    </row>
    <row r="98" spans="3:35">
      <c r="C98" s="70" t="s">
        <v>24</v>
      </c>
      <c r="D98" s="106" t="str">
        <f>_xll.qlSchedule(,_xll.qlCalendarAdvance("Target",_xll.qlCalendarAdvance("Target",Curve!$D$6,"2d"),"3m"),_xll.qlCalendarAdvance("Target",_xll.qlCalendarAdvance("Target",Curve!$D$6,"2d"),C98),"3m","Target","modified following")</f>
        <v>obj_0000e#0000</v>
      </c>
      <c r="E98" s="90" t="str">
        <f>_xll.qlIborLeg(,,10000,D98,2,,"act/360",,,Curve!$S$86)</f>
        <v>obj_00095#0000</v>
      </c>
      <c r="F98" s="112" t="str">
        <f>_xll.qlCapFloor(,F60,$E98,F$95%)</f>
        <v>obj_000c4#0000</v>
      </c>
      <c r="G98" s="112" t="str">
        <f>_xll.qlCapFloor(,G60,$E98,G$95%)</f>
        <v>obj_000d5#0000</v>
      </c>
      <c r="H98" s="112" t="str">
        <f>_xll.qlCapFloor(,H60,$E98,H$95%)</f>
        <v>obj_000c5#0000</v>
      </c>
      <c r="I98" s="112" t="str">
        <f>_xll.qlCapFloor(,I60,$E98,I$95%)</f>
        <v>obj_000cb#0000</v>
      </c>
      <c r="J98" s="113" t="str">
        <f>_xll.qlCapFloor(,J60,$E98,J$95%)</f>
        <v>obj_000c7#0000</v>
      </c>
      <c r="K98" s="113" t="str">
        <f>_xll.qlCapFloor(,K60,$E98,K$95%)</f>
        <v>obj_000c0#0000</v>
      </c>
      <c r="L98" s="113" t="str">
        <f>_xll.qlCapFloor(,L60,$E98,L$95%)</f>
        <v>obj_000d0#0000</v>
      </c>
      <c r="M98" s="113" t="str">
        <f>_xll.qlCapFloor(,M60,$E98,M$95%)</f>
        <v>obj_000c3#0000</v>
      </c>
      <c r="N98" s="113" t="str">
        <f>_xll.qlCapFloor(,N60,$E98,N$95%)</f>
        <v>obj_000cc#0000</v>
      </c>
      <c r="O98" s="113" t="str">
        <f>_xll.qlCapFloor(,O60,$E98,O$95%)</f>
        <v>obj_000c9#0000</v>
      </c>
      <c r="P98" s="113" t="str">
        <f>_xll.qlCapFloor(,P60,$E98,P$95%)</f>
        <v>obj_000d2#0000</v>
      </c>
      <c r="Q98" s="113" t="str">
        <f>_xll.qlCapFloor(,Q60,$E98,Q$95%)</f>
        <v>obj_000d1#0000</v>
      </c>
      <c r="R98" s="114" t="str">
        <f>_xll.qlCapFloor(,R60,$E98,R$95%)</f>
        <v>obj_000d4#0000</v>
      </c>
      <c r="T98" s="70" t="s">
        <v>24</v>
      </c>
      <c r="U98" s="106"/>
      <c r="V98" s="90"/>
      <c r="W98" s="112" t="str">
        <f>_xll.qlCapFloor(,F60,$E98,W$95%)</f>
        <v>obj_000ca#0000</v>
      </c>
      <c r="X98" s="112" t="str">
        <f>_xll.qlCapFloor(,G60,$E98,X$95%)</f>
        <v>obj_000ce#0000</v>
      </c>
      <c r="Y98" s="112" t="str">
        <f>_xll.qlCapFloor(,H60,$E98,Y$95%)</f>
        <v>obj_000be#0000</v>
      </c>
      <c r="Z98" s="112" t="str">
        <f>_xll.qlCapFloor(,I60,$E98,Z$95%)</f>
        <v>obj_000d3#0000</v>
      </c>
      <c r="AA98" s="113" t="str">
        <f>_xll.qlCapFloor(,J60,$E98,AA$95%)</f>
        <v>obj_000cf#0000</v>
      </c>
      <c r="AB98" s="113" t="str">
        <f>_xll.qlCapFloor(,K60,$E98,AB$95%)</f>
        <v>obj_000bf#0000</v>
      </c>
      <c r="AC98" s="113" t="str">
        <f>_xll.qlCapFloor(,L60,$E98,AC$95%)</f>
        <v>obj_000d6#0000</v>
      </c>
      <c r="AD98" s="113" t="str">
        <f>_xll.qlCapFloor(,M60,$E98,AD$95%)</f>
        <v>obj_000c6#0000</v>
      </c>
      <c r="AE98" s="113" t="str">
        <f>_xll.qlCapFloor(,N60,$E98,AE$95%)</f>
        <v>obj_000d7#0000</v>
      </c>
      <c r="AF98" s="113" t="str">
        <f>_xll.qlCapFloor(,O60,$E98,AF$95%)</f>
        <v>obj_000cd#0000</v>
      </c>
      <c r="AG98" s="113" t="str">
        <f>_xll.qlCapFloor(,P60,$E98,AG$95%)</f>
        <v>obj_000c1#0000</v>
      </c>
      <c r="AH98" s="113" t="str">
        <f>_xll.qlCapFloor(,Q60,$E98,AH$95%)</f>
        <v>obj_000c8#0000</v>
      </c>
      <c r="AI98" s="114" t="str">
        <f>_xll.qlCapFloor(,R60,$E98,AI$95%)</f>
        <v>obj_000c2#0000</v>
      </c>
    </row>
    <row r="99" spans="3:35">
      <c r="C99" s="70" t="s">
        <v>25</v>
      </c>
      <c r="D99" s="103" t="str">
        <f>_xll.qlSchedule(,_xll.qlCalendarAdvance("Target",_xll.qlCalendarAdvance("Target",Curve!$D$6,"2d"),"6m"),_xll.qlCalendarAdvance("Target",_xll.qlCalendarAdvance("Target",Curve!$D$6,"2d"),C99),"6m","Target","modified following")</f>
        <v>obj_00003#0000</v>
      </c>
      <c r="E99" s="107" t="str">
        <f>_xll.qlIborLeg(,,10000,D99,2,,"act/360",,,Curve!$S$147)</f>
        <v>obj_00098#0000</v>
      </c>
      <c r="F99" s="118" t="str">
        <f>_xll.qlCapFloor(,F61,$E99,F$95%)</f>
        <v>obj_0010f#0000</v>
      </c>
      <c r="G99" s="112" t="str">
        <f>_xll.qlCapFloor(,G61,$E99,G$95%)</f>
        <v>obj_00112#0000</v>
      </c>
      <c r="H99" s="112" t="str">
        <f>_xll.qlCapFloor(,H61,$E99,H$95%)</f>
        <v>obj_0010d#0000</v>
      </c>
      <c r="I99" s="112" t="str">
        <f>_xll.qlCapFloor(,I61,$E99,I$95%)</f>
        <v>obj_00105#0000</v>
      </c>
      <c r="J99" s="112" t="str">
        <f>_xll.qlCapFloor(,J61,$E99,J$95%)</f>
        <v>obj_00110#0000</v>
      </c>
      <c r="K99" s="112" t="str">
        <f>_xll.qlCapFloor(,K61,$E99,K$95%)</f>
        <v>obj_00119#0000</v>
      </c>
      <c r="L99" s="113" t="str">
        <f>_xll.qlCapFloor(,L61,$E99,L$95%)</f>
        <v>obj_00114#0000</v>
      </c>
      <c r="M99" s="113" t="str">
        <f>_xll.qlCapFloor(,M61,$E99,M$95%)</f>
        <v>obj_0010a#0000</v>
      </c>
      <c r="N99" s="113" t="str">
        <f>_xll.qlCapFloor(,N61,$E99,N$95%)</f>
        <v>obj_00117#0000</v>
      </c>
      <c r="O99" s="113" t="str">
        <f>_xll.qlCapFloor(,O61,$E99,O$95%)</f>
        <v>obj_00104#0000</v>
      </c>
      <c r="P99" s="113" t="str">
        <f>_xll.qlCapFloor(,P61,$E99,P$95%)</f>
        <v>obj_0011b#0000</v>
      </c>
      <c r="Q99" s="113" t="str">
        <f>_xll.qlCapFloor(,Q61,$E99,Q$95%)</f>
        <v>obj_00111#0000</v>
      </c>
      <c r="R99" s="114" t="str">
        <f>_xll.qlCapFloor(,R61,$E99,R$95%)</f>
        <v>obj_00116#0000</v>
      </c>
      <c r="T99" s="70" t="s">
        <v>25</v>
      </c>
      <c r="U99" s="103"/>
      <c r="V99" s="107"/>
      <c r="W99" s="112" t="str">
        <f>_xll.qlCapFloor(,F61,$E99,W$95%)</f>
        <v>obj_0010c#0000</v>
      </c>
      <c r="X99" s="112" t="str">
        <f>_xll.qlCapFloor(,G61,$E99,X$95%)</f>
        <v>obj_00102#0000</v>
      </c>
      <c r="Y99" s="112" t="str">
        <f>_xll.qlCapFloor(,H61,$E99,Y$95%)</f>
        <v>obj_00118#0000</v>
      </c>
      <c r="Z99" s="112" t="str">
        <f>_xll.qlCapFloor(,I61,$E99,Z$95%)</f>
        <v>obj_00108#0000</v>
      </c>
      <c r="AA99" s="112" t="str">
        <f>_xll.qlCapFloor(,J61,$E99,AA$95%)</f>
        <v>obj_00113#0000</v>
      </c>
      <c r="AB99" s="112" t="str">
        <f>_xll.qlCapFloor(,K61,$E99,AB$95%)</f>
        <v>obj_0010e#0000</v>
      </c>
      <c r="AC99" s="113" t="str">
        <f>_xll.qlCapFloor(,L61,$E99,AC$95%)</f>
        <v>obj_00103#0000</v>
      </c>
      <c r="AD99" s="113" t="str">
        <f>_xll.qlCapFloor(,M61,$E99,AD$95%)</f>
        <v>obj_00109#0000</v>
      </c>
      <c r="AE99" s="113" t="str">
        <f>_xll.qlCapFloor(,N61,$E99,AE$95%)</f>
        <v>obj_0011a#0000</v>
      </c>
      <c r="AF99" s="113" t="str">
        <f>_xll.qlCapFloor(,O61,$E99,AF$95%)</f>
        <v>obj_00115#0000</v>
      </c>
      <c r="AG99" s="113" t="str">
        <f>_xll.qlCapFloor(,P61,$E99,AG$95%)</f>
        <v>obj_0010b#0000</v>
      </c>
      <c r="AH99" s="113" t="str">
        <f>_xll.qlCapFloor(,Q61,$E99,AH$95%)</f>
        <v>obj_00106#0000</v>
      </c>
      <c r="AI99" s="114" t="str">
        <f>_xll.qlCapFloor(,R61,$E99,AI$95%)</f>
        <v>obj_00107#0000</v>
      </c>
    </row>
    <row r="100" spans="3:35">
      <c r="C100" s="70" t="s">
        <v>26</v>
      </c>
      <c r="D100" s="103" t="str">
        <f>_xll.qlSchedule(,_xll.qlCalendarAdvance("Target",_xll.qlCalendarAdvance("Target",Curve!$D$6,"2d"),"6m"),_xll.qlCalendarAdvance("Target",_xll.qlCalendarAdvance("Target",Curve!$D$6,"2d"),C100),"6m","Target","modified following")</f>
        <v>obj_00012#0000</v>
      </c>
      <c r="E100" s="107" t="str">
        <f>_xll.qlIborLeg(,,10000,D100,2,,"act/360",,,Curve!$S$147)</f>
        <v>obj_000a5#0000</v>
      </c>
      <c r="F100" s="112" t="str">
        <f>_xll.qlCapFloor(,F62,$E100,F$95%)</f>
        <v>obj_00234#0000</v>
      </c>
      <c r="G100" s="112" t="str">
        <f>_xll.qlCapFloor(,G62,$E100,G$95%)</f>
        <v>obj_00226#0000</v>
      </c>
      <c r="H100" s="112" t="str">
        <f>_xll.qlCapFloor(,H62,$E100,H$95%)</f>
        <v>obj_00238#0000</v>
      </c>
      <c r="I100" s="112" t="str">
        <f>_xll.qlCapFloor(,I62,$E100,I$95%)</f>
        <v>obj_0022e#0000</v>
      </c>
      <c r="J100" s="112" t="str">
        <f>_xll.qlCapFloor(,J62,$E100,J$95%)</f>
        <v>obj_00225#0000</v>
      </c>
      <c r="K100" s="112" t="str">
        <f>_xll.qlCapFloor(,K62,$E100,K$95%)</f>
        <v>obj_0022a#0000</v>
      </c>
      <c r="L100" s="113" t="str">
        <f>_xll.qlCapFloor(,L62,$E100,L$95%)</f>
        <v>obj_00222#0000</v>
      </c>
      <c r="M100" s="113" t="str">
        <f>_xll.qlCapFloor(,M62,$E100,M$95%)</f>
        <v>obj_00235#0000</v>
      </c>
      <c r="N100" s="113" t="str">
        <f>_xll.qlCapFloor(,N62,$E100,N$95%)</f>
        <v>obj_00228#0000</v>
      </c>
      <c r="O100" s="113" t="str">
        <f>_xll.qlCapFloor(,O62,$E100,O$95%)</f>
        <v>obj_00230#0000</v>
      </c>
      <c r="P100" s="113" t="str">
        <f>_xll.qlCapFloor(,P62,$E100,P$95%)</f>
        <v>obj_0022c#0000</v>
      </c>
      <c r="Q100" s="113" t="str">
        <f>_xll.qlCapFloor(,Q62,$E100,Q$95%)</f>
        <v>obj_00223#0000</v>
      </c>
      <c r="R100" s="114" t="str">
        <f>_xll.qlCapFloor(,R62,$E100,R$95%)</f>
        <v>obj_00227#0000</v>
      </c>
      <c r="T100" s="70" t="s">
        <v>26</v>
      </c>
      <c r="U100" s="103"/>
      <c r="V100" s="107"/>
      <c r="W100" s="112" t="str">
        <f>_xll.qlCapFloor(,F62,$E100,W$95%)</f>
        <v>obj_00237#0000</v>
      </c>
      <c r="X100" s="112" t="str">
        <f>_xll.qlCapFloor(,G62,$E100,X$95%)</f>
        <v>obj_00232#0000</v>
      </c>
      <c r="Y100" s="112" t="str">
        <f>_xll.qlCapFloor(,H62,$E100,Y$95%)</f>
        <v>obj_00229#0000</v>
      </c>
      <c r="Z100" s="112" t="str">
        <f>_xll.qlCapFloor(,I62,$E100,Z$95%)</f>
        <v>obj_0022d#0000</v>
      </c>
      <c r="AA100" s="112" t="str">
        <f>_xll.qlCapFloor(,J62,$E100,AA$95%)</f>
        <v>obj_00220#0000</v>
      </c>
      <c r="AB100" s="112" t="str">
        <f>_xll.qlCapFloor(,K62,$E100,AB$95%)</f>
        <v>obj_00239#0000</v>
      </c>
      <c r="AC100" s="113" t="str">
        <f>_xll.qlCapFloor(,L62,$E100,AC$95%)</f>
        <v>obj_0022f#0000</v>
      </c>
      <c r="AD100" s="113" t="str">
        <f>_xll.qlCapFloor(,M62,$E100,AD$95%)</f>
        <v>obj_00233#0000</v>
      </c>
      <c r="AE100" s="113" t="str">
        <f>_xll.qlCapFloor(,N62,$E100,AE$95%)</f>
        <v>obj_0022b#0000</v>
      </c>
      <c r="AF100" s="113" t="str">
        <f>_xll.qlCapFloor(,O62,$E100,AF$95%)</f>
        <v>obj_00224#0000</v>
      </c>
      <c r="AG100" s="113" t="str">
        <f>_xll.qlCapFloor(,P62,$E100,AG$95%)</f>
        <v>obj_00236#0000</v>
      </c>
      <c r="AH100" s="113" t="str">
        <f>_xll.qlCapFloor(,Q62,$E100,AH$95%)</f>
        <v>obj_00221#0000</v>
      </c>
      <c r="AI100" s="114" t="str">
        <f>_xll.qlCapFloor(,R62,$E100,AI$95%)</f>
        <v>obj_00231#0000</v>
      </c>
    </row>
    <row r="101" spans="3:35">
      <c r="C101" s="70" t="s">
        <v>27</v>
      </c>
      <c r="D101" s="103" t="str">
        <f>_xll.qlSchedule(,_xll.qlCalendarAdvance("Target",_xll.qlCalendarAdvance("Target",Curve!$D$6,"2d"),"6m"),_xll.qlCalendarAdvance("Target",_xll.qlCalendarAdvance("Target",Curve!$D$6,"2d"),C101),"6m","Target","modified following")</f>
        <v>obj_0000d#0000</v>
      </c>
      <c r="E101" s="107" t="str">
        <f>_xll.qlIborLeg(,,10000,D101,2,,"act/360",,,Curve!$S$147)</f>
        <v>obj_000a1#0000</v>
      </c>
      <c r="F101" s="112" t="str">
        <f>_xll.qlCapFloor(,F63,$E101,F$95%)</f>
        <v>obj_001e7#0000</v>
      </c>
      <c r="G101" s="112" t="str">
        <f>_xll.qlCapFloor(,G63,$E101,G$95%)</f>
        <v>obj_001e2#0000</v>
      </c>
      <c r="H101" s="112" t="str">
        <f>_xll.qlCapFloor(,H63,$E101,H$95%)</f>
        <v>obj_001dd#0000</v>
      </c>
      <c r="I101" s="112" t="str">
        <f>_xll.qlCapFloor(,I63,$E101,I$95%)</f>
        <v>obj_001d6#0000</v>
      </c>
      <c r="J101" s="112" t="str">
        <f>_xll.qlCapFloor(,J63,$E101,J$95%)</f>
        <v>obj_001d4#0000</v>
      </c>
      <c r="K101" s="112" t="str">
        <f>_xll.qlCapFloor(,K63,$E101,K$95%)</f>
        <v>obj_001e9#0000</v>
      </c>
      <c r="L101" s="112" t="str">
        <f>_xll.qlCapFloor(,L63,$E101,L$95%)</f>
        <v>obj_001e4#0000</v>
      </c>
      <c r="M101" s="113" t="str">
        <f>_xll.qlCapFloor(,M63,$E101,M$95%)</f>
        <v>obj_001da#0000</v>
      </c>
      <c r="N101" s="113" t="str">
        <f>_xll.qlCapFloor(,N63,$E101,N$95%)</f>
        <v>obj_001df#0000</v>
      </c>
      <c r="O101" s="113" t="str">
        <f>_xll.qlCapFloor(,O63,$E101,O$95%)</f>
        <v>obj_001d2#0000</v>
      </c>
      <c r="P101" s="113" t="str">
        <f>_xll.qlCapFloor(,P63,$E101,P$95%)</f>
        <v>obj_001eb#0000</v>
      </c>
      <c r="Q101" s="113" t="str">
        <f>_xll.qlCapFloor(,Q63,$E101,Q$95%)</f>
        <v>obj_001e1#0000</v>
      </c>
      <c r="R101" s="114" t="str">
        <f>_xll.qlCapFloor(,R63,$E101,R$95%)</f>
        <v>obj_001e0#0000</v>
      </c>
      <c r="T101" s="70" t="s">
        <v>27</v>
      </c>
      <c r="U101" s="103"/>
      <c r="V101" s="107"/>
      <c r="W101" s="112" t="str">
        <f>_xll.qlCapFloor(,F63,$E101,W$95%)</f>
        <v>obj_001dc#0000</v>
      </c>
      <c r="X101" s="112" t="str">
        <f>_xll.qlCapFloor(,G63,$E101,X$95%)</f>
        <v>obj_001d7#0000</v>
      </c>
      <c r="Y101" s="112" t="str">
        <f>_xll.qlCapFloor(,H63,$E101,Y$95%)</f>
        <v>obj_001e8#0000</v>
      </c>
      <c r="Z101" s="112" t="str">
        <f>_xll.qlCapFloor(,I63,$E101,Z$95%)</f>
        <v>obj_001d9#0000</v>
      </c>
      <c r="AA101" s="112" t="str">
        <f>_xll.qlCapFloor(,J63,$E101,AA$95%)</f>
        <v>obj_001e3#0000</v>
      </c>
      <c r="AB101" s="112" t="str">
        <f>_xll.qlCapFloor(,K63,$E101,AB$95%)</f>
        <v>obj_001de#0000</v>
      </c>
      <c r="AC101" s="112" t="str">
        <f>_xll.qlCapFloor(,L63,$E101,AC$95%)</f>
        <v>obj_001d3#0000</v>
      </c>
      <c r="AD101" s="113" t="str">
        <f>_xll.qlCapFloor(,M63,$E101,AD$95%)</f>
        <v>obj_001e6#0000</v>
      </c>
      <c r="AE101" s="113" t="str">
        <f>_xll.qlCapFloor(,N63,$E101,AE$95%)</f>
        <v>obj_001ea#0000</v>
      </c>
      <c r="AF101" s="113" t="str">
        <f>_xll.qlCapFloor(,O63,$E101,AF$95%)</f>
        <v>obj_001e5#0000</v>
      </c>
      <c r="AG101" s="113" t="str">
        <f>_xll.qlCapFloor(,P63,$E101,AG$95%)</f>
        <v>obj_001db#0000</v>
      </c>
      <c r="AH101" s="113" t="str">
        <f>_xll.qlCapFloor(,Q63,$E101,AH$95%)</f>
        <v>obj_001d8#0000</v>
      </c>
      <c r="AI101" s="114" t="str">
        <f>_xll.qlCapFloor(,R63,$E101,AI$95%)</f>
        <v>obj_001d5#0000</v>
      </c>
    </row>
    <row r="102" spans="3:35">
      <c r="C102" s="70" t="s">
        <v>28</v>
      </c>
      <c r="D102" s="103" t="str">
        <f>_xll.qlSchedule(,_xll.qlCalendarAdvance("Target",_xll.qlCalendarAdvance("Target",Curve!$D$6,"2d"),"6m"),_xll.qlCalendarAdvance("Target",_xll.qlCalendarAdvance("Target",Curve!$D$6,"2d"),C102),"6m","Target","modified following")</f>
        <v>obj_00007#0000</v>
      </c>
      <c r="E102" s="107" t="str">
        <f>_xll.qlIborLeg(,,10000,D102,2,,"act/360",,,Curve!$S$147)</f>
        <v>obj_0009d#0000</v>
      </c>
      <c r="F102" s="112" t="str">
        <f>_xll.qlCapFloor(,F64,$E102,F$95%)</f>
        <v>obj_00188#0000</v>
      </c>
      <c r="G102" s="112" t="str">
        <f>_xll.qlCapFloor(,G64,$E102,G$95%)</f>
        <v>obj_00187#0000</v>
      </c>
      <c r="H102" s="112" t="str">
        <f>_xll.qlCapFloor(,H64,$E102,H$95%)</f>
        <v>obj_0019c#0000</v>
      </c>
      <c r="I102" s="112" t="str">
        <f>_xll.qlCapFloor(,I64,$E102,I$95%)</f>
        <v>obj_00192#0000</v>
      </c>
      <c r="J102" s="112" t="str">
        <f>_xll.qlCapFloor(,J64,$E102,J$95%)</f>
        <v>obj_00189#0000</v>
      </c>
      <c r="K102" s="112" t="str">
        <f>_xll.qlCapFloor(,K64,$E102,K$95%)</f>
        <v>obj_0018e#0000</v>
      </c>
      <c r="L102" s="112" t="str">
        <f>_xll.qlCapFloor(,L64,$E102,L$95%)</f>
        <v>obj_00184#0000</v>
      </c>
      <c r="M102" s="113" t="str">
        <f>_xll.qlCapFloor(,M64,$E102,M$95%)</f>
        <v>obj_00199#0000</v>
      </c>
      <c r="N102" s="113" t="str">
        <f>_xll.qlCapFloor(,N64,$E102,N$95%)</f>
        <v>obj_00191#0000</v>
      </c>
      <c r="O102" s="113" t="str">
        <f>_xll.qlCapFloor(,O64,$E102,O$95%)</f>
        <v>obj_00194#0000</v>
      </c>
      <c r="P102" s="113" t="str">
        <f>_xll.qlCapFloor(,P64,$E102,P$95%)</f>
        <v>obj_00190#0000</v>
      </c>
      <c r="Q102" s="113" t="str">
        <f>_xll.qlCapFloor(,Q64,$E102,Q$95%)</f>
        <v>obj_00185#0000</v>
      </c>
      <c r="R102" s="114" t="str">
        <f>_xll.qlCapFloor(,R64,$E102,R$95%)</f>
        <v>obj_00197#0000</v>
      </c>
      <c r="T102" s="70" t="s">
        <v>28</v>
      </c>
      <c r="U102" s="103"/>
      <c r="V102" s="107"/>
      <c r="W102" s="112" t="str">
        <f>_xll.qlCapFloor(,F64,$E102,W$95%)</f>
        <v>obj_0019b#0000</v>
      </c>
      <c r="X102" s="112" t="str">
        <f>_xll.qlCapFloor(,G64,$E102,X$95%)</f>
        <v>obj_00196#0000</v>
      </c>
      <c r="Y102" s="112" t="str">
        <f>_xll.qlCapFloor(,H64,$E102,Y$95%)</f>
        <v>obj_0018d#0000</v>
      </c>
      <c r="Z102" s="112" t="str">
        <f>_xll.qlCapFloor(,I64,$E102,Z$95%)</f>
        <v>obj_00198#0000</v>
      </c>
      <c r="AA102" s="112" t="str">
        <f>_xll.qlCapFloor(,J64,$E102,AA$95%)</f>
        <v>obj_0018a#0000</v>
      </c>
      <c r="AB102" s="112" t="str">
        <f>_xll.qlCapFloor(,K64,$E102,AB$95%)</f>
        <v>obj_0019d#0000</v>
      </c>
      <c r="AC102" s="112" t="str">
        <f>_xll.qlCapFloor(,L64,$E102,AC$95%)</f>
        <v>obj_00193#0000</v>
      </c>
      <c r="AD102" s="113" t="str">
        <f>_xll.qlCapFloor(,M64,$E102,AD$95%)</f>
        <v>obj_0018c#0000</v>
      </c>
      <c r="AE102" s="113" t="str">
        <f>_xll.qlCapFloor(,N64,$E102,AE$95%)</f>
        <v>obj_0018f#0000</v>
      </c>
      <c r="AF102" s="113" t="str">
        <f>_xll.qlCapFloor(,O64,$E102,AF$95%)</f>
        <v>obj_00186#0000</v>
      </c>
      <c r="AG102" s="113" t="str">
        <f>_xll.qlCapFloor(,P64,$E102,AG$95%)</f>
        <v>obj_0019a#0000</v>
      </c>
      <c r="AH102" s="113" t="str">
        <f>_xll.qlCapFloor(,Q64,$E102,AH$95%)</f>
        <v>obj_0018b#0000</v>
      </c>
      <c r="AI102" s="114" t="str">
        <f>_xll.qlCapFloor(,R64,$E102,AI$95%)</f>
        <v>obj_00195#0000</v>
      </c>
    </row>
    <row r="103" spans="3:35">
      <c r="C103" s="70" t="s">
        <v>29</v>
      </c>
      <c r="D103" s="103" t="str">
        <f>_xll.qlSchedule(,_xll.qlCalendarAdvance("Target",_xll.qlCalendarAdvance("Target",Curve!$D$6,"2d"),"6m"),_xll.qlCalendarAdvance("Target",_xll.qlCalendarAdvance("Target",Curve!$D$6,"2d"),C103),"6m","Target","modified following")</f>
        <v>obj_00002#0000</v>
      </c>
      <c r="E103" s="107" t="str">
        <f>_xll.qlIborLeg(,,10000,D103,2,,"act/360",,,Curve!$S$147)</f>
        <v>obj_0009a#0000</v>
      </c>
      <c r="F103" s="112" t="str">
        <f>_xll.qlCapFloor(,F65,$E103,F$95%)</f>
        <v>obj_00143#0000</v>
      </c>
      <c r="G103" s="112" t="str">
        <f>_xll.qlCapFloor(,G65,$E103,G$95%)</f>
        <v>obj_00146#0000</v>
      </c>
      <c r="H103" s="112" t="str">
        <f>_xll.qlCapFloor(,H65,$E103,H$95%)</f>
        <v>obj_00141#0000</v>
      </c>
      <c r="I103" s="112" t="str">
        <f>_xll.qlCapFloor(,I65,$E103,I$95%)</f>
        <v>obj_00139#0000</v>
      </c>
      <c r="J103" s="112" t="str">
        <f>_xll.qlCapFloor(,J65,$E103,J$95%)</f>
        <v>obj_0014b#0000</v>
      </c>
      <c r="K103" s="112" t="str">
        <f>_xll.qlCapFloor(,K65,$E103,K$95%)</f>
        <v>obj_0014d#0000</v>
      </c>
      <c r="L103" s="112" t="str">
        <f>_xll.qlCapFloor(,L65,$E103,L$95%)</f>
        <v>obj_00148#0000</v>
      </c>
      <c r="M103" s="113" t="str">
        <f>_xll.qlCapFloor(,M65,$E103,M$95%)</f>
        <v>obj_0013e#0000</v>
      </c>
      <c r="N103" s="113" t="str">
        <f>_xll.qlCapFloor(,N65,$E103,N$95%)</f>
        <v>obj_0013d#0000</v>
      </c>
      <c r="O103" s="113" t="str">
        <f>_xll.qlCapFloor(,O65,$E103,O$95%)</f>
        <v>obj_00138#0000</v>
      </c>
      <c r="P103" s="113" t="str">
        <f>_xll.qlCapFloor(,P65,$E103,P$95%)</f>
        <v>obj_0014f#0000</v>
      </c>
      <c r="Q103" s="113" t="str">
        <f>_xll.qlCapFloor(,Q65,$E103,Q$95%)</f>
        <v>obj_00145#0000</v>
      </c>
      <c r="R103" s="114" t="str">
        <f>_xll.qlCapFloor(,R65,$E103,R$95%)</f>
        <v>obj_00136#0000</v>
      </c>
      <c r="T103" s="70" t="s">
        <v>29</v>
      </c>
      <c r="U103" s="103"/>
      <c r="V103" s="107"/>
      <c r="W103" s="112" t="str">
        <f>_xll.qlCapFloor(,F65,$E103,W$95%)</f>
        <v>obj_00140#0000</v>
      </c>
      <c r="X103" s="112" t="str">
        <f>_xll.qlCapFloor(,G65,$E103,X$95%)</f>
        <v>obj_0013a#0000</v>
      </c>
      <c r="Y103" s="112" t="str">
        <f>_xll.qlCapFloor(,H65,$E103,Y$95%)</f>
        <v>obj_0014c#0000</v>
      </c>
      <c r="Z103" s="112" t="str">
        <f>_xll.qlCapFloor(,I65,$E103,Z$95%)</f>
        <v>obj_0013c#0000</v>
      </c>
      <c r="AA103" s="112" t="str">
        <f>_xll.qlCapFloor(,J65,$E103,AA$95%)</f>
        <v>obj_00147#0000</v>
      </c>
      <c r="AB103" s="112" t="str">
        <f>_xll.qlCapFloor(,K65,$E103,AB$95%)</f>
        <v>obj_00142#0000</v>
      </c>
      <c r="AC103" s="112" t="str">
        <f>_xll.qlCapFloor(,L65,$E103,AC$95%)</f>
        <v>obj_0013b#0000</v>
      </c>
      <c r="AD103" s="113" t="str">
        <f>_xll.qlCapFloor(,M65,$E103,AD$95%)</f>
        <v>obj_00144#0000</v>
      </c>
      <c r="AE103" s="113" t="str">
        <f>_xll.qlCapFloor(,N65,$E103,AE$95%)</f>
        <v>obj_0014e#0000</v>
      </c>
      <c r="AF103" s="113" t="str">
        <f>_xll.qlCapFloor(,O65,$E103,AF$95%)</f>
        <v>obj_00149#0000</v>
      </c>
      <c r="AG103" s="113" t="str">
        <f>_xll.qlCapFloor(,P65,$E103,AG$95%)</f>
        <v>obj_0013f#0000</v>
      </c>
      <c r="AH103" s="113" t="str">
        <f>_xll.qlCapFloor(,Q65,$E103,AH$95%)</f>
        <v>obj_0014a#0000</v>
      </c>
      <c r="AI103" s="114" t="str">
        <f>_xll.qlCapFloor(,R65,$E103,AI$95%)</f>
        <v>obj_00137#0000</v>
      </c>
    </row>
    <row r="104" spans="3:35">
      <c r="C104" s="70" t="s">
        <v>30</v>
      </c>
      <c r="D104" s="103" t="str">
        <f>_xll.qlSchedule(,_xll.qlCalendarAdvance("Target",_xll.qlCalendarAdvance("Target",Curve!$D$6,"2d"),"6m"),_xll.qlCalendarAdvance("Target",_xll.qlCalendarAdvance("Target",Curve!$D$6,"2d"),C104),"6m","Target","modified following")</f>
        <v>obj_00011#0000</v>
      </c>
      <c r="E104" s="107" t="str">
        <f>_xll.qlIborLeg(,,10000,D104,2,,"act/360",,,Curve!$S$147)</f>
        <v>obj_000a4#0000</v>
      </c>
      <c r="F104" s="112" t="str">
        <f>_xll.qlCapFloor(,F66,$E104,F$95%)</f>
        <v>obj_00213#0000</v>
      </c>
      <c r="G104" s="112" t="str">
        <f>_xll.qlCapFloor(,G66,$E104,G$95%)</f>
        <v>obj_00207#0000</v>
      </c>
      <c r="H104" s="112" t="str">
        <f>_xll.qlCapFloor(,H66,$E104,H$95%)</f>
        <v>obj_0021e#0000</v>
      </c>
      <c r="I104" s="112" t="str">
        <f>_xll.qlCapFloor(,I66,$E104,I$95%)</f>
        <v>obj_00214#0000</v>
      </c>
      <c r="J104" s="112" t="str">
        <f>_xll.qlCapFloor(,J66,$E104,J$95%)</f>
        <v>obj_00208#0000</v>
      </c>
      <c r="K104" s="112" t="str">
        <f>_xll.qlCapFloor(,K66,$E104,K$95%)</f>
        <v>obj_00210#0000</v>
      </c>
      <c r="L104" s="112" t="str">
        <f>_xll.qlCapFloor(,L66,$E104,L$95%)</f>
        <v>obj_0020c#0000</v>
      </c>
      <c r="M104" s="113" t="str">
        <f>_xll.qlCapFloor(,M66,$E104,M$95%)</f>
        <v>obj_0021b#0000</v>
      </c>
      <c r="N104" s="113" t="str">
        <f>_xll.qlCapFloor(,N66,$E104,N$95%)</f>
        <v>obj_0020e#0000</v>
      </c>
      <c r="O104" s="113" t="str">
        <f>_xll.qlCapFloor(,O66,$E104,O$95%)</f>
        <v>obj_00216#0000</v>
      </c>
      <c r="P104" s="113" t="str">
        <f>_xll.qlCapFloor(,P66,$E104,P$95%)</f>
        <v>obj_00212#0000</v>
      </c>
      <c r="Q104" s="113" t="str">
        <f>_xll.qlCapFloor(,Q66,$E104,Q$95%)</f>
        <v>obj_0020a#0000</v>
      </c>
      <c r="R104" s="114" t="str">
        <f>_xll.qlCapFloor(,R66,$E104,R$95%)</f>
        <v>obj_0021a#0000</v>
      </c>
      <c r="T104" s="70" t="s">
        <v>30</v>
      </c>
      <c r="U104" s="103"/>
      <c r="V104" s="107"/>
      <c r="W104" s="112" t="str">
        <f>_xll.qlCapFloor(,F66,$E104,W$95%)</f>
        <v>obj_0021d#0000</v>
      </c>
      <c r="X104" s="112" t="str">
        <f>_xll.qlCapFloor(,G66,$E104,X$95%)</f>
        <v>obj_00218#0000</v>
      </c>
      <c r="Y104" s="112" t="str">
        <f>_xll.qlCapFloor(,H66,$E104,Y$95%)</f>
        <v>obj_0020f#0000</v>
      </c>
      <c r="Z104" s="112" t="str">
        <f>_xll.qlCapFloor(,I66,$E104,Z$95%)</f>
        <v>obj_0020d#0000</v>
      </c>
      <c r="AA104" s="112" t="str">
        <f>_xll.qlCapFloor(,J66,$E104,AA$95%)</f>
        <v>obj_00209#0000</v>
      </c>
      <c r="AB104" s="112" t="str">
        <f>_xll.qlCapFloor(,K66,$E104,AB$95%)</f>
        <v>obj_0021f#0000</v>
      </c>
      <c r="AC104" s="112" t="str">
        <f>_xll.qlCapFloor(,L66,$E104,AC$95%)</f>
        <v>obj_00215#0000</v>
      </c>
      <c r="AD104" s="113" t="str">
        <f>_xll.qlCapFloor(,M66,$E104,AD$95%)</f>
        <v>obj_00219#0000</v>
      </c>
      <c r="AE104" s="113" t="str">
        <f>_xll.qlCapFloor(,N66,$E104,AE$95%)</f>
        <v>obj_00211#0000</v>
      </c>
      <c r="AF104" s="113" t="str">
        <f>_xll.qlCapFloor(,O66,$E104,AF$95%)</f>
        <v>obj_00206#0000</v>
      </c>
      <c r="AG104" s="113" t="str">
        <f>_xll.qlCapFloor(,P66,$E104,AG$95%)</f>
        <v>obj_0021c#0000</v>
      </c>
      <c r="AH104" s="113" t="str">
        <f>_xll.qlCapFloor(,Q66,$E104,AH$95%)</f>
        <v>obj_0020b#0000</v>
      </c>
      <c r="AI104" s="114" t="str">
        <f>_xll.qlCapFloor(,R66,$E104,AI$95%)</f>
        <v>obj_00217#0000</v>
      </c>
    </row>
    <row r="105" spans="3:35">
      <c r="C105" s="70" t="s">
        <v>31</v>
      </c>
      <c r="D105" s="103" t="str">
        <f>_xll.qlSchedule(,_xll.qlCalendarAdvance("Target",_xll.qlCalendarAdvance("Target",Curve!$D$6,"2d"),"6m"),_xll.qlCalendarAdvance("Target",_xll.qlCalendarAdvance("Target",Curve!$D$6,"2d"),C105),"6m","Target","modified following")</f>
        <v>obj_0000c#0000</v>
      </c>
      <c r="E105" s="107" t="str">
        <f>_xll.qlIborLeg(,,10000,D105,2,,"act/360",,,Curve!$S$147)</f>
        <v>obj_000a0#0000</v>
      </c>
      <c r="F105" s="112" t="str">
        <f>_xll.qlCapFloor(,F67,$E105,F$95%)</f>
        <v>obj_001cc#0000</v>
      </c>
      <c r="G105" s="112" t="str">
        <f>_xll.qlCapFloor(,G67,$E105,G$95%)</f>
        <v>obj_001c8#0000</v>
      </c>
      <c r="H105" s="112" t="str">
        <f>_xll.qlCapFloor(,H67,$E105,H$95%)</f>
        <v>obj_001c3#0000</v>
      </c>
      <c r="I105" s="112" t="str">
        <f>_xll.qlCapFloor(,I67,$E105,I$95%)</f>
        <v>obj_001b8#0000</v>
      </c>
      <c r="J105" s="112" t="str">
        <f>_xll.qlCapFloor(,J67,$E105,J$95%)</f>
        <v>obj_001bf#0000</v>
      </c>
      <c r="K105" s="112" t="str">
        <f>_xll.qlCapFloor(,K67,$E105,K$95%)</f>
        <v>obj_001cf#0000</v>
      </c>
      <c r="L105" s="112" t="str">
        <f>_xll.qlCapFloor(,L67,$E105,L$95%)</f>
        <v>obj_001ca#0000</v>
      </c>
      <c r="M105" s="112" t="str">
        <f>_xll.qlCapFloor(,M67,$E105,M$95%)</f>
        <v>obj_001c0#0000</v>
      </c>
      <c r="N105" s="113" t="str">
        <f>_xll.qlCapFloor(,N67,$E105,N$95%)</f>
        <v>obj_001c5#0000</v>
      </c>
      <c r="O105" s="113" t="str">
        <f>_xll.qlCapFloor(,O67,$E105,O$95%)</f>
        <v>obj_001bd#0000</v>
      </c>
      <c r="P105" s="113" t="str">
        <f>_xll.qlCapFloor(,P67,$E105,P$95%)</f>
        <v>obj_001d1#0000</v>
      </c>
      <c r="Q105" s="113" t="str">
        <f>_xll.qlCapFloor(,Q67,$E105,Q$95%)</f>
        <v>obj_001c7#0000</v>
      </c>
      <c r="R105" s="114" t="str">
        <f>_xll.qlCapFloor(,R67,$E105,R$95%)</f>
        <v>obj_001c6#0000</v>
      </c>
      <c r="T105" s="70" t="s">
        <v>31</v>
      </c>
      <c r="U105" s="103"/>
      <c r="V105" s="107"/>
      <c r="W105" s="112" t="str">
        <f>_xll.qlCapFloor(,F67,$E105,W$95%)</f>
        <v>obj_001c2#0000</v>
      </c>
      <c r="X105" s="112" t="str">
        <f>_xll.qlCapFloor(,G67,$E105,X$95%)</f>
        <v>obj_001b9#0000</v>
      </c>
      <c r="Y105" s="112" t="str">
        <f>_xll.qlCapFloor(,H67,$E105,Y$95%)</f>
        <v>obj_001ce#0000</v>
      </c>
      <c r="Z105" s="112" t="str">
        <f>_xll.qlCapFloor(,I67,$E105,Z$95%)</f>
        <v>obj_001cd#0000</v>
      </c>
      <c r="AA105" s="112" t="str">
        <f>_xll.qlCapFloor(,J67,$E105,AA$95%)</f>
        <v>obj_001c9#0000</v>
      </c>
      <c r="AB105" s="112" t="str">
        <f>_xll.qlCapFloor(,K67,$E105,AB$95%)</f>
        <v>obj_001c4#0000</v>
      </c>
      <c r="AC105" s="112" t="str">
        <f>_xll.qlCapFloor(,L67,$E105,AC$95%)</f>
        <v>obj_001bb#0000</v>
      </c>
      <c r="AD105" s="112" t="str">
        <f>_xll.qlCapFloor(,M67,$E105,AD$95%)</f>
        <v>obj_001bc#0000</v>
      </c>
      <c r="AE105" s="113" t="str">
        <f>_xll.qlCapFloor(,N67,$E105,AE$95%)</f>
        <v>obj_001d0#0000</v>
      </c>
      <c r="AF105" s="113" t="str">
        <f>_xll.qlCapFloor(,O67,$E105,AF$95%)</f>
        <v>obj_001cb#0000</v>
      </c>
      <c r="AG105" s="113" t="str">
        <f>_xll.qlCapFloor(,P67,$E105,AG$95%)</f>
        <v>obj_001c1#0000</v>
      </c>
      <c r="AH105" s="113" t="str">
        <f>_xll.qlCapFloor(,Q67,$E105,AH$95%)</f>
        <v>obj_001be#0000</v>
      </c>
      <c r="AI105" s="114" t="str">
        <f>_xll.qlCapFloor(,R67,$E105,AI$95%)</f>
        <v>obj_001ba#0000</v>
      </c>
    </row>
    <row r="106" spans="3:35">
      <c r="C106" s="70" t="s">
        <v>32</v>
      </c>
      <c r="D106" s="103" t="str">
        <f>_xll.qlSchedule(,_xll.qlCalendarAdvance("Target",_xll.qlCalendarAdvance("Target",Curve!$D$6,"2d"),"6m"),_xll.qlCalendarAdvance("Target",_xll.qlCalendarAdvance("Target",Curve!$D$6,"2d"),C106),"6m","Target","modified following")</f>
        <v>obj_00006#0000</v>
      </c>
      <c r="E106" s="107" t="str">
        <f>_xll.qlIborLeg(,,10000,D106,2,,"act/360",,,Curve!$S$147)</f>
        <v>obj_0009c#0000</v>
      </c>
      <c r="F106" s="112" t="str">
        <f>_xll.qlCapFloor(,F68,$E106,F$95%)</f>
        <v>obj_00172#0000</v>
      </c>
      <c r="G106" s="112" t="str">
        <f>_xll.qlCapFloor(,G68,$E106,G$95%)</f>
        <v>obj_0016a#0000</v>
      </c>
      <c r="H106" s="112" t="str">
        <f>_xll.qlCapFloor(,H68,$E106,H$95%)</f>
        <v>obj_00182#0000</v>
      </c>
      <c r="I106" s="112" t="str">
        <f>_xll.qlCapFloor(,I68,$E106,I$95%)</f>
        <v>obj_00178#0000</v>
      </c>
      <c r="J106" s="112" t="str">
        <f>_xll.qlCapFloor(,J68,$E106,J$95%)</f>
        <v>obj_0017e#0000</v>
      </c>
      <c r="K106" s="112" t="str">
        <f>_xll.qlCapFloor(,K68,$E106,K$95%)</f>
        <v>obj_00174#0000</v>
      </c>
      <c r="L106" s="112" t="str">
        <f>_xll.qlCapFloor(,L68,$E106,L$95%)</f>
        <v>obj_0016e#0000</v>
      </c>
      <c r="M106" s="112" t="str">
        <f>_xll.qlCapFloor(,M68,$E106,M$95%)</f>
        <v>obj_0017f#0000</v>
      </c>
      <c r="N106" s="113" t="str">
        <f>_xll.qlCapFloor(,N68,$E106,N$95%)</f>
        <v>obj_00177#0000</v>
      </c>
      <c r="O106" s="113" t="str">
        <f>_xll.qlCapFloor(,O68,$E106,O$95%)</f>
        <v>obj_0017a#0000</v>
      </c>
      <c r="P106" s="113" t="str">
        <f>_xll.qlCapFloor(,P68,$E106,P$95%)</f>
        <v>obj_00176#0000</v>
      </c>
      <c r="Q106" s="113" t="str">
        <f>_xll.qlCapFloor(,Q68,$E106,Q$95%)</f>
        <v>obj_0016f#0000</v>
      </c>
      <c r="R106" s="114" t="str">
        <f>_xll.qlCapFloor(,R68,$E106,R$95%)</f>
        <v>obj_0017d#0000</v>
      </c>
      <c r="T106" s="70" t="s">
        <v>32</v>
      </c>
      <c r="U106" s="103"/>
      <c r="V106" s="107"/>
      <c r="W106" s="112" t="str">
        <f>_xll.qlCapFloor(,F68,$E106,W$95%)</f>
        <v>obj_00181#0000</v>
      </c>
      <c r="X106" s="112" t="str">
        <f>_xll.qlCapFloor(,G68,$E106,X$95%)</f>
        <v>obj_0017c#0000</v>
      </c>
      <c r="Y106" s="112" t="str">
        <f>_xll.qlCapFloor(,H68,$E106,Y$95%)</f>
        <v>obj_00173#0000</v>
      </c>
      <c r="Z106" s="112" t="str">
        <f>_xll.qlCapFloor(,I68,$E106,Z$95%)</f>
        <v>obj_0016d#0000</v>
      </c>
      <c r="AA106" s="112" t="str">
        <f>_xll.qlCapFloor(,J68,$E106,AA$95%)</f>
        <v>obj_0016c#0000</v>
      </c>
      <c r="AB106" s="112" t="str">
        <f>_xll.qlCapFloor(,K68,$E106,AB$95%)</f>
        <v>obj_00183#0000</v>
      </c>
      <c r="AC106" s="112" t="str">
        <f>_xll.qlCapFloor(,L68,$E106,AC$95%)</f>
        <v>obj_00179#0000</v>
      </c>
      <c r="AD106" s="112" t="str">
        <f>_xll.qlCapFloor(,M68,$E106,AD$95%)</f>
        <v>obj_0016b#0000</v>
      </c>
      <c r="AE106" s="113" t="str">
        <f>_xll.qlCapFloor(,N68,$E106,AE$95%)</f>
        <v>obj_00175#0000</v>
      </c>
      <c r="AF106" s="113" t="str">
        <f>_xll.qlCapFloor(,O68,$E106,AF$95%)</f>
        <v>obj_00170#0000</v>
      </c>
      <c r="AG106" s="113" t="str">
        <f>_xll.qlCapFloor(,P68,$E106,AG$95%)</f>
        <v>obj_00180#0000</v>
      </c>
      <c r="AH106" s="113" t="str">
        <f>_xll.qlCapFloor(,Q68,$E106,AH$95%)</f>
        <v>obj_00171#0000</v>
      </c>
      <c r="AI106" s="114" t="str">
        <f>_xll.qlCapFloor(,R68,$E106,AI$95%)</f>
        <v>obj_0017b#0000</v>
      </c>
    </row>
    <row r="107" spans="3:35">
      <c r="C107" s="70" t="s">
        <v>48</v>
      </c>
      <c r="D107" s="103" t="str">
        <f>_xll.qlSchedule(,_xll.qlCalendarAdvance("Target",_xll.qlCalendarAdvance("Target",Curve!$D$6,"2d"),"6m"),_xll.qlCalendarAdvance("Target",_xll.qlCalendarAdvance("Target",Curve!$D$6,"2d"),C107),"6m","Target","modified following")</f>
        <v>obj_00001#0000</v>
      </c>
      <c r="E107" s="107" t="str">
        <f>_xll.qlIborLeg(,,10000,D107,2,,"act/360",,,Curve!$S$147)</f>
        <v>obj_00099#0000</v>
      </c>
      <c r="F107" s="112" t="str">
        <f>_xll.qlCapFloor(,F69,$E107,F$95%)</f>
        <v>obj_00129#0000</v>
      </c>
      <c r="G107" s="112" t="str">
        <f>_xll.qlCapFloor(,G69,$E107,G$95%)</f>
        <v>obj_0012c#0000</v>
      </c>
      <c r="H107" s="112" t="str">
        <f>_xll.qlCapFloor(,H69,$E107,H$95%)</f>
        <v>obj_00127#0000</v>
      </c>
      <c r="I107" s="112" t="str">
        <f>_xll.qlCapFloor(,I69,$E107,I$95%)</f>
        <v>obj_0011f#0000</v>
      </c>
      <c r="J107" s="112" t="str">
        <f>_xll.qlCapFloor(,J69,$E107,J$95%)</f>
        <v>obj_0012a#0000</v>
      </c>
      <c r="K107" s="112" t="str">
        <f>_xll.qlCapFloor(,K69,$E107,K$95%)</f>
        <v>obj_00133#0000</v>
      </c>
      <c r="L107" s="112" t="str">
        <f>_xll.qlCapFloor(,L69,$E107,L$95%)</f>
        <v>obj_0012e#0000</v>
      </c>
      <c r="M107" s="112" t="str">
        <f>_xll.qlCapFloor(,M69,$E107,M$95%)</f>
        <v>obj_00124#0000</v>
      </c>
      <c r="N107" s="113" t="str">
        <f>_xll.qlCapFloor(,N69,$E107,N$95%)</f>
        <v>obj_00131#0000</v>
      </c>
      <c r="O107" s="113" t="str">
        <f>_xll.qlCapFloor(,O69,$E107,O$95%)</f>
        <v>obj_0011e#0000</v>
      </c>
      <c r="P107" s="113" t="str">
        <f>_xll.qlCapFloor(,P69,$E107,P$95%)</f>
        <v>obj_00135#0000</v>
      </c>
      <c r="Q107" s="113" t="str">
        <f>_xll.qlCapFloor(,Q69,$E107,Q$95%)</f>
        <v>obj_0012b#0000</v>
      </c>
      <c r="R107" s="114" t="str">
        <f>_xll.qlCapFloor(,R69,$E107,R$95%)</f>
        <v>obj_00120#0000</v>
      </c>
      <c r="T107" s="70" t="s">
        <v>48</v>
      </c>
      <c r="U107" s="103"/>
      <c r="V107" s="107"/>
      <c r="W107" s="112" t="str">
        <f>_xll.qlCapFloor(,F69,$E107,W$95%)</f>
        <v>obj_00126#0000</v>
      </c>
      <c r="X107" s="112" t="str">
        <f>_xll.qlCapFloor(,G69,$E107,X$95%)</f>
        <v>obj_0011d#0000</v>
      </c>
      <c r="Y107" s="112" t="str">
        <f>_xll.qlCapFloor(,H69,$E107,Y$95%)</f>
        <v>obj_00132#0000</v>
      </c>
      <c r="Z107" s="112" t="str">
        <f>_xll.qlCapFloor(,I69,$E107,Z$95%)</f>
        <v>obj_00122#0000</v>
      </c>
      <c r="AA107" s="112" t="str">
        <f>_xll.qlCapFloor(,J69,$E107,AA$95%)</f>
        <v>obj_0012d#0000</v>
      </c>
      <c r="AB107" s="112" t="str">
        <f>_xll.qlCapFloor(,K69,$E107,AB$95%)</f>
        <v>obj_00128#0000</v>
      </c>
      <c r="AC107" s="112" t="str">
        <f>_xll.qlCapFloor(,L69,$E107,AC$95%)</f>
        <v>obj_0011c#0000</v>
      </c>
      <c r="AD107" s="112" t="str">
        <f>_xll.qlCapFloor(,M69,$E107,AD$95%)</f>
        <v>obj_00123#0000</v>
      </c>
      <c r="AE107" s="113" t="str">
        <f>_xll.qlCapFloor(,N69,$E107,AE$95%)</f>
        <v>obj_00134#0000</v>
      </c>
      <c r="AF107" s="113" t="str">
        <f>_xll.qlCapFloor(,O69,$E107,AF$95%)</f>
        <v>obj_0012f#0000</v>
      </c>
      <c r="AG107" s="113" t="str">
        <f>_xll.qlCapFloor(,P69,$E107,AG$95%)</f>
        <v>obj_00125#0000</v>
      </c>
      <c r="AH107" s="113" t="str">
        <f>_xll.qlCapFloor(,Q69,$E107,AH$95%)</f>
        <v>obj_00130#0000</v>
      </c>
      <c r="AI107" s="114" t="str">
        <f>_xll.qlCapFloor(,R69,$E107,AI$95%)</f>
        <v>obj_00121#0000</v>
      </c>
    </row>
    <row r="108" spans="3:35">
      <c r="C108" s="70" t="s">
        <v>33</v>
      </c>
      <c r="D108" s="103" t="str">
        <f>_xll.qlSchedule(,_xll.qlCalendarAdvance("Target",_xll.qlCalendarAdvance("Target",Curve!$D$6,"2d"),"6m"),_xll.qlCalendarAdvance("Target",_xll.qlCalendarAdvance("Target",Curve!$D$6,"2d"),C108),"6m","Target","modified following")</f>
        <v>obj_00010#0000</v>
      </c>
      <c r="E108" s="107" t="str">
        <f>_xll.qlIborLeg(,,10000,D108,2,,"act/360",,,Curve!$S$147)</f>
        <v>obj_000a3#0000</v>
      </c>
      <c r="F108" s="112" t="str">
        <f>_xll.qlCapFloor(,F70,$E108,F$95%)</f>
        <v>obj_001f9#0000</v>
      </c>
      <c r="G108" s="112" t="str">
        <f>_xll.qlCapFloor(,G70,$E108,G$95%)</f>
        <v>obj_001f2#0000</v>
      </c>
      <c r="H108" s="112" t="str">
        <f>_xll.qlCapFloor(,H70,$E108,H$95%)</f>
        <v>obj_00204#0000</v>
      </c>
      <c r="I108" s="112" t="str">
        <f>_xll.qlCapFloor(,I70,$E108,I$95%)</f>
        <v>obj_001fa#0000</v>
      </c>
      <c r="J108" s="112" t="str">
        <f>_xll.qlCapFloor(,J70,$E108,J$95%)</f>
        <v>obj_001ef#0000</v>
      </c>
      <c r="K108" s="112" t="str">
        <f>_xll.qlCapFloor(,K70,$E108,K$95%)</f>
        <v>obj_001f6#0000</v>
      </c>
      <c r="L108" s="112" t="str">
        <f>_xll.qlCapFloor(,L70,$E108,L$95%)</f>
        <v>obj_001ee#0000</v>
      </c>
      <c r="M108" s="112" t="str">
        <f>_xll.qlCapFloor(,M70,$E108,M$95%)</f>
        <v>obj_00201#0000</v>
      </c>
      <c r="N108" s="113" t="str">
        <f>_xll.qlCapFloor(,N70,$E108,N$95%)</f>
        <v>obj_001f4#0000</v>
      </c>
      <c r="O108" s="113" t="str">
        <f>_xll.qlCapFloor(,O70,$E108,O$95%)</f>
        <v>obj_001fc#0000</v>
      </c>
      <c r="P108" s="113" t="str">
        <f>_xll.qlCapFloor(,P70,$E108,P$95%)</f>
        <v>obj_001f8#0000</v>
      </c>
      <c r="Q108" s="113" t="str">
        <f>_xll.qlCapFloor(,Q70,$E108,Q$95%)</f>
        <v>obj_001f0#0000</v>
      </c>
      <c r="R108" s="114" t="str">
        <f>_xll.qlCapFloor(,R70,$E108,R$95%)</f>
        <v>obj_00200#0000</v>
      </c>
      <c r="T108" s="70" t="s">
        <v>33</v>
      </c>
      <c r="U108" s="103"/>
      <c r="V108" s="107"/>
      <c r="W108" s="112" t="str">
        <f>_xll.qlCapFloor(,F70,$E108,W$95%)</f>
        <v>obj_00203#0000</v>
      </c>
      <c r="X108" s="112" t="str">
        <f>_xll.qlCapFloor(,G70,$E108,X$95%)</f>
        <v>obj_001fe#0000</v>
      </c>
      <c r="Y108" s="112" t="str">
        <f>_xll.qlCapFloor(,H70,$E108,Y$95%)</f>
        <v>obj_001f5#0000</v>
      </c>
      <c r="Z108" s="112" t="str">
        <f>_xll.qlCapFloor(,I70,$E108,Z$95%)</f>
        <v>obj_001f3#0000</v>
      </c>
      <c r="AA108" s="112" t="str">
        <f>_xll.qlCapFloor(,J70,$E108,AA$95%)</f>
        <v>obj_001ec#0000</v>
      </c>
      <c r="AB108" s="112" t="str">
        <f>_xll.qlCapFloor(,K70,$E108,AB$95%)</f>
        <v>obj_00205#0000</v>
      </c>
      <c r="AC108" s="112" t="str">
        <f>_xll.qlCapFloor(,L70,$E108,AC$95%)</f>
        <v>obj_001fb#0000</v>
      </c>
      <c r="AD108" s="112" t="str">
        <f>_xll.qlCapFloor(,M70,$E108,AD$95%)</f>
        <v>obj_001ff#0000</v>
      </c>
      <c r="AE108" s="113" t="str">
        <f>_xll.qlCapFloor(,N70,$E108,AE$95%)</f>
        <v>obj_001f7#0000</v>
      </c>
      <c r="AF108" s="113" t="str">
        <f>_xll.qlCapFloor(,O70,$E108,AF$95%)</f>
        <v>obj_001f1#0000</v>
      </c>
      <c r="AG108" s="113" t="str">
        <f>_xll.qlCapFloor(,P70,$E108,AG$95%)</f>
        <v>obj_00202#0000</v>
      </c>
      <c r="AH108" s="113" t="str">
        <f>_xll.qlCapFloor(,Q70,$E108,AH$95%)</f>
        <v>obj_001ed#0000</v>
      </c>
      <c r="AI108" s="114" t="str">
        <f>_xll.qlCapFloor(,R70,$E108,AI$95%)</f>
        <v>obj_001fd#0000</v>
      </c>
    </row>
    <row r="109" spans="3:35">
      <c r="C109" s="70" t="s">
        <v>34</v>
      </c>
      <c r="D109" s="103" t="str">
        <f>_xll.qlSchedule(,_xll.qlCalendarAdvance("Target",_xll.qlCalendarAdvance("Target",Curve!$D$6,"2d"),"6m"),_xll.qlCalendarAdvance("Target",_xll.qlCalendarAdvance("Target",Curve!$D$6,"2d"),C109),"6m","Target","modified following")</f>
        <v>obj_0000b#0000</v>
      </c>
      <c r="E109" s="107" t="str">
        <f>_xll.qlIborLeg(,,10000,D109,2,,"act/360",,,Curve!$S$147)</f>
        <v>obj_0009f#0000</v>
      </c>
      <c r="F109" s="112" t="str">
        <f>_xll.qlCapFloor(,F71,$E109,F$95%)</f>
        <v>obj_001b3#0000</v>
      </c>
      <c r="G109" s="112" t="str">
        <f>_xll.qlCapFloor(,G71,$E109,G$95%)</f>
        <v>obj_001ae#0000</v>
      </c>
      <c r="H109" s="112" t="str">
        <f>_xll.qlCapFloor(,H71,$E109,H$95%)</f>
        <v>obj_001a9#0000</v>
      </c>
      <c r="I109" s="112" t="str">
        <f>_xll.qlCapFloor(,I71,$E109,I$95%)</f>
        <v>obj_001a2#0000</v>
      </c>
      <c r="J109" s="112" t="str">
        <f>_xll.qlCapFloor(,J71,$E109,J$95%)</f>
        <v>obj_001a5#0000</v>
      </c>
      <c r="K109" s="112" t="str">
        <f>_xll.qlCapFloor(,K71,$E109,K$95%)</f>
        <v>obj_001b5#0000</v>
      </c>
      <c r="L109" s="112" t="str">
        <f>_xll.qlCapFloor(,L71,$E109,L$95%)</f>
        <v>obj_001b0#0000</v>
      </c>
      <c r="M109" s="112" t="str">
        <f>_xll.qlCapFloor(,M71,$E109,M$95%)</f>
        <v>obj_001a6#0000</v>
      </c>
      <c r="N109" s="112" t="str">
        <f>_xll.qlCapFloor(,N71,$E109,N$95%)</f>
        <v>obj_001ab#0000</v>
      </c>
      <c r="O109" s="113" t="str">
        <f>_xll.qlCapFloor(,O71,$E109,O$95%)</f>
        <v>obj_0019e#0000</v>
      </c>
      <c r="P109" s="113" t="str">
        <f>_xll.qlCapFloor(,P71,$E109,P$95%)</f>
        <v>obj_001b7#0000</v>
      </c>
      <c r="Q109" s="113" t="str">
        <f>_xll.qlCapFloor(,Q71,$E109,Q$95%)</f>
        <v>obj_001ad#0000</v>
      </c>
      <c r="R109" s="114" t="str">
        <f>_xll.qlCapFloor(,R71,$E109,R$95%)</f>
        <v>obj_001ac#0000</v>
      </c>
      <c r="T109" s="70" t="s">
        <v>34</v>
      </c>
      <c r="U109" s="103"/>
      <c r="V109" s="107"/>
      <c r="W109" s="112" t="str">
        <f>_xll.qlCapFloor(,F71,$E109,W$95%)</f>
        <v>obj_001a8#0000</v>
      </c>
      <c r="X109" s="112" t="str">
        <f>_xll.qlCapFloor(,G71,$E109,X$95%)</f>
        <v>obj_001a3#0000</v>
      </c>
      <c r="Y109" s="112" t="str">
        <f>_xll.qlCapFloor(,H71,$E109,Y$95%)</f>
        <v>obj_001b4#0000</v>
      </c>
      <c r="Z109" s="112" t="str">
        <f>_xll.qlCapFloor(,I71,$E109,Z$95%)</f>
        <v>obj_001b2#0000</v>
      </c>
      <c r="AA109" s="112" t="str">
        <f>_xll.qlCapFloor(,J71,$E109,AA$95%)</f>
        <v>obj_001af#0000</v>
      </c>
      <c r="AB109" s="112" t="str">
        <f>_xll.qlCapFloor(,K71,$E109,AB$95%)</f>
        <v>obj_001aa#0000</v>
      </c>
      <c r="AC109" s="112" t="str">
        <f>_xll.qlCapFloor(,L71,$E109,AC$95%)</f>
        <v>obj_001a1#0000</v>
      </c>
      <c r="AD109" s="112" t="str">
        <f>_xll.qlCapFloor(,M71,$E109,AD$95%)</f>
        <v>obj_0019f#0000</v>
      </c>
      <c r="AE109" s="112" t="str">
        <f>_xll.qlCapFloor(,N71,$E109,AE$95%)</f>
        <v>obj_001b6#0000</v>
      </c>
      <c r="AF109" s="113" t="str">
        <f>_xll.qlCapFloor(,O71,$E109,AF$95%)</f>
        <v>obj_001b1#0000</v>
      </c>
      <c r="AG109" s="113" t="str">
        <f>_xll.qlCapFloor(,P71,$E109,AG$95%)</f>
        <v>obj_001a7#0000</v>
      </c>
      <c r="AH109" s="113" t="str">
        <f>_xll.qlCapFloor(,Q71,$E109,AH$95%)</f>
        <v>obj_001a4#0000</v>
      </c>
      <c r="AI109" s="114" t="str">
        <f>_xll.qlCapFloor(,R71,$E109,AI$95%)</f>
        <v>obj_001a0#0000</v>
      </c>
    </row>
    <row r="110" spans="3:35">
      <c r="C110" s="70" t="s">
        <v>35</v>
      </c>
      <c r="D110" s="103" t="str">
        <f>_xll.qlSchedule(,_xll.qlCalendarAdvance("Target",_xll.qlCalendarAdvance("Target",Curve!$D$6,"2d"),"6m"),_xll.qlCalendarAdvance("Target",_xll.qlCalendarAdvance("Target",Curve!$D$6,"2d"),C110),"6m","Target","modified following")</f>
        <v>obj_0000a#0000</v>
      </c>
      <c r="E110" s="107" t="str">
        <f>_xll.qlIborLeg(,,10000,D110,2,,"act/360",,,Curve!$S$147)</f>
        <v>obj_0009b#0000</v>
      </c>
      <c r="F110" s="112" t="str">
        <f>_xll.qlCapFloor(,F72,$E110,F$95%)</f>
        <v>obj_00153#0000</v>
      </c>
      <c r="G110" s="112" t="str">
        <f>_xll.qlCapFloor(,G72,$E110,G$95%)</f>
        <v>obj_00155#0000</v>
      </c>
      <c r="H110" s="112" t="str">
        <f>_xll.qlCapFloor(,H72,$E110,H$95%)</f>
        <v>obj_00168#0000</v>
      </c>
      <c r="I110" s="112" t="str">
        <f>_xll.qlCapFloor(,I72,$E110,I$95%)</f>
        <v>obj_0015e#0000</v>
      </c>
      <c r="J110" s="112" t="str">
        <f>_xll.qlCapFloor(,J72,$E110,J$95%)</f>
        <v>obj_00156#0000</v>
      </c>
      <c r="K110" s="112" t="str">
        <f>_xll.qlCapFloor(,K72,$E110,K$95%)</f>
        <v>obj_0015b#0000</v>
      </c>
      <c r="L110" s="112" t="str">
        <f>_xll.qlCapFloor(,L72,$E110,L$95%)</f>
        <v>obj_00150#0000</v>
      </c>
      <c r="M110" s="112" t="str">
        <f>_xll.qlCapFloor(,M72,$E110,M$95%)</f>
        <v>obj_00165#0000</v>
      </c>
      <c r="N110" s="112" t="str">
        <f>_xll.qlCapFloor(,N72,$E110,N$95%)</f>
        <v>obj_00158#0000</v>
      </c>
      <c r="O110" s="113" t="str">
        <f>_xll.qlCapFloor(,O72,$E110,O$95%)</f>
        <v>obj_00160#0000</v>
      </c>
      <c r="P110" s="113" t="str">
        <f>_xll.qlCapFloor(,P72,$E110,P$95%)</f>
        <v>obj_0015d#0000</v>
      </c>
      <c r="Q110" s="113" t="str">
        <f>_xll.qlCapFloor(,Q72,$E110,Q$95%)</f>
        <v>obj_00151#0000</v>
      </c>
      <c r="R110" s="114" t="str">
        <f>_xll.qlCapFloor(,R72,$E110,R$95%)</f>
        <v>obj_00163#0000</v>
      </c>
      <c r="T110" s="70" t="s">
        <v>35</v>
      </c>
      <c r="U110" s="103"/>
      <c r="V110" s="107"/>
      <c r="W110" s="112" t="str">
        <f>_xll.qlCapFloor(,F72,$E110,W$95%)</f>
        <v>obj_00167#0000</v>
      </c>
      <c r="X110" s="112" t="str">
        <f>_xll.qlCapFloor(,G72,$E110,X$95%)</f>
        <v>obj_00162#0000</v>
      </c>
      <c r="Y110" s="112" t="str">
        <f>_xll.qlCapFloor(,H72,$E110,Y$95%)</f>
        <v>obj_0015a#0000</v>
      </c>
      <c r="Z110" s="112" t="str">
        <f>_xll.qlCapFloor(,I72,$E110,Z$95%)</f>
        <v>obj_00164#0000</v>
      </c>
      <c r="AA110" s="112" t="str">
        <f>_xll.qlCapFloor(,J72,$E110,AA$95%)</f>
        <v>obj_00157#0000</v>
      </c>
      <c r="AB110" s="112" t="str">
        <f>_xll.qlCapFloor(,K72,$E110,AB$95%)</f>
        <v>obj_00169#0000</v>
      </c>
      <c r="AC110" s="112" t="str">
        <f>_xll.qlCapFloor(,L72,$E110,AC$95%)</f>
        <v>obj_0015f#0000</v>
      </c>
      <c r="AD110" s="112" t="str">
        <f>_xll.qlCapFloor(,M72,$E110,AD$95%)</f>
        <v>obj_00159#0000</v>
      </c>
      <c r="AE110" s="112" t="str">
        <f>_xll.qlCapFloor(,N72,$E110,AE$95%)</f>
        <v>obj_0015c#0000</v>
      </c>
      <c r="AF110" s="113" t="str">
        <f>_xll.qlCapFloor(,O72,$E110,AF$95%)</f>
        <v>obj_00152#0000</v>
      </c>
      <c r="AG110" s="113" t="str">
        <f>_xll.qlCapFloor(,P72,$E110,AG$95%)</f>
        <v>obj_00166#0000</v>
      </c>
      <c r="AH110" s="113" t="str">
        <f>_xll.qlCapFloor(,Q72,$E110,AH$95%)</f>
        <v>obj_00154#0000</v>
      </c>
      <c r="AI110" s="114" t="str">
        <f>_xll.qlCapFloor(,R72,$E110,AI$95%)</f>
        <v>obj_00161#0000</v>
      </c>
    </row>
    <row r="111" spans="3:35">
      <c r="C111" s="74" t="s">
        <v>36</v>
      </c>
      <c r="D111" s="104" t="str">
        <f>_xll.qlSchedule(,_xll.qlCalendarAdvance("Target",_xll.qlCalendarAdvance("Target",Curve!$D$6,"2d"),"6m"),_xll.qlCalendarAdvance("Target",_xll.qlCalendarAdvance("Target",Curve!$D$6,"2d"),C111),"6m","Target","modified following")</f>
        <v>obj_00000#0000</v>
      </c>
      <c r="E111" s="108" t="str">
        <f>_xll.qlIborLeg(,,10000,D111,2,,"act/360",,,Curve!$S$147)</f>
        <v>obj_00097#0000</v>
      </c>
      <c r="F111" s="115" t="str">
        <f>_xll.qlCapFloor(,F73,$E111,F$95%)</f>
        <v>obj_000ea#0000</v>
      </c>
      <c r="G111" s="115" t="str">
        <f>_xll.qlCapFloor(,G73,$E111,G$95%)</f>
        <v>obj_000ed#0000</v>
      </c>
      <c r="H111" s="115" t="str">
        <f>_xll.qlCapFloor(,H73,$E111,H$95%)</f>
        <v>obj_000f8#0000</v>
      </c>
      <c r="I111" s="115" t="str">
        <f>_xll.qlCapFloor(,I73,$E111,I$95%)</f>
        <v>obj_000fd#0000</v>
      </c>
      <c r="J111" s="115" t="str">
        <f>_xll.qlCapFloor(,J73,$E111,J$95%)</f>
        <v>obj_000f3#0000</v>
      </c>
      <c r="K111" s="115" t="str">
        <f>_xll.qlCapFloor(,K73,$E111,K$95%)</f>
        <v>obj_000f4#0000</v>
      </c>
      <c r="L111" s="115" t="str">
        <f>_xll.qlCapFloor(,L73,$E111,L$95%)</f>
        <v>obj_000ef#0000</v>
      </c>
      <c r="M111" s="115" t="str">
        <f>_xll.qlCapFloor(,M73,$E111,M$95%)</f>
        <v>obj_000e8#0000</v>
      </c>
      <c r="N111" s="115" t="str">
        <f>_xll.qlCapFloor(,N73,$E111,N$95%)</f>
        <v>obj_000f6#0000</v>
      </c>
      <c r="O111" s="116" t="str">
        <f>_xll.qlCapFloor(,O73,$E111,O$95%)</f>
        <v>obj_000ff#0000</v>
      </c>
      <c r="P111" s="116" t="str">
        <f>_xll.qlCapFloor(,P73,$E111,P$95%)</f>
        <v>obj_000f5#0000</v>
      </c>
      <c r="Q111" s="116" t="str">
        <f>_xll.qlCapFloor(,Q73,$E111,Q$95%)</f>
        <v>obj_000ec#0000</v>
      </c>
      <c r="R111" s="117" t="str">
        <f>_xll.qlCapFloor(,R73,$E111,R$95%)</f>
        <v>obj_000fc#0000</v>
      </c>
      <c r="T111" s="74" t="s">
        <v>36</v>
      </c>
      <c r="U111" s="104"/>
      <c r="V111" s="108"/>
      <c r="W111" s="115" t="str">
        <f>_xll.qlCapFloor(,F73,$E111,W$95%)</f>
        <v>obj_000f2#0000</v>
      </c>
      <c r="X111" s="115" t="str">
        <f>_xll.qlCapFloor(,G73,$E111,X$95%)</f>
        <v>obj_00101#0000</v>
      </c>
      <c r="Y111" s="115" t="str">
        <f>_xll.qlCapFloor(,H73,$E111,Y$95%)</f>
        <v>obj_000fa#0000</v>
      </c>
      <c r="Z111" s="115" t="str">
        <f>_xll.qlCapFloor(,I73,$E111,Z$95%)</f>
        <v>obj_000f1#0000</v>
      </c>
      <c r="AA111" s="115" t="str">
        <f>_xll.qlCapFloor(,J73,$E111,AA$95%)</f>
        <v>obj_000ee#0000</v>
      </c>
      <c r="AB111" s="115" t="str">
        <f>_xll.qlCapFloor(,K73,$E111,AB$95%)</f>
        <v>obj_000e9#0000</v>
      </c>
      <c r="AC111" s="115" t="str">
        <f>_xll.qlCapFloor(,L73,$E111,AC$95%)</f>
        <v>obj_000fe#0000</v>
      </c>
      <c r="AD111" s="115" t="str">
        <f>_xll.qlCapFloor(,M73,$E111,AD$95%)</f>
        <v>obj_000eb#0000</v>
      </c>
      <c r="AE111" s="115" t="str">
        <f>_xll.qlCapFloor(,N73,$E111,AE$95%)</f>
        <v>obj_000fb#0000</v>
      </c>
      <c r="AF111" s="116" t="str">
        <f>_xll.qlCapFloor(,O73,$E111,AF$95%)</f>
        <v>obj_000f0#0000</v>
      </c>
      <c r="AG111" s="116" t="str">
        <f>_xll.qlCapFloor(,P73,$E111,AG$95%)</f>
        <v>obj_000f7#0000</v>
      </c>
      <c r="AH111" s="116" t="str">
        <f>_xll.qlCapFloor(,Q73,$E111,AH$95%)</f>
        <v>obj_000f9#0000</v>
      </c>
      <c r="AI111" s="117" t="str">
        <f>_xll.qlCapFloor(,R73,$E111,AI$95%)</f>
        <v>obj_00100#0000</v>
      </c>
    </row>
    <row r="112" spans="3:35">
      <c r="T112" s="61"/>
    </row>
    <row r="113" spans="3:35">
      <c r="T113" s="61"/>
    </row>
    <row r="114" spans="3:35">
      <c r="C114" s="62" t="s">
        <v>164</v>
      </c>
      <c r="D114" s="63"/>
      <c r="E114" s="64"/>
      <c r="F114" s="64">
        <v>-0.5</v>
      </c>
      <c r="G114" s="64">
        <v>-0.25</v>
      </c>
      <c r="H114" s="64">
        <v>-0.13</v>
      </c>
      <c r="I114" s="64">
        <v>0</v>
      </c>
      <c r="J114" s="64">
        <v>0.13</v>
      </c>
      <c r="K114" s="64">
        <v>0.25</v>
      </c>
      <c r="L114" s="64">
        <v>0.5</v>
      </c>
      <c r="M114" s="64">
        <v>1</v>
      </c>
      <c r="N114" s="64">
        <v>1.5</v>
      </c>
      <c r="O114" s="64">
        <v>2</v>
      </c>
      <c r="P114" s="64">
        <v>3</v>
      </c>
      <c r="Q114" s="64">
        <v>5</v>
      </c>
      <c r="R114" s="65">
        <v>10</v>
      </c>
      <c r="T114" s="62" t="s">
        <v>164</v>
      </c>
      <c r="U114" s="63"/>
      <c r="V114" s="64"/>
      <c r="W114" s="64">
        <v>-0.5</v>
      </c>
      <c r="X114" s="64">
        <v>-0.25</v>
      </c>
      <c r="Y114" s="64">
        <v>-0.13</v>
      </c>
      <c r="Z114" s="64">
        <v>0</v>
      </c>
      <c r="AA114" s="64">
        <v>0.13</v>
      </c>
      <c r="AB114" s="64">
        <v>0.25</v>
      </c>
      <c r="AC114" s="64">
        <v>0.5</v>
      </c>
      <c r="AD114" s="64">
        <v>1</v>
      </c>
      <c r="AE114" s="64">
        <v>1.5</v>
      </c>
      <c r="AF114" s="64">
        <v>2</v>
      </c>
      <c r="AG114" s="64">
        <v>3</v>
      </c>
      <c r="AH114" s="64">
        <v>5</v>
      </c>
      <c r="AI114" s="65">
        <v>10</v>
      </c>
    </row>
    <row r="115" spans="3:35">
      <c r="C115" s="66" t="s">
        <v>23</v>
      </c>
      <c r="D115" s="105"/>
      <c r="E115" s="88"/>
      <c r="F115" s="109">
        <f>_xll.qlInstrumentNPV(F96,_xll.qlInstrumentSetPricingEngine(F96,_xll.qlBachelierBlackCapFloorEngine2(,Curve!$S$16,F39%%)))</f>
        <v>0.53162948823519518</v>
      </c>
      <c r="G115" s="109">
        <f>_xll.qlInstrumentNPV(G96,_xll.qlInstrumentSetPricingEngine(G96,_xll.qlBachelierBlackCapFloorEngine2(,Curve!$S$16,G39%%)))</f>
        <v>1.1297607923763329</v>
      </c>
      <c r="H115" s="109">
        <f>_xll.qlInstrumentNPV(H96,_xll.qlInstrumentSetPricingEngine(H96,_xll.qlBachelierBlackCapFloorEngine2(,Curve!$S$16,H39%%)))</f>
        <v>2.0339626528556289</v>
      </c>
      <c r="I115" s="109">
        <f>_xll.qlInstrumentNPV(I96,_xll.qlInstrumentSetPricingEngine(I96,_xll.qlBachelierBlackCapFloorEngine2(,Curve!$S$16,I39%%)))</f>
        <v>5.0147549996656338</v>
      </c>
      <c r="J115" s="110">
        <f>_xll.qlInstrumentNPV(J96,_xll.qlInstrumentSetPricingEngine(J96,_xll.qlBachelierBlackCapFloorEngine2(,Curve!$S$16,J39%%)))</f>
        <v>2.906615471036047</v>
      </c>
      <c r="K115" s="110">
        <f>_xll.qlInstrumentNPV(K96,_xll.qlInstrumentSetPricingEngine(K96,_xll.qlBachelierBlackCapFloorEngine2(,Curve!$S$16,K39%%)))</f>
        <v>1.6897915539255166</v>
      </c>
      <c r="L115" s="110">
        <f>_xll.qlInstrumentNPV(L96,_xll.qlInstrumentSetPricingEngine(L96,_xll.qlBachelierBlackCapFloorEngine2(,Curve!$S$16,L39%%)))</f>
        <v>0.95822921039168707</v>
      </c>
      <c r="M115" s="110">
        <f>_xll.qlInstrumentNPV(M96,_xll.qlInstrumentSetPricingEngine(M96,_xll.qlBachelierBlackCapFloorEngine2(,Curve!$S$16,M39%%)))</f>
        <v>0.52196753104618576</v>
      </c>
      <c r="N115" s="110"/>
      <c r="O115" s="110"/>
      <c r="P115" s="110"/>
      <c r="Q115" s="110"/>
      <c r="R115" s="111"/>
      <c r="T115" s="66" t="s">
        <v>23</v>
      </c>
      <c r="U115" s="105"/>
      <c r="V115" s="88"/>
      <c r="W115" s="109">
        <f>_xll.qlInstrumentNPV(W96,_xll.qlInstrumentSetPricingEngine(W96,_xll.qlBachelierBlackCapFloorEngine(,Curve!$S$16,CapletCalibration!$D$20)))</f>
        <v>0.37217881687987531</v>
      </c>
      <c r="X115" s="109">
        <f>_xll.qlInstrumentNPV(X96,_xll.qlInstrumentSetPricingEngine(X96,_xll.qlBachelierBlackCapFloorEngine(,Curve!$S$16,CapletCalibration!$D$20)))</f>
        <v>1.0843546928075205</v>
      </c>
      <c r="Y115" s="109">
        <f>_xll.qlInstrumentNPV(Y96,_xll.qlInstrumentSetPricingEngine(Y96,_xll.qlBachelierBlackCapFloorEngine(,Curve!$S$16,CapletCalibration!$D$20)))</f>
        <v>2.0731926280480684</v>
      </c>
      <c r="Z115" s="109">
        <f>_xll.qlInstrumentNPV(Z96,_xll.qlInstrumentSetPricingEngine(Z96,_xll.qlBachelierBlackCapFloorEngine(,Curve!$S$16,CapletCalibration!$D$20)))</f>
        <v>4.7406799337920766</v>
      </c>
      <c r="AA115" s="110">
        <f>_xll.qlInstrumentNPV(AA96,_xll.qlInstrumentSetPricingEngine(AA96,_xll.qlBachelierBlackCapFloorEngine(,Curve!$S$16,CapletCalibration!$D$20)))</f>
        <v>2.0062720980860602</v>
      </c>
      <c r="AB115" s="110">
        <f>_xll.qlInstrumentNPV(AB96,_xll.qlInstrumentSetPricingEngine(AB96,_xll.qlBachelierBlackCapFloorEngine(,Curve!$S$16,CapletCalibration!$D$20)))</f>
        <v>0.68328011155130208</v>
      </c>
      <c r="AC115" s="110">
        <f>_xll.qlInstrumentNPV(AC96,_xll.qlInstrumentSetPricingEngine(AC96,_xll.qlBachelierBlackCapFloorEngine(,Curve!$S$16,CapletCalibration!$D$20)))</f>
        <v>0.17699773468276575</v>
      </c>
      <c r="AD115" s="110">
        <f>_xll.qlInstrumentNPV(AD96,_xll.qlInstrumentSetPricingEngine(AD96,_xll.qlBachelierBlackCapFloorEngine(,Curve!$S$16,CapletCalibration!$D$20)))</f>
        <v>6.2834686903369061E-2</v>
      </c>
      <c r="AE115" s="110"/>
      <c r="AF115" s="110"/>
      <c r="AG115" s="110"/>
      <c r="AH115" s="110"/>
      <c r="AI115" s="111"/>
    </row>
    <row r="116" spans="3:35">
      <c r="C116" s="70" t="s">
        <v>47</v>
      </c>
      <c r="D116" s="106"/>
      <c r="E116" s="90"/>
      <c r="F116" s="112">
        <f>_xll.qlInstrumentNPV(F97,_xll.qlInstrumentSetPricingEngine(F97,_xll.qlBachelierBlackCapFloorEngine2(,Curve!$S$16,F40%%)))</f>
        <v>1.7542966558174604</v>
      </c>
      <c r="G116" s="112">
        <f>_xll.qlInstrumentNPV(G97,_xll.qlInstrumentSetPricingEngine(G97,_xll.qlBachelierBlackCapFloorEngine2(,Curve!$S$16,G40%%)))</f>
        <v>3.1546812558612451</v>
      </c>
      <c r="H116" s="112">
        <f>_xll.qlInstrumentNPV(H97,_xll.qlInstrumentSetPricingEngine(H97,_xll.qlBachelierBlackCapFloorEngine2(,Curve!$S$16,H40%%)))</f>
        <v>4.8902172152418233</v>
      </c>
      <c r="I116" s="112">
        <f>_xll.qlInstrumentNPV(I97,_xll.qlInstrumentSetPricingEngine(I97,_xll.qlBachelierBlackCapFloorEngine2(,Curve!$S$16,I40%%)))</f>
        <v>9.7654035257780087</v>
      </c>
      <c r="J116" s="113">
        <f>_xll.qlInstrumentNPV(J97,_xll.qlInstrumentSetPricingEngine(J97,_xll.qlBachelierBlackCapFloorEngine2(,Curve!$S$16,J40%%)))</f>
        <v>8.0227366007786607</v>
      </c>
      <c r="K116" s="113">
        <f>_xll.qlInstrumentNPV(K97,_xll.qlInstrumentSetPricingEngine(K97,_xll.qlBachelierBlackCapFloorEngine2(,Curve!$S$16,K40%%)))</f>
        <v>5.1903439208937581</v>
      </c>
      <c r="L116" s="113">
        <f>_xll.qlInstrumentNPV(L97,_xll.qlInstrumentSetPricingEngine(L97,_xll.qlBachelierBlackCapFloorEngine2(,Curve!$S$16,L40%%)))</f>
        <v>3.2105787453526249</v>
      </c>
      <c r="M116" s="113">
        <f>_xll.qlInstrumentNPV(M97,_xll.qlInstrumentSetPricingEngine(M97,_xll.qlBachelierBlackCapFloorEngine2(,Curve!$S$16,M40%%)))</f>
        <v>1.9373437723121316</v>
      </c>
      <c r="N116" s="113">
        <f>_xll.qlInstrumentNPV(N97,_xll.qlInstrumentSetPricingEngine(N97,_xll.qlBachelierBlackCapFloorEngine2(,Curve!$S$16,N40%%)))</f>
        <v>1.4455047577515199</v>
      </c>
      <c r="O116" s="113">
        <f>_xll.qlInstrumentNPV(O97,_xll.qlInstrumentSetPricingEngine(O97,_xll.qlBachelierBlackCapFloorEngine2(,Curve!$S$16,O40%%)))</f>
        <v>1.1210588659906331</v>
      </c>
      <c r="P116" s="113">
        <f>_xll.qlInstrumentNPV(P97,_xll.qlInstrumentSetPricingEngine(P97,_xll.qlBachelierBlackCapFloorEngine2(,Curve!$S$16,P40%%)))</f>
        <v>0.8356845108202422</v>
      </c>
      <c r="Q116" s="113">
        <f>_xll.qlInstrumentNPV(Q97,_xll.qlInstrumentSetPricingEngine(Q97,_xll.qlBachelierBlackCapFloorEngine2(,Curve!$S$16,Q40%%)))</f>
        <v>0.57450734178537965</v>
      </c>
      <c r="R116" s="114"/>
      <c r="T116" s="70" t="s">
        <v>47</v>
      </c>
      <c r="U116" s="106"/>
      <c r="V116" s="90"/>
      <c r="W116" s="112">
        <f>_xll.qlInstrumentNPV(W97,_xll.qlInstrumentSetPricingEngine(W97,_xll.qlBachelierBlackCapFloorEngine(,Curve!$S$16,CapletCalibration!$D$20)))</f>
        <v>1.6615627975723419</v>
      </c>
      <c r="X116" s="112">
        <f>_xll.qlInstrumentNPV(X97,_xll.qlInstrumentSetPricingEngine(X97,_xll.qlBachelierBlackCapFloorEngine(,Curve!$S$16,CapletCalibration!$D$20)))</f>
        <v>3.5009558717575371</v>
      </c>
      <c r="Y116" s="112">
        <f>_xll.qlInstrumentNPV(Y97,_xll.qlInstrumentSetPricingEngine(Y97,_xll.qlBachelierBlackCapFloorEngine(,Curve!$S$16,CapletCalibration!$D$20)))</f>
        <v>5.4759330753096478</v>
      </c>
      <c r="Z116" s="112">
        <f>_xll.qlInstrumentNPV(Z97,_xll.qlInstrumentSetPricingEngine(Z97,_xll.qlBachelierBlackCapFloorEngine(,Curve!$S$16,CapletCalibration!$D$20)))</f>
        <v>9.9193608322701206</v>
      </c>
      <c r="AA116" s="113">
        <f>_xll.qlInstrumentNPV(AA97,_xll.qlInstrumentSetPricingEngine(AA97,_xll.qlBachelierBlackCapFloorEngine(,Curve!$S$16,CapletCalibration!$D$20)))</f>
        <v>6.9633996896148789</v>
      </c>
      <c r="AB116" s="113">
        <f>_xll.qlInstrumentNPV(AB97,_xll.qlInstrumentSetPricingEngine(AB97,_xll.qlBachelierBlackCapFloorEngine(,Curve!$S$16,CapletCalibration!$D$20)))</f>
        <v>3.5158629981041907</v>
      </c>
      <c r="AC116" s="113">
        <f>_xll.qlInstrumentNPV(AC97,_xll.qlInstrumentSetPricingEngine(AC97,_xll.qlBachelierBlackCapFloorEngine(,Curve!$S$16,CapletCalibration!$D$20)))</f>
        <v>1.4351747746534382</v>
      </c>
      <c r="AD116" s="113">
        <f>_xll.qlInstrumentNPV(AD97,_xll.qlInstrumentSetPricingEngine(AD97,_xll.qlBachelierBlackCapFloorEngine(,Curve!$S$16,CapletCalibration!$D$20)))</f>
        <v>0.64911680603724309</v>
      </c>
      <c r="AE116" s="113">
        <f>_xll.qlInstrumentNPV(AE97,_xll.qlInstrumentSetPricingEngine(AE97,_xll.qlBachelierBlackCapFloorEngine(,Curve!$S$16,CapletCalibration!$D$20)))</f>
        <v>0.48882025132126483</v>
      </c>
      <c r="AF116" s="113">
        <f>_xll.qlInstrumentNPV(AF97,_xll.qlInstrumentSetPricingEngine(AF97,_xll.qlBachelierBlackCapFloorEngine(,Curve!$S$16,CapletCalibration!$D$20)))</f>
        <v>0.39165331538150244</v>
      </c>
      <c r="AG116" s="113">
        <f>_xll.qlInstrumentNPV(AG97,_xll.qlInstrumentSetPricingEngine(AG97,_xll.qlBachelierBlackCapFloorEngine(,Curve!$S$16,CapletCalibration!$D$20)))</f>
        <v>0.24330679966073876</v>
      </c>
      <c r="AH116" s="113">
        <f>_xll.qlInstrumentNPV(AH97,_xll.qlInstrumentSetPricingEngine(AH97,_xll.qlBachelierBlackCapFloorEngine(,Curve!$S$16,CapletCalibration!$D$20)))</f>
        <v>0.1475886983184069</v>
      </c>
      <c r="AI116" s="114"/>
    </row>
    <row r="117" spans="3:35">
      <c r="C117" s="70" t="s">
        <v>24</v>
      </c>
      <c r="D117" s="106"/>
      <c r="E117" s="90"/>
      <c r="F117" s="112">
        <f>_xll.qlInstrumentNPV(F98,_xll.qlInstrumentSetPricingEngine(F98,_xll.qlBachelierBlackCapFloorEngine2(,Curve!$S$16,F41%%)))</f>
        <v>3.3090627430781767</v>
      </c>
      <c r="G117" s="112">
        <f>_xll.qlInstrumentNPV(G98,_xll.qlInstrumentSetPricingEngine(G98,_xll.qlBachelierBlackCapFloorEngine2(,Curve!$S$16,G41%%)))</f>
        <v>5.7664276877875977</v>
      </c>
      <c r="H117" s="112">
        <f>_xll.qlInstrumentNPV(H98,_xll.qlInstrumentSetPricingEngine(H98,_xll.qlBachelierBlackCapFloorEngine2(,Curve!$S$16,H41%%)))</f>
        <v>8.4398762388138096</v>
      </c>
      <c r="I117" s="112">
        <f>_xll.qlInstrumentNPV(I98,_xll.qlInstrumentSetPricingEngine(I98,_xll.qlBachelierBlackCapFloorEngine2(,Curve!$S$16,I41%%)))</f>
        <v>14.959502879376407</v>
      </c>
      <c r="J117" s="113">
        <f>_xll.qlInstrumentNPV(J98,_xll.qlInstrumentSetPricingEngine(J98,_xll.qlBachelierBlackCapFloorEngine2(,Curve!$S$16,J41%%)))</f>
        <v>16.935072812139971</v>
      </c>
      <c r="K117" s="113">
        <f>_xll.qlInstrumentNPV(K98,_xll.qlInstrumentSetPricingEngine(K98,_xll.qlBachelierBlackCapFloorEngine2(,Curve!$S$16,K41%%)))</f>
        <v>11.409500616140942</v>
      </c>
      <c r="L117" s="113">
        <f>_xll.qlInstrumentNPV(L98,_xll.qlInstrumentSetPricingEngine(L98,_xll.qlBachelierBlackCapFloorEngine2(,Curve!$S$16,L41%%)))</f>
        <v>7.0138186547160828</v>
      </c>
      <c r="M117" s="113">
        <f>_xll.qlInstrumentNPV(M98,_xll.qlInstrumentSetPricingEngine(M98,_xll.qlBachelierBlackCapFloorEngine2(,Curve!$S$16,M41%%)))</f>
        <v>4.1026914462278299</v>
      </c>
      <c r="N117" s="113">
        <f>_xll.qlInstrumentNPV(N98,_xll.qlInstrumentSetPricingEngine(N98,_xll.qlBachelierBlackCapFloorEngine2(,Curve!$S$16,N41%%)))</f>
        <v>2.9988364376306391</v>
      </c>
      <c r="O117" s="113">
        <f>_xll.qlInstrumentNPV(O98,_xll.qlInstrumentSetPricingEngine(O98,_xll.qlBachelierBlackCapFloorEngine2(,Curve!$S$16,O41%%)))</f>
        <v>2.3925804748471302</v>
      </c>
      <c r="P117" s="113">
        <f>_xll.qlInstrumentNPV(P98,_xll.qlInstrumentSetPricingEngine(P98,_xll.qlBachelierBlackCapFloorEngine2(,Curve!$S$16,P41%%)))</f>
        <v>1.7371558166891261</v>
      </c>
      <c r="Q117" s="113">
        <f>_xll.qlInstrumentNPV(Q98,_xll.qlInstrumentSetPricingEngine(Q98,_xll.qlBachelierBlackCapFloorEngine2(,Curve!$S$16,Q41%%)))</f>
        <v>1.1258064429783989</v>
      </c>
      <c r="R117" s="114">
        <f>_xll.qlInstrumentNPV(R98,_xll.qlInstrumentSetPricingEngine(R98,_xll.qlBachelierBlackCapFloorEngine2(,Curve!$S$16,R41%%)))</f>
        <v>0.63582994896973277</v>
      </c>
      <c r="T117" s="70" t="s">
        <v>24</v>
      </c>
      <c r="U117" s="106"/>
      <c r="V117" s="90"/>
      <c r="W117" s="112">
        <f>_xll.qlInstrumentNPV(W98,_xll.qlInstrumentSetPricingEngine(W98,_xll.qlBachelierBlackCapFloorEngine(,Curve!$S$16,CapletCalibration!$D$20)))</f>
        <v>3.9924901124806276</v>
      </c>
      <c r="X117" s="112">
        <f>_xll.qlInstrumentNPV(X98,_xll.qlInstrumentSetPricingEngine(X98,_xll.qlBachelierBlackCapFloorEngine(,Curve!$S$16,CapletCalibration!$D$20)))</f>
        <v>7.1681480724667779</v>
      </c>
      <c r="Y117" s="112">
        <f>_xll.qlInstrumentNPV(Y98,_xll.qlInstrumentSetPricingEngine(Y98,_xll.qlBachelierBlackCapFloorEngine(,Curve!$S$16,CapletCalibration!$D$20)))</f>
        <v>10.141046323362939</v>
      </c>
      <c r="Z117" s="112">
        <f>_xll.qlInstrumentNPV(Z98,_xll.qlInstrumentSetPricingEngine(Z98,_xll.qlBachelierBlackCapFloorEngine(,Curve!$S$16,CapletCalibration!$D$20)))</f>
        <v>16.181702159563791</v>
      </c>
      <c r="AA117" s="113">
        <f>_xll.qlInstrumentNPV(AA98,_xll.qlInstrumentSetPricingEngine(AA98,_xll.qlBachelierBlackCapFloorEngine(,Curve!$S$16,CapletCalibration!$D$20)))</f>
        <v>16.832979039700177</v>
      </c>
      <c r="AB117" s="113">
        <f>_xll.qlInstrumentNPV(AB98,_xll.qlInstrumentSetPricingEngine(AB98,_xll.qlBachelierBlackCapFloorEngine(,Curve!$S$16,CapletCalibration!$D$20)))</f>
        <v>10.448181125324876</v>
      </c>
      <c r="AC117" s="113">
        <f>_xll.qlInstrumentNPV(AC98,_xll.qlInstrumentSetPricingEngine(AC98,_xll.qlBachelierBlackCapFloorEngine(,Curve!$S$16,CapletCalibration!$D$20)))</f>
        <v>5.2903487929334156</v>
      </c>
      <c r="AD117" s="113">
        <f>_xll.qlInstrumentNPV(AD98,_xll.qlInstrumentSetPricingEngine(AD98,_xll.qlBachelierBlackCapFloorEngine(,Curve!$S$16,CapletCalibration!$D$20)))</f>
        <v>2.5579427341826886</v>
      </c>
      <c r="AE117" s="113">
        <f>_xll.qlInstrumentNPV(AE98,_xll.qlInstrumentSetPricingEngine(AE98,_xll.qlBachelierBlackCapFloorEngine(,Curve!$S$16,CapletCalibration!$D$20)))</f>
        <v>1.834959908628885</v>
      </c>
      <c r="AF117" s="113">
        <f>_xll.qlInstrumentNPV(AF98,_xll.qlInstrumentSetPricingEngine(AF98,_xll.qlBachelierBlackCapFloorEngine(,Curve!$S$16,CapletCalibration!$D$20)))</f>
        <v>1.4435706191703239</v>
      </c>
      <c r="AG117" s="113">
        <f>_xll.qlInstrumentNPV(AG98,_xll.qlInstrumentSetPricingEngine(AG98,_xll.qlBachelierBlackCapFloorEngine(,Curve!$S$16,CapletCalibration!$D$20)))</f>
        <v>0.93174675642777371</v>
      </c>
      <c r="AH117" s="113">
        <f>_xll.qlInstrumentNPV(AH98,_xll.qlInstrumentSetPricingEngine(AH98,_xll.qlBachelierBlackCapFloorEngine(,Curve!$S$16,CapletCalibration!$D$20)))</f>
        <v>0.61279175364271332</v>
      </c>
      <c r="AI117" s="114">
        <f>_xll.qlInstrumentNPV(AI98,_xll.qlInstrumentSetPricingEngine(AI98,_xll.qlBachelierBlackCapFloorEngine(,Curve!$S$16,CapletCalibration!$D$20)))</f>
        <v>0.26920715655148164</v>
      </c>
    </row>
    <row r="118" spans="3:35">
      <c r="C118" s="70" t="s">
        <v>25</v>
      </c>
      <c r="D118" s="103"/>
      <c r="E118" s="107"/>
      <c r="F118" s="118">
        <f>_xll.qlInstrumentNPV(F99,_xll.qlInstrumentSetPricingEngine(F99,_xll.qlBachelierBlackCapFloorEngine2(,Curve!$S$16,F42%%)))</f>
        <v>7.5153104769522194</v>
      </c>
      <c r="G118" s="112">
        <f>_xll.qlInstrumentNPV(G99,_xll.qlInstrumentSetPricingEngine(G99,_xll.qlBachelierBlackCapFloorEngine2(,Curve!$S$16,G42%%)))</f>
        <v>11.459791321305055</v>
      </c>
      <c r="H118" s="112">
        <f>_xll.qlInstrumentNPV(H99,_xll.qlInstrumentSetPricingEngine(H99,_xll.qlBachelierBlackCapFloorEngine2(,Curve!$S$16,H42%%)))</f>
        <v>14.623539167738997</v>
      </c>
      <c r="I118" s="112">
        <f>_xll.qlInstrumentNPV(I99,_xll.qlInstrumentSetPricingEngine(I99,_xll.qlBachelierBlackCapFloorEngine2(,Curve!$S$16,I42%%)))</f>
        <v>20.230122094798439</v>
      </c>
      <c r="J118" s="112">
        <f>_xll.qlInstrumentNPV(J99,_xll.qlInstrumentSetPricingEngine(J99,_xll.qlBachelierBlackCapFloorEngine2(,Curve!$S$16,J42%%)))</f>
        <v>31.887124639813173</v>
      </c>
      <c r="K118" s="112">
        <f>_xll.qlInstrumentNPV(K99,_xll.qlInstrumentSetPricingEngine(K99,_xll.qlBachelierBlackCapFloorEngine2(,Curve!$S$16,K42%%)))</f>
        <v>46.488212230841398</v>
      </c>
      <c r="L118" s="113">
        <f>_xll.qlInstrumentNPV(L99,_xll.qlInstrumentSetPricingEngine(L99,_xll.qlBachelierBlackCapFloorEngine2(,Curve!$S$16,L42%%)))</f>
        <v>30.185114090796613</v>
      </c>
      <c r="M118" s="113">
        <f>_xll.qlInstrumentNPV(M99,_xll.qlInstrumentSetPricingEngine(M99,_xll.qlBachelierBlackCapFloorEngine2(,Curve!$S$16,M42%%)))</f>
        <v>15.074794275113284</v>
      </c>
      <c r="N118" s="113">
        <f>_xll.qlInstrumentNPV(N99,_xll.qlInstrumentSetPricingEngine(N99,_xll.qlBachelierBlackCapFloorEngine2(,Curve!$S$16,N42%%)))</f>
        <v>9.6742202627307439</v>
      </c>
      <c r="O118" s="113">
        <f>_xll.qlInstrumentNPV(O99,_xll.qlInstrumentSetPricingEngine(O99,_xll.qlBachelierBlackCapFloorEngine2(,Curve!$S$16,O42%%)))</f>
        <v>7.0464086032200512</v>
      </c>
      <c r="P118" s="113">
        <f>_xll.qlInstrumentNPV(P99,_xll.qlInstrumentSetPricingEngine(P99,_xll.qlBachelierBlackCapFloorEngine2(,Curve!$S$16,P42%%)))</f>
        <v>4.3492531155552498</v>
      </c>
      <c r="Q118" s="113">
        <f>_xll.qlInstrumentNPV(Q99,_xll.qlInstrumentSetPricingEngine(Q99,_xll.qlBachelierBlackCapFloorEngine2(,Curve!$S$16,Q42%%)))</f>
        <v>2.5047230098983486</v>
      </c>
      <c r="R118" s="114">
        <f>_xll.qlInstrumentNPV(R99,_xll.qlInstrumentSetPricingEngine(R99,_xll.qlBachelierBlackCapFloorEngine2(,Curve!$S$16,R42%%)))</f>
        <v>1.0843839111539979</v>
      </c>
      <c r="T118" s="70" t="s">
        <v>25</v>
      </c>
      <c r="U118" s="103"/>
      <c r="V118" s="107"/>
      <c r="W118" s="112">
        <f>_xll.qlInstrumentNPV(W99,_xll.qlInstrumentSetPricingEngine(W99,_xll.qlBachelierBlackCapFloorEngine(,Curve!$S$16,CapletCalibration!$D$20)))</f>
        <v>7.5117193414911494</v>
      </c>
      <c r="X118" s="112">
        <f>_xll.qlInstrumentNPV(X99,_xll.qlInstrumentSetPricingEngine(X99,_xll.qlBachelierBlackCapFloorEngine(,Curve!$S$16,CapletCalibration!$D$20)))</f>
        <v>11.447720965768564</v>
      </c>
      <c r="Y118" s="112">
        <f>_xll.qlInstrumentNPV(Y99,_xll.qlInstrumentSetPricingEngine(Y99,_xll.qlBachelierBlackCapFloorEngine(,Curve!$S$16,CapletCalibration!$D$20)))</f>
        <v>14.605721779401698</v>
      </c>
      <c r="Z118" s="112">
        <f>_xll.qlInstrumentNPV(Z99,_xll.qlInstrumentSetPricingEngine(Z99,_xll.qlBachelierBlackCapFloorEngine(,Curve!$S$16,CapletCalibration!$D$20)))</f>
        <v>20.205935520224308</v>
      </c>
      <c r="AA118" s="112">
        <f>_xll.qlInstrumentNPV(AA99,_xll.qlInstrumentSetPricingEngine(AA99,_xll.qlBachelierBlackCapFloorEngine(,Curve!$S$16,CapletCalibration!$D$20)))</f>
        <v>31.861977223296371</v>
      </c>
      <c r="AB118" s="112">
        <f>_xll.qlInstrumentNPV(AB99,_xll.qlInstrumentSetPricingEngine(AB99,_xll.qlBachelierBlackCapFloorEngine(,Curve!$S$16,CapletCalibration!$D$20)))</f>
        <v>46.464959111777965</v>
      </c>
      <c r="AC118" s="113">
        <f>_xll.qlInstrumentNPV(AC99,_xll.qlInstrumentSetPricingEngine(AC99,_xll.qlBachelierBlackCapFloorEngine(,Curve!$S$16,CapletCalibration!$D$20)))</f>
        <v>30.173834829196238</v>
      </c>
      <c r="AD118" s="113">
        <f>_xll.qlInstrumentNPV(AD99,_xll.qlInstrumentSetPricingEngine(AD99,_xll.qlBachelierBlackCapFloorEngine(,Curve!$S$16,CapletCalibration!$D$20)))</f>
        <v>15.072772558557354</v>
      </c>
      <c r="AE118" s="113">
        <f>_xll.qlInstrumentNPV(AE99,_xll.qlInstrumentSetPricingEngine(AE99,_xll.qlBachelierBlackCapFloorEngine(,Curve!$S$16,CapletCalibration!$D$20)))</f>
        <v>9.6729086182978907</v>
      </c>
      <c r="AF118" s="113">
        <f>_xll.qlInstrumentNPV(AF99,_xll.qlInstrumentSetPricingEngine(AF99,_xll.qlBachelierBlackCapFloorEngine(,Curve!$S$16,CapletCalibration!$D$20)))</f>
        <v>7.0449379343153655</v>
      </c>
      <c r="AG118" s="113">
        <f>_xll.qlInstrumentNPV(AG99,_xll.qlInstrumentSetPricingEngine(AG99,_xll.qlBachelierBlackCapFloorEngine(,Curve!$S$16,CapletCalibration!$D$20)))</f>
        <v>4.3475876035684919</v>
      </c>
      <c r="AH118" s="113">
        <f>_xll.qlInstrumentNPV(AH99,_xll.qlInstrumentSetPricingEngine(AH99,_xll.qlBachelierBlackCapFloorEngine(,Curve!$S$16,CapletCalibration!$D$20)))</f>
        <v>2.5022026799287458</v>
      </c>
      <c r="AI118" s="114">
        <f>_xll.qlInstrumentNPV(AI99,_xll.qlInstrumentSetPricingEngine(AI99,_xll.qlBachelierBlackCapFloorEngine(,Curve!$S$16,CapletCalibration!$D$20)))</f>
        <v>1.082559277957112</v>
      </c>
    </row>
    <row r="119" spans="3:35">
      <c r="C119" s="70" t="s">
        <v>26</v>
      </c>
      <c r="D119" s="103"/>
      <c r="E119" s="107"/>
      <c r="F119" s="112">
        <f>_xll.qlInstrumentNPV(F100,_xll.qlInstrumentSetPricingEngine(F100,_xll.qlBachelierBlackCapFloorEngine2(,Curve!$S$16,F43%%)))</f>
        <v>16.004281367049053</v>
      </c>
      <c r="G119" s="112">
        <f>_xll.qlInstrumentNPV(G100,_xll.qlInstrumentSetPricingEngine(G100,_xll.qlBachelierBlackCapFloorEngine2(,Curve!$S$16,G43%%)))</f>
        <v>22.584673464914378</v>
      </c>
      <c r="H119" s="112">
        <f>_xll.qlInstrumentNPV(H100,_xll.qlInstrumentSetPricingEngine(H100,_xll.qlBachelierBlackCapFloorEngine2(,Curve!$S$16,H43%%)))</f>
        <v>27.42810533119</v>
      </c>
      <c r="I119" s="112">
        <f>_xll.qlInstrumentNPV(I100,_xll.qlInstrumentSetPricingEngine(I100,_xll.qlBachelierBlackCapFloorEngine2(,Curve!$S$16,I43%%)))</f>
        <v>35.266990957735651</v>
      </c>
      <c r="J119" s="112">
        <f>_xll.qlInstrumentNPV(J100,_xll.qlInstrumentSetPricingEngine(J100,_xll.qlBachelierBlackCapFloorEngine2(,Curve!$S$16,J43%%)))</f>
        <v>49.618063234864017</v>
      </c>
      <c r="K119" s="112">
        <f>_xll.qlInstrumentNPV(K100,_xll.qlInstrumentSetPricingEngine(K100,_xll.qlBachelierBlackCapFloorEngine2(,Curve!$S$16,K43%%)))</f>
        <v>67.159796676536928</v>
      </c>
      <c r="L119" s="113">
        <f>_xll.qlInstrumentNPV(L100,_xll.qlInstrumentSetPricingEngine(L100,_xll.qlBachelierBlackCapFloorEngine2(,Curve!$S$16,L43%%)))</f>
        <v>85.570374454285968</v>
      </c>
      <c r="M119" s="113">
        <f>_xll.qlInstrumentNPV(M100,_xll.qlInstrumentSetPricingEngine(M100,_xll.qlBachelierBlackCapFloorEngine2(,Curve!$S$16,M43%%)))</f>
        <v>46.501629676012904</v>
      </c>
      <c r="N119" s="113">
        <f>_xll.qlInstrumentNPV(N100,_xll.qlInstrumentSetPricingEngine(N100,_xll.qlBachelierBlackCapFloorEngine2(,Curve!$S$16,N43%%)))</f>
        <v>28.674083575870657</v>
      </c>
      <c r="O119" s="113">
        <f>_xll.qlInstrumentNPV(O100,_xll.qlInstrumentSetPricingEngine(O100,_xll.qlBachelierBlackCapFloorEngine2(,Curve!$S$16,O43%%)))</f>
        <v>19.817865155311942</v>
      </c>
      <c r="P119" s="113">
        <f>_xll.qlInstrumentNPV(P100,_xll.qlInstrumentSetPricingEngine(P100,_xll.qlBachelierBlackCapFloorEngine2(,Curve!$S$16,P43%%)))</f>
        <v>11.563754647851077</v>
      </c>
      <c r="Q119" s="113">
        <f>_xll.qlInstrumentNPV(Q100,_xll.qlInstrumentSetPricingEngine(Q100,_xll.qlBachelierBlackCapFloorEngine2(,Curve!$S$16,Q43%%)))</f>
        <v>5.5794343532825028</v>
      </c>
      <c r="R119" s="114">
        <f>_xll.qlInstrumentNPV(R100,_xll.qlInstrumentSetPricingEngine(R100,_xll.qlBachelierBlackCapFloorEngine2(,Curve!$S$16,R43%%)))</f>
        <v>2.0856302954550063</v>
      </c>
      <c r="T119" s="70" t="s">
        <v>26</v>
      </c>
      <c r="U119" s="103"/>
      <c r="V119" s="107"/>
      <c r="W119" s="112">
        <f>_xll.qlInstrumentNPV(W100,_xll.qlInstrumentSetPricingEngine(W100,_xll.qlBachelierBlackCapFloorEngine(,Curve!$S$16,CapletCalibration!$D$20)))</f>
        <v>16.004885386312033</v>
      </c>
      <c r="X119" s="112">
        <f>_xll.qlInstrumentNPV(X100,_xll.qlInstrumentSetPricingEngine(X100,_xll.qlBachelierBlackCapFloorEngine(,Curve!$S$16,CapletCalibration!$D$20)))</f>
        <v>22.578546678922599</v>
      </c>
      <c r="Y119" s="112">
        <f>_xll.qlInstrumentNPV(Y100,_xll.qlInstrumentSetPricingEngine(Y100,_xll.qlBachelierBlackCapFloorEngine(,Curve!$S$16,CapletCalibration!$D$20)))</f>
        <v>27.417778318454719</v>
      </c>
      <c r="Z119" s="112">
        <f>_xll.qlInstrumentNPV(Z100,_xll.qlInstrumentSetPricingEngine(Z100,_xll.qlBachelierBlackCapFloorEngine(,Curve!$S$16,CapletCalibration!$D$20)))</f>
        <v>35.252126338910614</v>
      </c>
      <c r="AA119" s="112">
        <f>_xll.qlInstrumentNPV(AA100,_xll.qlInstrumentSetPricingEngine(AA100,_xll.qlBachelierBlackCapFloorEngine(,Curve!$S$16,CapletCalibration!$D$20)))</f>
        <v>49.601956964073203</v>
      </c>
      <c r="AB119" s="112">
        <f>_xll.qlInstrumentNPV(AB100,_xll.qlInstrumentSetPricingEngine(AB100,_xll.qlBachelierBlackCapFloorEngine(,Curve!$S$16,CapletCalibration!$D$20)))</f>
        <v>67.144330764627824</v>
      </c>
      <c r="AC119" s="113">
        <f>_xll.qlInstrumentNPV(AC100,_xll.qlInstrumentSetPricingEngine(AC100,_xll.qlBachelierBlackCapFloorEngine(,Curve!$S$16,CapletCalibration!$D$20)))</f>
        <v>85.567412057279185</v>
      </c>
      <c r="AD119" s="113">
        <f>_xll.qlInstrumentNPV(AD100,_xll.qlInstrumentSetPricingEngine(AD100,_xll.qlBachelierBlackCapFloorEngine(,Curve!$S$16,CapletCalibration!$D$20)))</f>
        <v>46.512028461500009</v>
      </c>
      <c r="AE119" s="113">
        <f>_xll.qlInstrumentNPV(AE100,_xll.qlInstrumentSetPricingEngine(AE100,_xll.qlBachelierBlackCapFloorEngine(,Curve!$S$16,CapletCalibration!$D$20)))</f>
        <v>28.685868102527451</v>
      </c>
      <c r="AF119" s="113">
        <f>_xll.qlInstrumentNPV(AF100,_xll.qlInstrumentSetPricingEngine(AF100,_xll.qlBachelierBlackCapFloorEngine(,Curve!$S$16,CapletCalibration!$D$20)))</f>
        <v>19.810884083177857</v>
      </c>
      <c r="AG119" s="113">
        <f>_xll.qlInstrumentNPV(AG100,_xll.qlInstrumentSetPricingEngine(AG100,_xll.qlBachelierBlackCapFloorEngine(,Curve!$S$16,CapletCalibration!$D$20)))</f>
        <v>11.557629831814928</v>
      </c>
      <c r="AH119" s="113">
        <f>_xll.qlInstrumentNPV(AH100,_xll.qlInstrumentSetPricingEngine(AH100,_xll.qlBachelierBlackCapFloorEngine(,Curve!$S$16,CapletCalibration!$D$20)))</f>
        <v>5.5736007475502376</v>
      </c>
      <c r="AI119" s="114">
        <f>_xll.qlInstrumentNPV(AI100,_xll.qlInstrumentSetPricingEngine(AI100,_xll.qlBachelierBlackCapFloorEngine(,Curve!$S$16,CapletCalibration!$D$20)))</f>
        <v>2.0822817125586486</v>
      </c>
    </row>
    <row r="120" spans="3:35">
      <c r="C120" s="70" t="s">
        <v>27</v>
      </c>
      <c r="D120" s="103"/>
      <c r="E120" s="107"/>
      <c r="F120" s="112">
        <f>_xll.qlInstrumentNPV(F101,_xll.qlInstrumentSetPricingEngine(F101,_xll.qlBachelierBlackCapFloorEngine2(,Curve!$S$16,F44%%)))</f>
        <v>28.225670988411533</v>
      </c>
      <c r="G120" s="112">
        <f>_xll.qlInstrumentNPV(G101,_xll.qlInstrumentSetPricingEngine(G101,_xll.qlBachelierBlackCapFloorEngine2(,Curve!$S$16,G44%%)))</f>
        <v>37.685214788953608</v>
      </c>
      <c r="H120" s="112">
        <f>_xll.qlInstrumentNPV(H101,_xll.qlInstrumentSetPricingEngine(H101,_xll.qlBachelierBlackCapFloorEngine2(,Curve!$S$16,H44%%)))</f>
        <v>44.084334037251516</v>
      </c>
      <c r="I120" s="112">
        <f>_xll.qlInstrumentNPV(I101,_xll.qlInstrumentSetPricingEngine(I101,_xll.qlBachelierBlackCapFloorEngine2(,Curve!$S$16,I44%%)))</f>
        <v>53.910677825187079</v>
      </c>
      <c r="J120" s="112">
        <f>_xll.qlInstrumentNPV(J101,_xll.qlInstrumentSetPricingEngine(J101,_xll.qlBachelierBlackCapFloorEngine2(,Curve!$S$16,J44%%)))</f>
        <v>70.368197963569358</v>
      </c>
      <c r="K120" s="112">
        <f>_xll.qlInstrumentNPV(K101,_xll.qlInstrumentSetPricingEngine(K101,_xll.qlBachelierBlackCapFloorEngine2(,Curve!$S$16,K44%%)))</f>
        <v>90.429985503860337</v>
      </c>
      <c r="L120" s="112">
        <f>_xll.qlInstrumentNPV(L101,_xll.qlInstrumentSetPricingEngine(L101,_xll.qlBachelierBlackCapFloorEngine2(,Curve!$S$16,L44%%)))</f>
        <v>149.5265193300057</v>
      </c>
      <c r="M120" s="113">
        <f>_xll.qlInstrumentNPV(M101,_xll.qlInstrumentSetPricingEngine(M101,_xll.qlBachelierBlackCapFloorEngine2(,Curve!$S$16,M44%%)))</f>
        <v>106.2085289662802</v>
      </c>
      <c r="N120" s="113">
        <f>_xll.qlInstrumentNPV(N101,_xll.qlInstrumentSetPricingEngine(N101,_xll.qlBachelierBlackCapFloorEngine2(,Curve!$S$16,N44%%)))</f>
        <v>66.373052650054575</v>
      </c>
      <c r="O120" s="113">
        <f>_xll.qlInstrumentNPV(O101,_xll.qlInstrumentSetPricingEngine(O101,_xll.qlBachelierBlackCapFloorEngine2(,Curve!$S$16,O44%%)))</f>
        <v>44.480013415525761</v>
      </c>
      <c r="P120" s="113">
        <f>_xll.qlInstrumentNPV(P101,_xll.qlInstrumentSetPricingEngine(P101,_xll.qlBachelierBlackCapFloorEngine2(,Curve!$S$16,P44%%)))</f>
        <v>24.113681187243031</v>
      </c>
      <c r="Q120" s="113">
        <f>_xll.qlInstrumentNPV(Q101,_xll.qlInstrumentSetPricingEngine(Q101,_xll.qlBachelierBlackCapFloorEngine2(,Curve!$S$16,Q44%%)))</f>
        <v>10.857086105145534</v>
      </c>
      <c r="R120" s="114">
        <f>_xll.qlInstrumentNPV(R101,_xll.qlInstrumentSetPricingEngine(R101,_xll.qlBachelierBlackCapFloorEngine2(,Curve!$S$16,R44%%)))</f>
        <v>3.4368176460900499</v>
      </c>
      <c r="T120" s="70" t="s">
        <v>27</v>
      </c>
      <c r="U120" s="103"/>
      <c r="V120" s="107"/>
      <c r="W120" s="112">
        <f>_xll.qlInstrumentNPV(W101,_xll.qlInstrumentSetPricingEngine(W101,_xll.qlBachelierBlackCapFloorEngine(,Curve!$S$16,CapletCalibration!$D$20)))</f>
        <v>28.231379804279811</v>
      </c>
      <c r="X120" s="112">
        <f>_xll.qlInstrumentNPV(X101,_xll.qlInstrumentSetPricingEngine(X101,_xll.qlBachelierBlackCapFloorEngine(,Curve!$S$16,CapletCalibration!$D$20)))</f>
        <v>37.692480016949773</v>
      </c>
      <c r="Y120" s="112">
        <f>_xll.qlInstrumentNPV(Y101,_xll.qlInstrumentSetPricingEngine(Y101,_xll.qlBachelierBlackCapFloorEngine(,Curve!$S$16,CapletCalibration!$D$20)))</f>
        <v>44.092506320826985</v>
      </c>
      <c r="Z120" s="112">
        <f>_xll.qlInstrumentNPV(Z101,_xll.qlInstrumentSetPricingEngine(Z101,_xll.qlBachelierBlackCapFloorEngine(,Curve!$S$16,CapletCalibration!$D$20)))</f>
        <v>53.919991941848018</v>
      </c>
      <c r="AA120" s="112">
        <f>_xll.qlInstrumentNPV(AA101,_xll.qlInstrumentSetPricingEngine(AA101,_xll.qlBachelierBlackCapFloorEngine(,Curve!$S$16,CapletCalibration!$D$20)))</f>
        <v>70.378788799763029</v>
      </c>
      <c r="AB120" s="112">
        <f>_xll.qlInstrumentNPV(AB101,_xll.qlInstrumentSetPricingEngine(AB101,_xll.qlBachelierBlackCapFloorEngine(,Curve!$S$16,CapletCalibration!$D$20)))</f>
        <v>90.441920300299472</v>
      </c>
      <c r="AC120" s="112">
        <f>_xll.qlInstrumentNPV(AC101,_xll.qlInstrumentSetPricingEngine(AC101,_xll.qlBachelierBlackCapFloorEngine(,Curve!$S$16,CapletCalibration!$D$20)))</f>
        <v>149.54165402786401</v>
      </c>
      <c r="AD120" s="113">
        <f>_xll.qlInstrumentNPV(AD101,_xll.qlInstrumentSetPricingEngine(AD101,_xll.qlBachelierBlackCapFloorEngine(,Curve!$S$16,CapletCalibration!$D$20)))</f>
        <v>106.23080723730776</v>
      </c>
      <c r="AE120" s="113">
        <f>_xll.qlInstrumentNPV(AE101,_xll.qlInstrumentSetPricingEngine(AE101,_xll.qlBachelierBlackCapFloorEngine(,Curve!$S$16,CapletCalibration!$D$20)))</f>
        <v>66.401284780023133</v>
      </c>
      <c r="AF120" s="113">
        <f>_xll.qlInstrumentNPV(AF101,_xll.qlInstrumentSetPricingEngine(AF101,_xll.qlBachelierBlackCapFloorEngine(,Curve!$S$16,CapletCalibration!$D$20)))</f>
        <v>44.47153987421629</v>
      </c>
      <c r="AG120" s="113">
        <f>_xll.qlInstrumentNPV(AG101,_xll.qlInstrumentSetPricingEngine(AG101,_xll.qlBachelierBlackCapFloorEngine(,Curve!$S$16,CapletCalibration!$D$20)))</f>
        <v>24.109286274669643</v>
      </c>
      <c r="AH120" s="113">
        <f>_xll.qlInstrumentNPV(AH101,_xll.qlInstrumentSetPricingEngine(AH101,_xll.qlBachelierBlackCapFloorEngine(,Curve!$S$16,CapletCalibration!$D$20)))</f>
        <v>10.855436761243659</v>
      </c>
      <c r="AI120" s="114">
        <f>_xll.qlInstrumentNPV(AI101,_xll.qlInstrumentSetPricingEngine(AI101,_xll.qlBachelierBlackCapFloorEngine(,Curve!$S$16,CapletCalibration!$D$20)))</f>
        <v>3.4364538163059057</v>
      </c>
    </row>
    <row r="121" spans="3:35">
      <c r="C121" s="70" t="s">
        <v>28</v>
      </c>
      <c r="D121" s="103"/>
      <c r="E121" s="107"/>
      <c r="F121" s="112">
        <f>_xll.qlInstrumentNPV(F102,_xll.qlInstrumentSetPricingEngine(F102,_xll.qlBachelierBlackCapFloorEngine2(,Curve!$S$16,F45%%)))</f>
        <v>46.401559916191694</v>
      </c>
      <c r="G121" s="112">
        <f>_xll.qlInstrumentNPV(G102,_xll.qlInstrumentSetPricingEngine(G102,_xll.qlBachelierBlackCapFloorEngine2(,Curve!$S$16,G45%%)))</f>
        <v>58.752243162523534</v>
      </c>
      <c r="H121" s="112">
        <f>_xll.qlInstrumentNPV(H102,_xll.qlInstrumentSetPricingEngine(H102,_xll.qlBachelierBlackCapFloorEngine2(,Curve!$S$16,H45%%)))</f>
        <v>66.923362310051672</v>
      </c>
      <c r="I121" s="112">
        <f>_xll.qlInstrumentNPV(I102,_xll.qlInstrumentSetPricingEngine(I102,_xll.qlBachelierBlackCapFloorEngine2(,Curve!$S$16,I45%%)))</f>
        <v>78.41989674622144</v>
      </c>
      <c r="J121" s="112">
        <f>_xll.qlInstrumentNPV(J102,_xll.qlInstrumentSetPricingEngine(J102,_xll.qlBachelierBlackCapFloorEngine2(,Curve!$S$16,J45%%)))</f>
        <v>97.282695038925084</v>
      </c>
      <c r="K121" s="112">
        <f>_xll.qlInstrumentNPV(K102,_xll.qlInstrumentSetPricingEngine(K102,_xll.qlBachelierBlackCapFloorEngine2(,Curve!$S$16,K45%%)))</f>
        <v>119.25375546171921</v>
      </c>
      <c r="L121" s="112">
        <f>_xll.qlInstrumentNPV(L102,_xll.qlInstrumentSetPricingEngine(L102,_xll.qlBachelierBlackCapFloorEngine2(,Curve!$S$16,L45%%)))</f>
        <v>183.21066988426605</v>
      </c>
      <c r="M121" s="113">
        <f>_xll.qlInstrumentNPV(M102,_xll.qlInstrumentSetPricingEngine(M102,_xll.qlBachelierBlackCapFloorEngine2(,Curve!$S$16,M45%%)))</f>
        <v>194.31104138386675</v>
      </c>
      <c r="N121" s="113">
        <f>_xll.qlInstrumentNPV(N102,_xll.qlInstrumentSetPricingEngine(N102,_xll.qlBachelierBlackCapFloorEngine2(,Curve!$S$16,N45%%)))</f>
        <v>125.46996797975746</v>
      </c>
      <c r="O121" s="113">
        <f>_xll.qlInstrumentNPV(O102,_xll.qlInstrumentSetPricingEngine(O102,_xll.qlBachelierBlackCapFloorEngine2(,Curve!$S$16,O45%%)))</f>
        <v>82.98221608956537</v>
      </c>
      <c r="P121" s="113">
        <f>_xll.qlInstrumentNPV(P102,_xll.qlInstrumentSetPricingEngine(P102,_xll.qlBachelierBlackCapFloorEngine2(,Curve!$S$16,P45%%)))</f>
        <v>42.141380155091916</v>
      </c>
      <c r="Q121" s="113">
        <f>_xll.qlInstrumentNPV(Q102,_xll.qlInstrumentSetPricingEngine(Q102,_xll.qlBachelierBlackCapFloorEngine2(,Curve!$S$16,Q45%%)))</f>
        <v>16.894807721383664</v>
      </c>
      <c r="R121" s="114">
        <f>_xll.qlInstrumentNPV(R102,_xll.qlInstrumentSetPricingEngine(R102,_xll.qlBachelierBlackCapFloorEngine2(,Curve!$S$16,R45%%)))</f>
        <v>5.049403101455292</v>
      </c>
      <c r="T121" s="70" t="s">
        <v>28</v>
      </c>
      <c r="U121" s="103"/>
      <c r="V121" s="107"/>
      <c r="W121" s="112">
        <f>_xll.qlInstrumentNPV(W102,_xll.qlInstrumentSetPricingEngine(W102,_xll.qlBachelierBlackCapFloorEngine(,Curve!$S$16,CapletCalibration!$D$20)))</f>
        <v>46.407268732049573</v>
      </c>
      <c r="X121" s="112">
        <f>_xll.qlInstrumentNPV(X102,_xll.qlInstrumentSetPricingEngine(X102,_xll.qlBachelierBlackCapFloorEngine(,Curve!$S$16,CapletCalibration!$D$20)))</f>
        <v>58.759508390522925</v>
      </c>
      <c r="Y121" s="112">
        <f>_xll.qlInstrumentNPV(Y102,_xll.qlInstrumentSetPricingEngine(Y102,_xll.qlBachelierBlackCapFloorEngine(,Curve!$S$16,CapletCalibration!$D$20)))</f>
        <v>66.931534593633401</v>
      </c>
      <c r="Z121" s="112">
        <f>_xll.qlInstrumentNPV(Z102,_xll.qlInstrumentSetPricingEngine(Z102,_xll.qlBachelierBlackCapFloorEngine(,Curve!$S$16,CapletCalibration!$D$20)))</f>
        <v>78.429210862887231</v>
      </c>
      <c r="AA121" s="112">
        <f>_xll.qlInstrumentNPV(AA102,_xll.qlInstrumentSetPricingEngine(AA102,_xll.qlBachelierBlackCapFloorEngine(,Curve!$S$16,CapletCalibration!$D$20)))</f>
        <v>97.293285875119295</v>
      </c>
      <c r="AB121" s="112">
        <f>_xll.qlInstrumentNPV(AB102,_xll.qlInstrumentSetPricingEngine(AB102,_xll.qlBachelierBlackCapFloorEngine(,Curve!$S$16,CapletCalibration!$D$20)))</f>
        <v>119.26569025815608</v>
      </c>
      <c r="AC121" s="112">
        <f>_xll.qlInstrumentNPV(AC102,_xll.qlInstrumentSetPricingEngine(AC102,_xll.qlBachelierBlackCapFloorEngine(,Curve!$S$16,CapletCalibration!$D$20)))</f>
        <v>183.22580458212374</v>
      </c>
      <c r="AD121" s="113">
        <f>_xll.qlInstrumentNPV(AD102,_xll.qlInstrumentSetPricingEngine(AD102,_xll.qlBachelierBlackCapFloorEngine(,Curve!$S$16,CapletCalibration!$D$20)))</f>
        <v>194.3333196548941</v>
      </c>
      <c r="AE121" s="113">
        <f>_xll.qlInstrumentNPV(AE102,_xll.qlInstrumentSetPricingEngine(AE102,_xll.qlBachelierBlackCapFloorEngine(,Curve!$S$16,CapletCalibration!$D$20)))</f>
        <v>125.49820010972601</v>
      </c>
      <c r="AF121" s="113">
        <f>_xll.qlInstrumentNPV(AF102,_xll.qlInstrumentSetPricingEngine(AF102,_xll.qlBachelierBlackCapFloorEngine(,Curve!$S$16,CapletCalibration!$D$20)))</f>
        <v>82.973742548256567</v>
      </c>
      <c r="AG121" s="113">
        <f>_xll.qlInstrumentNPV(AG102,_xll.qlInstrumentSetPricingEngine(AG102,_xll.qlBachelierBlackCapFloorEngine(,Curve!$S$16,CapletCalibration!$D$20)))</f>
        <v>42.136985242516324</v>
      </c>
      <c r="AH121" s="113">
        <f>_xll.qlInstrumentNPV(AH102,_xll.qlInstrumentSetPricingEngine(AH102,_xll.qlBachelierBlackCapFloorEngine(,Curve!$S$16,CapletCalibration!$D$20)))</f>
        <v>16.893158377404127</v>
      </c>
      <c r="AI121" s="114">
        <f>_xll.qlInstrumentNPV(AI102,_xll.qlInstrumentSetPricingEngine(AI102,_xll.qlBachelierBlackCapFloorEngine(,Curve!$S$16,CapletCalibration!$D$20)))</f>
        <v>5.0490392713167216</v>
      </c>
    </row>
    <row r="122" spans="3:35">
      <c r="C122" s="70" t="s">
        <v>29</v>
      </c>
      <c r="D122" s="103"/>
      <c r="E122" s="107"/>
      <c r="F122" s="112">
        <f>_xll.qlInstrumentNPV(F103,_xll.qlInstrumentSetPricingEngine(F103,_xll.qlBachelierBlackCapFloorEngine2(,Curve!$S$16,F46%%)))</f>
        <v>67.705275877002322</v>
      </c>
      <c r="G122" s="112">
        <f>_xll.qlInstrumentNPV(G103,_xll.qlInstrumentSetPricingEngine(G103,_xll.qlBachelierBlackCapFloorEngine2(,Curve!$S$16,G46%%)))</f>
        <v>83.073006812810732</v>
      </c>
      <c r="H122" s="112">
        <f>_xll.qlInstrumentNPV(H103,_xll.qlInstrumentSetPricingEngine(H103,_xll.qlBachelierBlackCapFloorEngine2(,Curve!$S$16,H46%%)))</f>
        <v>92.730164828686455</v>
      </c>
      <c r="I122" s="112">
        <f>_xll.qlInstrumentNPV(I103,_xll.qlInstrumentSetPricingEngine(I103,_xll.qlBachelierBlackCapFloorEngine2(,Curve!$S$16,I46%%)))</f>
        <v>105.98737650109956</v>
      </c>
      <c r="J122" s="112">
        <f>_xll.qlInstrumentNPV(J103,_xll.qlInstrumentSetPricingEngine(J103,_xll.qlBachelierBlackCapFloorEngine2(,Curve!$S$16,J46%%)))</f>
        <v>126.65070371838459</v>
      </c>
      <c r="K122" s="112">
        <f>_xll.qlInstrumentNPV(K103,_xll.qlInstrumentSetPricingEngine(K103,_xll.qlBachelierBlackCapFloorEngine2(,Curve!$S$16,K46%%)))</f>
        <v>150.82671601053315</v>
      </c>
      <c r="L122" s="112">
        <f>_xll.qlInstrumentNPV(L103,_xll.qlInstrumentSetPricingEngine(L103,_xll.qlBachelierBlackCapFloorEngine2(,Curve!$S$16,L46%%)))</f>
        <v>219.59358585319356</v>
      </c>
      <c r="M122" s="113">
        <f>_xll.qlInstrumentNPV(M103,_xll.qlInstrumentSetPricingEngine(M103,_xll.qlBachelierBlackCapFloorEngine2(,Curve!$S$16,M46%%)))</f>
        <v>306.11055875038471</v>
      </c>
      <c r="N122" s="113">
        <f>_xll.qlInstrumentNPV(N103,_xll.qlInstrumentSetPricingEngine(N103,_xll.qlBachelierBlackCapFloorEngine2(,Curve!$S$16,N46%%)))</f>
        <v>205.85198772241071</v>
      </c>
      <c r="O122" s="113">
        <f>_xll.qlInstrumentNPV(O103,_xll.qlInstrumentSetPricingEngine(O103,_xll.qlBachelierBlackCapFloorEngine2(,Curve!$S$16,O46%%)))</f>
        <v>139.0873877165231</v>
      </c>
      <c r="P122" s="113">
        <f>_xll.qlInstrumentNPV(P103,_xll.qlInstrumentSetPricingEngine(P103,_xll.qlBachelierBlackCapFloorEngine2(,Curve!$S$16,P46%%)))</f>
        <v>70.526688409588616</v>
      </c>
      <c r="Q122" s="113">
        <f>_xll.qlInstrumentNPV(Q103,_xll.qlInstrumentSetPricingEngine(Q103,_xll.qlBachelierBlackCapFloorEngine2(,Curve!$S$16,Q46%%)))</f>
        <v>27.851463398560597</v>
      </c>
      <c r="R122" s="114">
        <f>_xll.qlInstrumentNPV(R103,_xll.qlInstrumentSetPricingEngine(R103,_xll.qlBachelierBlackCapFloorEngine2(,Curve!$S$16,R46%%)))</f>
        <v>8.3525434529550093</v>
      </c>
      <c r="T122" s="70" t="s">
        <v>29</v>
      </c>
      <c r="U122" s="103"/>
      <c r="V122" s="107"/>
      <c r="W122" s="112">
        <f>_xll.qlInstrumentNPV(W103,_xll.qlInstrumentSetPricingEngine(W103,_xll.qlBachelierBlackCapFloorEngine(,Curve!$S$16,CapletCalibration!$D$20)))</f>
        <v>67.710984692851397</v>
      </c>
      <c r="X122" s="112">
        <f>_xll.qlInstrumentNPV(X103,_xll.qlInstrumentSetPricingEngine(X103,_xll.qlBachelierBlackCapFloorEngine(,Curve!$S$16,CapletCalibration!$D$20)))</f>
        <v>83.080272040814648</v>
      </c>
      <c r="Y122" s="112">
        <f>_xll.qlInstrumentNPV(Y103,_xll.qlInstrumentSetPricingEngine(Y103,_xll.qlBachelierBlackCapFloorEngine(,Curve!$S$16,CapletCalibration!$D$20)))</f>
        <v>92.738337112275062</v>
      </c>
      <c r="Z122" s="112">
        <f>_xll.qlInstrumentNPV(Z103,_xll.qlInstrumentSetPricingEngine(Z103,_xll.qlBachelierBlackCapFloorEngine(,Curve!$S$16,CapletCalibration!$D$20)))</f>
        <v>105.99669061777124</v>
      </c>
      <c r="AA122" s="112">
        <f>_xll.qlInstrumentNPV(AA103,_xll.qlInstrumentSetPricingEngine(AA103,_xll.qlBachelierBlackCapFloorEngine(,Curve!$S$16,CapletCalibration!$D$20)))</f>
        <v>126.66129455458123</v>
      </c>
      <c r="AB122" s="112">
        <f>_xll.qlInstrumentNPV(AB103,_xll.qlInstrumentSetPricingEngine(AB103,_xll.qlBachelierBlackCapFloorEngine(,Curve!$S$16,CapletCalibration!$D$20)))</f>
        <v>150.83865080696881</v>
      </c>
      <c r="AC122" s="112">
        <f>_xll.qlInstrumentNPV(AC103,_xll.qlInstrumentSetPricingEngine(AC103,_xll.qlBachelierBlackCapFloorEngine(,Curve!$S$16,CapletCalibration!$D$20)))</f>
        <v>219.60872055104895</v>
      </c>
      <c r="AD122" s="113">
        <f>_xll.qlInstrumentNPV(AD103,_xll.qlInstrumentSetPricingEngine(AD103,_xll.qlBachelierBlackCapFloorEngine(,Curve!$S$16,CapletCalibration!$D$20)))</f>
        <v>306.13283702141246</v>
      </c>
      <c r="AE122" s="113">
        <f>_xll.qlInstrumentNPV(AE103,_xll.qlInstrumentSetPricingEngine(AE103,_xll.qlBachelierBlackCapFloorEngine(,Curve!$S$16,CapletCalibration!$D$20)))</f>
        <v>205.88021985237964</v>
      </c>
      <c r="AF122" s="113">
        <f>_xll.qlInstrumentNPV(AF103,_xll.qlInstrumentSetPricingEngine(AF103,_xll.qlBachelierBlackCapFloorEngine(,Curve!$S$16,CapletCalibration!$D$20)))</f>
        <v>139.07891417521424</v>
      </c>
      <c r="AG122" s="113">
        <f>_xll.qlInstrumentNPV(AG103,_xll.qlInstrumentSetPricingEngine(AG103,_xll.qlBachelierBlackCapFloorEngine(,Curve!$S$16,CapletCalibration!$D$20)))</f>
        <v>70.522293497013933</v>
      </c>
      <c r="AH122" s="113">
        <f>_xll.qlInstrumentNPV(AH103,_xll.qlInstrumentSetPricingEngine(AH103,_xll.qlBachelierBlackCapFloorEngine(,Curve!$S$16,CapletCalibration!$D$20)))</f>
        <v>27.849814054599772</v>
      </c>
      <c r="AI122" s="114">
        <f>_xll.qlInstrumentNPV(AI103,_xll.qlInstrumentSetPricingEngine(AI103,_xll.qlBachelierBlackCapFloorEngine(,Curve!$S$16,CapletCalibration!$D$20)))</f>
        <v>8.3521796228968519</v>
      </c>
    </row>
    <row r="123" spans="3:35">
      <c r="C123" s="70" t="s">
        <v>30</v>
      </c>
      <c r="D123" s="103"/>
      <c r="E123" s="107"/>
      <c r="F123" s="112">
        <f>_xll.qlInstrumentNPV(F104,_xll.qlInstrumentSetPricingEngine(F104,_xll.qlBachelierBlackCapFloorEngine2(,Curve!$S$16,F47%%)))</f>
        <v>88.641758889505482</v>
      </c>
      <c r="G123" s="112">
        <f>_xll.qlInstrumentNPV(G104,_xll.qlInstrumentSetPricingEngine(G104,_xll.qlBachelierBlackCapFloorEngine2(,Curve!$S$16,G47%%)))</f>
        <v>107.10540836720929</v>
      </c>
      <c r="H123" s="112">
        <f>_xll.qlInstrumentNPV(H104,_xll.qlInstrumentSetPricingEngine(H104,_xll.qlBachelierBlackCapFloorEngine2(,Curve!$S$16,H47%%)))</f>
        <v>118.05184915173885</v>
      </c>
      <c r="I123" s="112">
        <f>_xll.qlInstrumentNPV(I104,_xll.qlInstrumentSetPricingEngine(I104,_xll.qlBachelierBlackCapFloorEngine2(,Curve!$S$16,I47%%)))</f>
        <v>133.69011152714566</v>
      </c>
      <c r="J123" s="112">
        <f>_xll.qlInstrumentNPV(J104,_xll.qlInstrumentSetPricingEngine(J104,_xll.qlBachelierBlackCapFloorEngine2(,Curve!$S$16,J47%%)))</f>
        <v>156.05919866761155</v>
      </c>
      <c r="K123" s="112">
        <f>_xll.qlInstrumentNPV(K104,_xll.qlInstrumentSetPricingEngine(K104,_xll.qlBachelierBlackCapFloorEngine2(,Curve!$S$16,K47%%)))</f>
        <v>182.1433515710338</v>
      </c>
      <c r="L123" s="112">
        <f>_xll.qlInstrumentNPV(L104,_xll.qlInstrumentSetPricingEngine(L104,_xll.qlBachelierBlackCapFloorEngine2(,Curve!$S$16,L47%%)))</f>
        <v>255.09072284959112</v>
      </c>
      <c r="M123" s="113">
        <f>_xll.qlInstrumentNPV(M104,_xll.qlInstrumentSetPricingEngine(M104,_xll.qlBachelierBlackCapFloorEngine2(,Curve!$S$16,M47%%)))</f>
        <v>435.78430335579429</v>
      </c>
      <c r="N123" s="113">
        <f>_xll.qlInstrumentNPV(N104,_xll.qlInstrumentSetPricingEngine(N104,_xll.qlBachelierBlackCapFloorEngine2(,Curve!$S$16,N47%%)))</f>
        <v>303.16006030184923</v>
      </c>
      <c r="O123" s="113">
        <f>_xll.qlInstrumentNPV(O104,_xll.qlInstrumentSetPricingEngine(O104,_xll.qlBachelierBlackCapFloorEngine2(,Curve!$S$16,O47%%)))</f>
        <v>210.27053751557963</v>
      </c>
      <c r="P123" s="113">
        <f>_xll.qlInstrumentNPV(P104,_xll.qlInstrumentSetPricingEngine(P104,_xll.qlBachelierBlackCapFloorEngine2(,Curve!$S$16,P47%%)))</f>
        <v>108.37268142710042</v>
      </c>
      <c r="Q123" s="113">
        <f>_xll.qlInstrumentNPV(Q104,_xll.qlInstrumentSetPricingEngine(Q104,_xll.qlBachelierBlackCapFloorEngine2(,Curve!$S$16,Q47%%)))</f>
        <v>42.113354753049187</v>
      </c>
      <c r="R123" s="114">
        <f>_xll.qlInstrumentNPV(R104,_xll.qlInstrumentSetPricingEngine(R104,_xll.qlBachelierBlackCapFloorEngine2(,Curve!$S$16,R47%%)))</f>
        <v>12.365345184367216</v>
      </c>
      <c r="T123" s="70" t="s">
        <v>30</v>
      </c>
      <c r="U123" s="103"/>
      <c r="V123" s="107"/>
      <c r="W123" s="112">
        <f>_xll.qlInstrumentNPV(W104,_xll.qlInstrumentSetPricingEngine(W104,_xll.qlBachelierBlackCapFloorEngine(,Curve!$S$16,CapletCalibration!$D$20)))</f>
        <v>88.647467705340617</v>
      </c>
      <c r="X123" s="112">
        <f>_xll.qlInstrumentNPV(X104,_xll.qlInstrumentSetPricingEngine(X104,_xll.qlBachelierBlackCapFloorEngine(,Curve!$S$16,CapletCalibration!$D$20)))</f>
        <v>107.11267359521327</v>
      </c>
      <c r="Y123" s="112">
        <f>_xll.qlInstrumentNPV(Y104,_xll.qlInstrumentSetPricingEngine(Y104,_xll.qlBachelierBlackCapFloorEngine(,Curve!$S$16,CapletCalibration!$D$20)))</f>
        <v>118.06002143533223</v>
      </c>
      <c r="Z123" s="112">
        <f>_xll.qlInstrumentNPV(Z104,_xll.qlInstrumentSetPricingEngine(Z104,_xll.qlBachelierBlackCapFloorEngine(,Curve!$S$16,CapletCalibration!$D$20)))</f>
        <v>133.69942564382453</v>
      </c>
      <c r="AA123" s="112">
        <f>_xll.qlInstrumentNPV(AA104,_xll.qlInstrumentSetPricingEngine(AA104,_xll.qlBachelierBlackCapFloorEngine(,Curve!$S$16,CapletCalibration!$D$20)))</f>
        <v>156.06978950381358</v>
      </c>
      <c r="AB123" s="112">
        <f>_xll.qlInstrumentNPV(AB104,_xll.qlInstrumentSetPricingEngine(AB104,_xll.qlBachelierBlackCapFloorEngine(,Curve!$S$16,CapletCalibration!$D$20)))</f>
        <v>182.15528636747132</v>
      </c>
      <c r="AC123" s="112">
        <f>_xll.qlInstrumentNPV(AC104,_xll.qlInstrumentSetPricingEngine(AC104,_xll.qlBachelierBlackCapFloorEngine(,Curve!$S$16,CapletCalibration!$D$20)))</f>
        <v>255.10585754744358</v>
      </c>
      <c r="AD123" s="113">
        <f>_xll.qlInstrumentNPV(AD104,_xll.qlInstrumentSetPricingEngine(AD104,_xll.qlBachelierBlackCapFloorEngine(,Curve!$S$16,CapletCalibration!$D$20)))</f>
        <v>435.80658162682357</v>
      </c>
      <c r="AE123" s="113">
        <f>_xll.qlInstrumentNPV(AE104,_xll.qlInstrumentSetPricingEngine(AE104,_xll.qlBachelierBlackCapFloorEngine(,Curve!$S$16,CapletCalibration!$D$20)))</f>
        <v>303.18829243181824</v>
      </c>
      <c r="AF123" s="113">
        <f>_xll.qlInstrumentNPV(AF104,_xll.qlInstrumentSetPricingEngine(AF104,_xll.qlBachelierBlackCapFloorEngine(,Curve!$S$16,CapletCalibration!$D$20)))</f>
        <v>210.26206397427097</v>
      </c>
      <c r="AG123" s="113">
        <f>_xll.qlInstrumentNPV(AG104,_xll.qlInstrumentSetPricingEngine(AG104,_xll.qlBachelierBlackCapFloorEngine(,Curve!$S$16,CapletCalibration!$D$20)))</f>
        <v>108.36828651452424</v>
      </c>
      <c r="AH123" s="113">
        <f>_xll.qlInstrumentNPV(AH104,_xll.qlInstrumentSetPricingEngine(AH104,_xll.qlBachelierBlackCapFloorEngine(,Curve!$S$16,CapletCalibration!$D$20)))</f>
        <v>42.111705409119445</v>
      </c>
      <c r="AI123" s="114">
        <f>_xll.qlInstrumentNPV(AI104,_xll.qlInstrumentSetPricingEngine(AI104,_xll.qlBachelierBlackCapFloorEngine(,Curve!$S$16,CapletCalibration!$D$20)))</f>
        <v>12.364981354550014</v>
      </c>
    </row>
    <row r="124" spans="3:35">
      <c r="C124" s="70" t="s">
        <v>31</v>
      </c>
      <c r="D124" s="103"/>
      <c r="E124" s="107"/>
      <c r="F124" s="112">
        <f>_xll.qlInstrumentNPV(F105,_xll.qlInstrumentSetPricingEngine(F105,_xll.qlBachelierBlackCapFloorEngine2(,Curve!$S$16,F48%%)))</f>
        <v>108.06783305901794</v>
      </c>
      <c r="G124" s="112">
        <f>_xll.qlInstrumentNPV(G105,_xll.qlInstrumentSetPricingEngine(G105,_xll.qlBachelierBlackCapFloorEngine2(,Curve!$S$16,G48%%)))</f>
        <v>129.54969575990961</v>
      </c>
      <c r="H124" s="112">
        <f>_xll.qlInstrumentNPV(H105,_xll.qlInstrumentSetPricingEngine(H105,_xll.qlBachelierBlackCapFloorEngine2(,Curve!$S$16,H48%%)))</f>
        <v>142.09323303852409</v>
      </c>
      <c r="I124" s="112">
        <f>_xll.qlInstrumentNPV(I105,_xll.qlInstrumentSetPricingEngine(I105,_xll.qlBachelierBlackCapFloorEngine2(,Curve!$S$16,I48%%)))</f>
        <v>159.78111406493548</v>
      </c>
      <c r="J124" s="112">
        <f>_xll.qlInstrumentNPV(J105,_xll.qlInstrumentSetPricingEngine(J105,_xll.qlBachelierBlackCapFloorEngine2(,Curve!$S$16,J48%%)))</f>
        <v>183.97971191098569</v>
      </c>
      <c r="K124" s="112">
        <f>_xll.qlInstrumentNPV(K105,_xll.qlInstrumentSetPricingEngine(K105,_xll.qlBachelierBlackCapFloorEngine2(,Curve!$S$16,K48%%)))</f>
        <v>212.20919949479247</v>
      </c>
      <c r="L124" s="112">
        <f>_xll.qlInstrumentNPV(L105,_xll.qlInstrumentSetPricingEngine(L105,_xll.qlBachelierBlackCapFloorEngine2(,Curve!$S$16,L48%%)))</f>
        <v>290.14041871168604</v>
      </c>
      <c r="M124" s="118">
        <f>_xll.qlInstrumentNPV(M105,_xll.qlInstrumentSetPricingEngine(M105,_xll.qlBachelierBlackCapFloorEngine2(,Curve!$S$16,M48%%)))</f>
        <v>496.0367864237241</v>
      </c>
      <c r="N124" s="113">
        <f>_xll.qlInstrumentNPV(N105,_xll.qlInstrumentSetPricingEngine(N105,_xll.qlBachelierBlackCapFloorEngine2(,Curve!$S$16,N48%%)))</f>
        <v>411.90402273534136</v>
      </c>
      <c r="O124" s="113">
        <f>_xll.qlInstrumentNPV(O105,_xll.qlInstrumentSetPricingEngine(O105,_xll.qlBachelierBlackCapFloorEngine2(,Curve!$S$16,O48%%)))</f>
        <v>292.2260715452241</v>
      </c>
      <c r="P124" s="113">
        <f>_xll.qlInstrumentNPV(P105,_xll.qlInstrumentSetPricingEngine(P105,_xll.qlBachelierBlackCapFloorEngine2(,Curve!$S$16,P48%%)))</f>
        <v>154.18268883040275</v>
      </c>
      <c r="Q124" s="113">
        <f>_xll.qlInstrumentNPV(Q105,_xll.qlInstrumentSetPricingEngine(Q105,_xll.qlBachelierBlackCapFloorEngine2(,Curve!$S$16,Q48%%)))</f>
        <v>59.491560127605837</v>
      </c>
      <c r="R124" s="114">
        <f>_xll.qlInstrumentNPV(R105,_xll.qlInstrumentSetPricingEngine(R105,_xll.qlBachelierBlackCapFloorEngine2(,Curve!$S$16,R48%%)))</f>
        <v>15.610788792484563</v>
      </c>
      <c r="T124" s="70" t="s">
        <v>31</v>
      </c>
      <c r="U124" s="103"/>
      <c r="V124" s="107"/>
      <c r="W124" s="112">
        <f>_xll.qlInstrumentNPV(W105,_xll.qlInstrumentSetPricingEngine(W105,_xll.qlBachelierBlackCapFloorEngine(,Curve!$S$16,CapletCalibration!$D$20)))</f>
        <v>108.09959481758624</v>
      </c>
      <c r="X124" s="112">
        <f>_xll.qlInstrumentNPV(X105,_xll.qlInstrumentSetPricingEngine(X105,_xll.qlBachelierBlackCapFloorEngine(,Curve!$S$16,CapletCalibration!$D$20)))</f>
        <v>129.57535222146501</v>
      </c>
      <c r="Y124" s="112">
        <f>_xll.qlInstrumentNPV(Y105,_xll.qlInstrumentSetPricingEngine(Y105,_xll.qlBachelierBlackCapFloorEngine(,Curve!$S$16,CapletCalibration!$D$20)))</f>
        <v>142.11481159307414</v>
      </c>
      <c r="Z124" s="112">
        <f>_xll.qlInstrumentNPV(Z105,_xll.qlInstrumentSetPricingEngine(Z105,_xll.qlBachelierBlackCapFloorEngine(,Curve!$S$16,CapletCalibration!$D$20)))</f>
        <v>159.796880191067</v>
      </c>
      <c r="AA124" s="112">
        <f>_xll.qlInstrumentNPV(AA105,_xll.qlInstrumentSetPricingEngine(AA105,_xll.qlBachelierBlackCapFloorEngine(,Curve!$S$16,CapletCalibration!$D$20)))</f>
        <v>183.99403463795937</v>
      </c>
      <c r="AB124" s="112">
        <f>_xll.qlInstrumentNPV(AB105,_xll.qlInstrumentSetPricingEngine(AB105,_xll.qlBachelierBlackCapFloorEngine(,Curve!$S$16,CapletCalibration!$D$20)))</f>
        <v>212.22252980559236</v>
      </c>
      <c r="AC124" s="112">
        <f>_xll.qlInstrumentNPV(AC105,_xll.qlInstrumentSetPricingEngine(AC105,_xll.qlBachelierBlackCapFloorEngine(,Curve!$S$16,CapletCalibration!$D$20)))</f>
        <v>290.1622672007046</v>
      </c>
      <c r="AD124" s="118">
        <f>_xll.qlInstrumentNPV(AD105,_xll.qlInstrumentSetPricingEngine(AD105,_xll.qlBachelierBlackCapFloorEngine(,Curve!$S$16,CapletCalibration!$D$20)))</f>
        <v>496.0690985507527</v>
      </c>
      <c r="AE124" s="113">
        <f>_xll.qlInstrumentNPV(AE105,_xll.qlInstrumentSetPricingEngine(AE105,_xll.qlBachelierBlackCapFloorEngine(,Curve!$S$16,CapletCalibration!$D$20)))</f>
        <v>411.92630419195916</v>
      </c>
      <c r="AF124" s="113">
        <f>_xll.qlInstrumentNPV(AF105,_xll.qlInstrumentSetPricingEngine(AF105,_xll.qlBachelierBlackCapFloorEngine(,Curve!$S$16,CapletCalibration!$D$20)))</f>
        <v>292.22257798392866</v>
      </c>
      <c r="AG124" s="113">
        <f>_xll.qlInstrumentNPV(AG105,_xll.qlInstrumentSetPricingEngine(AG105,_xll.qlBachelierBlackCapFloorEngine(,Curve!$S$16,CapletCalibration!$D$20)))</f>
        <v>154.17966109712353</v>
      </c>
      <c r="AH124" s="113">
        <f>_xll.qlInstrumentNPV(AH105,_xll.qlInstrumentSetPricingEngine(AH105,_xll.qlBachelierBlackCapFloorEngine(,Curve!$S$16,CapletCalibration!$D$20)))</f>
        <v>59.49330522095282</v>
      </c>
      <c r="AI124" s="114">
        <f>_xll.qlInstrumentNPV(AI105,_xll.qlInstrumentSetPricingEngine(AI105,_xll.qlBachelierBlackCapFloorEngine(,Curve!$S$16,CapletCalibration!$D$20)))</f>
        <v>15.618997112918624</v>
      </c>
    </row>
    <row r="125" spans="3:35">
      <c r="C125" s="70" t="s">
        <v>32</v>
      </c>
      <c r="D125" s="103"/>
      <c r="E125" s="107"/>
      <c r="F125" s="112">
        <f>_xll.qlInstrumentNPV(F106,_xll.qlInstrumentSetPricingEngine(F106,_xll.qlBachelierBlackCapFloorEngine2(,Curve!$S$16,F49%%)))</f>
        <v>125.35333214067543</v>
      </c>
      <c r="G125" s="112">
        <f>_xll.qlInstrumentNPV(G106,_xll.qlInstrumentSetPricingEngine(G106,_xll.qlBachelierBlackCapFloorEngine2(,Curve!$S$16,G49%%)))</f>
        <v>150.37838502545006</v>
      </c>
      <c r="H125" s="112">
        <f>_xll.qlInstrumentNPV(H106,_xll.qlInstrumentSetPricingEngine(H106,_xll.qlBachelierBlackCapFloorEngine2(,Curve!$S$16,H49%%)))</f>
        <v>165.11766562207328</v>
      </c>
      <c r="I125" s="112">
        <f>_xll.qlInstrumentNPV(I106,_xll.qlInstrumentSetPricingEngine(I106,_xll.qlBachelierBlackCapFloorEngine2(,Curve!$S$16,I49%%)))</f>
        <v>184.38189170966581</v>
      </c>
      <c r="J125" s="112">
        <f>_xll.qlInstrumentNPV(J106,_xll.qlInstrumentSetPricingEngine(J106,_xll.qlBachelierBlackCapFloorEngine2(,Curve!$S$16,J49%%)))</f>
        <v>211.40673043779353</v>
      </c>
      <c r="K125" s="112">
        <f>_xll.qlInstrumentNPV(K106,_xll.qlInstrumentSetPricingEngine(K106,_xll.qlBachelierBlackCapFloorEngine2(,Curve!$S$16,K49%%)))</f>
        <v>241.68878986757366</v>
      </c>
      <c r="L125" s="112">
        <f>_xll.qlInstrumentNPV(L106,_xll.qlInstrumentSetPricingEngine(L106,_xll.qlBachelierBlackCapFloorEngine2(,Curve!$S$16,L49%%)))</f>
        <v>324.83069626748136</v>
      </c>
      <c r="M125" s="112">
        <f>_xll.qlInstrumentNPV(M106,_xll.qlInstrumentSetPricingEngine(M106,_xll.qlBachelierBlackCapFloorEngine2(,Curve!$S$16,M49%%)))</f>
        <v>543.2141655306242</v>
      </c>
      <c r="N125" s="113">
        <f>_xll.qlInstrumentNPV(N106,_xll.qlInstrumentSetPricingEngine(N106,_xll.qlBachelierBlackCapFloorEngine2(,Curve!$S$16,N49%%)))</f>
        <v>525.79544676868466</v>
      </c>
      <c r="O125" s="113">
        <f>_xll.qlInstrumentNPV(O106,_xll.qlInstrumentSetPricingEngine(O106,_xll.qlBachelierBlackCapFloorEngine2(,Curve!$S$16,O49%%)))</f>
        <v>381.1311756093744</v>
      </c>
      <c r="P125" s="113">
        <f>_xll.qlInstrumentNPV(P106,_xll.qlInstrumentSetPricingEngine(P106,_xll.qlBachelierBlackCapFloorEngine2(,Curve!$S$16,P49%%)))</f>
        <v>206.07445808213797</v>
      </c>
      <c r="Q125" s="113">
        <f>_xll.qlInstrumentNPV(Q106,_xll.qlInstrumentSetPricingEngine(Q106,_xll.qlBachelierBlackCapFloorEngine2(,Curve!$S$16,Q49%%)))</f>
        <v>77.976352410426628</v>
      </c>
      <c r="R125" s="114">
        <f>_xll.qlInstrumentNPV(R106,_xll.qlInstrumentSetPricingEngine(R106,_xll.qlBachelierBlackCapFloorEngine2(,Curve!$S$16,R49%%)))</f>
        <v>17.787778165900534</v>
      </c>
      <c r="T125" s="70" t="s">
        <v>32</v>
      </c>
      <c r="U125" s="103"/>
      <c r="V125" s="107"/>
      <c r="W125" s="112">
        <f>_xll.qlInstrumentNPV(W106,_xll.qlInstrumentSetPricingEngine(W106,_xll.qlBachelierBlackCapFloorEngine(,Curve!$S$16,CapletCalibration!$D$20)))</f>
        <v>125.35821395264583</v>
      </c>
      <c r="X125" s="112">
        <f>_xll.qlInstrumentNPV(X106,_xll.qlInstrumentSetPricingEngine(X106,_xll.qlBachelierBlackCapFloorEngine(,Curve!$S$16,CapletCalibration!$D$20)))</f>
        <v>150.38473778114047</v>
      </c>
      <c r="Y125" s="112">
        <f>_xll.qlInstrumentNPV(Y106,_xll.qlInstrumentSetPricingEngine(Y106,_xll.qlBachelierBlackCapFloorEngine(,Curve!$S$16,CapletCalibration!$D$20)))</f>
        <v>165.1248885767196</v>
      </c>
      <c r="Z125" s="112">
        <f>_xll.qlInstrumentNPV(Z106,_xll.qlInstrumentSetPricingEngine(Z106,_xll.qlBachelierBlackCapFloorEngine(,Curve!$S$16,CapletCalibration!$D$20)))</f>
        <v>184.39017413496856</v>
      </c>
      <c r="AA125" s="112">
        <f>_xll.qlInstrumentNPV(AA106,_xll.qlInstrumentSetPricingEngine(AA106,_xll.qlBachelierBlackCapFloorEngine(,Curve!$S$16,CapletCalibration!$D$20)))</f>
        <v>211.41625837878377</v>
      </c>
      <c r="AB125" s="112">
        <f>_xll.qlInstrumentNPV(AB106,_xll.qlInstrumentSetPricingEngine(AB106,_xll.qlBachelierBlackCapFloorEngine(,Curve!$S$16,CapletCalibration!$D$20)))</f>
        <v>241.69958371388165</v>
      </c>
      <c r="AC125" s="112">
        <f>_xll.qlInstrumentNPV(AC106,_xll.qlInstrumentSetPricingEngine(AC106,_xll.qlBachelierBlackCapFloorEngine(,Curve!$S$16,CapletCalibration!$D$20)))</f>
        <v>324.84452777004077</v>
      </c>
      <c r="AD125" s="112">
        <f>_xll.qlInstrumentNPV(AD106,_xll.qlInstrumentSetPricingEngine(AD106,_xll.qlBachelierBlackCapFloorEngine(,Curve!$S$16,CapletCalibration!$D$20)))</f>
        <v>543.23477439118653</v>
      </c>
      <c r="AE125" s="113">
        <f>_xll.qlInstrumentNPV(AE106,_xll.qlInstrumentSetPricingEngine(AE106,_xll.qlBachelierBlackCapFloorEngine(,Curve!$S$16,CapletCalibration!$D$20)))</f>
        <v>525.82155172924979</v>
      </c>
      <c r="AF125" s="113">
        <f>_xll.qlInstrumentNPV(AF106,_xll.qlInstrumentSetPricingEngine(AF106,_xll.qlBachelierBlackCapFloorEngine(,Curve!$S$16,CapletCalibration!$D$20)))</f>
        <v>381.12563448196596</v>
      </c>
      <c r="AG125" s="113">
        <f>_xll.qlInstrumentNPV(AG106,_xll.qlInstrumentSetPricingEngine(AG106,_xll.qlBachelierBlackCapFloorEngine(,Curve!$S$16,CapletCalibration!$D$20)))</f>
        <v>206.07196936372119</v>
      </c>
      <c r="AH125" s="113">
        <f>_xll.qlInstrumentNPV(AH106,_xll.qlInstrumentSetPricingEngine(AH106,_xll.qlBachelierBlackCapFloorEngine(,Curve!$S$16,CapletCalibration!$D$20)))</f>
        <v>77.975549996249356</v>
      </c>
      <c r="AI125" s="114">
        <f>_xll.qlInstrumentNPV(AI106,_xll.qlInstrumentSetPricingEngine(AI106,_xll.qlBachelierBlackCapFloorEngine(,Curve!$S$16,CapletCalibration!$D$20)))</f>
        <v>17.78762449306387</v>
      </c>
    </row>
    <row r="126" spans="3:35">
      <c r="C126" s="70" t="s">
        <v>48</v>
      </c>
      <c r="D126" s="103"/>
      <c r="E126" s="107"/>
      <c r="F126" s="112">
        <f>_xll.qlInstrumentNPV(F107,_xll.qlInstrumentSetPricingEngine(F107,_xll.qlBachelierBlackCapFloorEngine2(,Curve!$S$16,F50%%)))</f>
        <v>155.74019550793275</v>
      </c>
      <c r="G126" s="112">
        <f>_xll.qlInstrumentNPV(G107,_xll.qlInstrumentSetPricingEngine(G107,_xll.qlBachelierBlackCapFloorEngine2(,Curve!$S$16,G50%%)))</f>
        <v>187.5864288697864</v>
      </c>
      <c r="H126" s="112">
        <f>_xll.qlInstrumentNPV(H107,_xll.qlInstrumentSetPricingEngine(H107,_xll.qlBachelierBlackCapFloorEngine2(,Curve!$S$16,H50%%)))</f>
        <v>205.45862984432932</v>
      </c>
      <c r="I126" s="112">
        <f>_xll.qlInstrumentNPV(I107,_xll.qlInstrumentSetPricingEngine(I107,_xll.qlBachelierBlackCapFloorEngine2(,Curve!$S$16,I50%%)))</f>
        <v>229.17861987654777</v>
      </c>
      <c r="J126" s="112">
        <f>_xll.qlInstrumentNPV(J107,_xll.qlInstrumentSetPricingEngine(J107,_xll.qlBachelierBlackCapFloorEngine2(,Curve!$S$16,J50%%)))</f>
        <v>260.83422147663998</v>
      </c>
      <c r="K126" s="112">
        <f>_xll.qlInstrumentNPV(K107,_xll.qlInstrumentSetPricingEngine(K107,_xll.qlBachelierBlackCapFloorEngine2(,Curve!$S$16,K50%%)))</f>
        <v>295.59537968257865</v>
      </c>
      <c r="L126" s="112">
        <f>_xll.qlInstrumentNPV(L107,_xll.qlInstrumentSetPricingEngine(L107,_xll.qlBachelierBlackCapFloorEngine2(,Curve!$S$16,L50%%)))</f>
        <v>389.71913707398608</v>
      </c>
      <c r="M126" s="112">
        <f>_xll.qlInstrumentNPV(M107,_xll.qlInstrumentSetPricingEngine(M107,_xll.qlBachelierBlackCapFloorEngine2(,Curve!$S$16,M50%%)))</f>
        <v>635.13146538962189</v>
      </c>
      <c r="N126" s="113">
        <f>_xll.qlInstrumentNPV(N107,_xll.qlInstrumentSetPricingEngine(N107,_xll.qlBachelierBlackCapFloorEngine2(,Curve!$S$16,N50%%)))</f>
        <v>765.94942157689024</v>
      </c>
      <c r="O126" s="113">
        <f>_xll.qlInstrumentNPV(O107,_xll.qlInstrumentSetPricingEngine(O107,_xll.qlBachelierBlackCapFloorEngine2(,Curve!$S$16,O50%%)))</f>
        <v>573.63663605091426</v>
      </c>
      <c r="P126" s="113">
        <f>_xll.qlInstrumentNPV(P107,_xll.qlInstrumentSetPricingEngine(P107,_xll.qlBachelierBlackCapFloorEngine2(,Curve!$S$16,P50%%)))</f>
        <v>326.86395065844539</v>
      </c>
      <c r="Q126" s="113">
        <f>_xll.qlInstrumentNPV(Q107,_xll.qlInstrumentSetPricingEngine(Q107,_xll.qlBachelierBlackCapFloorEngine2(,Curve!$S$16,Q50%%)))</f>
        <v>127.19426813661181</v>
      </c>
      <c r="R126" s="114">
        <f>_xll.qlInstrumentNPV(R107,_xll.qlInstrumentSetPricingEngine(R107,_xll.qlBachelierBlackCapFloorEngine2(,Curve!$S$16,R50%%)))</f>
        <v>26.25738108714517</v>
      </c>
      <c r="T126" s="70" t="s">
        <v>48</v>
      </c>
      <c r="U126" s="103"/>
      <c r="V126" s="107"/>
      <c r="W126" s="112">
        <f>_xll.qlInstrumentNPV(W107,_xll.qlInstrumentSetPricingEngine(W107,_xll.qlBachelierBlackCapFloorEngine(,Curve!$S$16,CapletCalibration!$D$20)))</f>
        <v>155.74507731989408</v>
      </c>
      <c r="X126" s="112">
        <f>_xll.qlInstrumentNPV(X107,_xll.qlInstrumentSetPricingEngine(X107,_xll.qlBachelierBlackCapFloorEngine(,Curve!$S$16,CapletCalibration!$D$20)))</f>
        <v>187.59278162544717</v>
      </c>
      <c r="Y126" s="112">
        <f>_xll.qlInstrumentNPV(Y107,_xll.qlInstrumentSetPricingEngine(Y107,_xll.qlBachelierBlackCapFloorEngine(,Curve!$S$16,CapletCalibration!$D$20)))</f>
        <v>205.46585279895626</v>
      </c>
      <c r="Z126" s="112">
        <f>_xll.qlInstrumentNPV(Z107,_xll.qlInstrumentSetPricingEngine(Z107,_xll.qlBachelierBlackCapFloorEngine(,Curve!$S$16,CapletCalibration!$D$20)))</f>
        <v>229.18690230184882</v>
      </c>
      <c r="AA126" s="112">
        <f>_xll.qlInstrumentNPV(AA107,_xll.qlInstrumentSetPricingEngine(AA107,_xll.qlBachelierBlackCapFloorEngine(,Curve!$S$16,CapletCalibration!$D$20)))</f>
        <v>260.84374941764116</v>
      </c>
      <c r="AB126" s="112">
        <f>_xll.qlInstrumentNPV(AB107,_xll.qlInstrumentSetPricingEngine(AB107,_xll.qlBachelierBlackCapFloorEngine(,Curve!$S$16,CapletCalibration!$D$20)))</f>
        <v>295.60617352890017</v>
      </c>
      <c r="AC126" s="112">
        <f>_xll.qlInstrumentNPV(AC107,_xll.qlInstrumentSetPricingEngine(AC107,_xll.qlBachelierBlackCapFloorEngine(,Curve!$S$16,CapletCalibration!$D$20)))</f>
        <v>389.73296857654475</v>
      </c>
      <c r="AD126" s="112">
        <f>_xll.qlInstrumentNPV(AD107,_xll.qlInstrumentSetPricingEngine(AD107,_xll.qlBachelierBlackCapFloorEngine(,Curve!$S$16,CapletCalibration!$D$20)))</f>
        <v>635.15207425018684</v>
      </c>
      <c r="AE126" s="113">
        <f>_xll.qlInstrumentNPV(AE107,_xll.qlInstrumentSetPricingEngine(AE107,_xll.qlBachelierBlackCapFloorEngine(,Curve!$S$16,CapletCalibration!$D$20)))</f>
        <v>765.97552653745424</v>
      </c>
      <c r="AF126" s="113">
        <f>_xll.qlInstrumentNPV(AF107,_xll.qlInstrumentSetPricingEngine(AF107,_xll.qlBachelierBlackCapFloorEngine(,Curve!$S$16,CapletCalibration!$D$20)))</f>
        <v>573.63109492350623</v>
      </c>
      <c r="AG126" s="113">
        <f>_xll.qlInstrumentNPV(AG107,_xll.qlInstrumentSetPricingEngine(AG107,_xll.qlBachelierBlackCapFloorEngine(,Curve!$S$16,CapletCalibration!$D$20)))</f>
        <v>326.8614619400297</v>
      </c>
      <c r="AH126" s="113">
        <f>_xll.qlInstrumentNPV(AH107,_xll.qlInstrumentSetPricingEngine(AH107,_xll.qlBachelierBlackCapFloorEngine(,Curve!$S$16,CapletCalibration!$D$20)))</f>
        <v>127.19346572240963</v>
      </c>
      <c r="AI126" s="114">
        <f>_xll.qlInstrumentNPV(AI107,_xll.qlInstrumentSetPricingEngine(AI107,_xll.qlBachelierBlackCapFloorEngine(,Curve!$S$16,CapletCalibration!$D$20)))</f>
        <v>26.257227414692629</v>
      </c>
    </row>
    <row r="127" spans="3:35">
      <c r="C127" s="70" t="s">
        <v>33</v>
      </c>
      <c r="D127" s="103"/>
      <c r="E127" s="107"/>
      <c r="F127" s="112">
        <f>_xll.qlInstrumentNPV(F108,_xll.qlInstrumentSetPricingEngine(F108,_xll.qlBachelierBlackCapFloorEngine2(,Curve!$S$16,F51%%)))</f>
        <v>207.21247489309999</v>
      </c>
      <c r="G127" s="112">
        <f>_xll.qlInstrumentNPV(G108,_xll.qlInstrumentSetPricingEngine(G108,_xll.qlBachelierBlackCapFloorEngine2(,Curve!$S$16,G51%%)))</f>
        <v>249.72155211333467</v>
      </c>
      <c r="H127" s="112">
        <f>_xll.qlInstrumentNPV(H108,_xll.qlInstrumentSetPricingEngine(H108,_xll.qlBachelierBlackCapFloorEngine2(,Curve!$S$16,H51%%)))</f>
        <v>273.31341807563405</v>
      </c>
      <c r="I127" s="112">
        <f>_xll.qlInstrumentNPV(I108,_xll.qlInstrumentSetPricingEngine(I108,_xll.qlBachelierBlackCapFloorEngine2(,Curve!$S$16,I51%%)))</f>
        <v>304.00850151993797</v>
      </c>
      <c r="J127" s="112">
        <f>_xll.qlInstrumentNPV(J108,_xll.qlInstrumentSetPricingEngine(J108,_xll.qlBachelierBlackCapFloorEngine2(,Curve!$S$16,J51%%)))</f>
        <v>342.80585542552808</v>
      </c>
      <c r="K127" s="112">
        <f>_xll.qlInstrumentNPV(K108,_xll.qlInstrumentSetPricingEngine(K108,_xll.qlBachelierBlackCapFloorEngine2(,Curve!$S$16,K51%%)))</f>
        <v>385.5100514484264</v>
      </c>
      <c r="L127" s="112">
        <f>_xll.qlInstrumentNPV(L108,_xll.qlInstrumentSetPricingEngine(L108,_xll.qlBachelierBlackCapFloorEngine2(,Curve!$S$16,L51%%)))</f>
        <v>495.36373851422866</v>
      </c>
      <c r="M127" s="112">
        <f>_xll.qlInstrumentNPV(M108,_xll.qlInstrumentSetPricingEngine(M108,_xll.qlBachelierBlackCapFloorEngine2(,Curve!$S$16,M51%%)))</f>
        <v>781.81245605040203</v>
      </c>
      <c r="N127" s="113">
        <f>_xll.qlInstrumentNPV(N108,_xll.qlInstrumentSetPricingEngine(N108,_xll.qlBachelierBlackCapFloorEngine2(,Curve!$S$16,N51%%)))</f>
        <v>1124.2171516667815</v>
      </c>
      <c r="O127" s="113">
        <f>_xll.qlInstrumentNPV(O108,_xll.qlInstrumentSetPricingEngine(O108,_xll.qlBachelierBlackCapFloorEngine2(,Curve!$S$16,O51%%)))</f>
        <v>866.80068658596178</v>
      </c>
      <c r="P127" s="113">
        <f>_xll.qlInstrumentNPV(P108,_xll.qlInstrumentSetPricingEngine(P108,_xll.qlBachelierBlackCapFloorEngine2(,Curve!$S$16,P51%%)))</f>
        <v>520.73047656648032</v>
      </c>
      <c r="Q127" s="113">
        <f>_xll.qlInstrumentNPV(Q108,_xll.qlInstrumentSetPricingEngine(Q108,_xll.qlBachelierBlackCapFloorEngine2(,Curve!$S$16,Q51%%)))</f>
        <v>215.35048360917034</v>
      </c>
      <c r="R127" s="114">
        <f>_xll.qlInstrumentNPV(R108,_xll.qlInstrumentSetPricingEngine(R108,_xll.qlBachelierBlackCapFloorEngine2(,Curve!$S$16,R51%%)))</f>
        <v>44.803842853201566</v>
      </c>
      <c r="T127" s="70" t="s">
        <v>33</v>
      </c>
      <c r="U127" s="103"/>
      <c r="V127" s="107"/>
      <c r="W127" s="112">
        <f>_xll.qlInstrumentNPV(W108,_xll.qlInstrumentSetPricingEngine(W108,_xll.qlBachelierBlackCapFloorEngine(,Curve!$S$16,CapletCalibration!$D$20)))</f>
        <v>207.24043316918164</v>
      </c>
      <c r="X127" s="112">
        <f>_xll.qlInstrumentNPV(X108,_xll.qlInstrumentSetPricingEngine(X108,_xll.qlBachelierBlackCapFloorEngine(,Curve!$S$16,CapletCalibration!$D$20)))</f>
        <v>249.7448156588591</v>
      </c>
      <c r="Y127" s="112">
        <f>_xll.qlInstrumentNPV(Y108,_xll.qlInstrumentSetPricingEngine(Y108,_xll.qlBachelierBlackCapFloorEngine(,Curve!$S$16,CapletCalibration!$D$20)))</f>
        <v>273.33177843322164</v>
      </c>
      <c r="Z127" s="112">
        <f>_xll.qlInstrumentNPV(Z108,_xll.qlInstrumentSetPricingEngine(Z108,_xll.qlBachelierBlackCapFloorEngine(,Curve!$S$16,CapletCalibration!$D$20)))</f>
        <v>304.02423622589953</v>
      </c>
      <c r="AA127" s="112">
        <f>_xll.qlInstrumentNPV(AA108,_xll.qlInstrumentSetPricingEngine(AA108,_xll.qlBachelierBlackCapFloorEngine(,Curve!$S$16,CapletCalibration!$D$20)))</f>
        <v>342.81811654705422</v>
      </c>
      <c r="AB127" s="112">
        <f>_xll.qlInstrumentNPV(AB108,_xll.qlInstrumentSetPricingEngine(AB108,_xll.qlBachelierBlackCapFloorEngine(,Curve!$S$16,CapletCalibration!$D$20)))</f>
        <v>385.52292720039998</v>
      </c>
      <c r="AC127" s="112">
        <f>_xll.qlInstrumentNPV(AC108,_xll.qlInstrumentSetPricingEngine(AC108,_xll.qlBachelierBlackCapFloorEngine(,Curve!$S$16,CapletCalibration!$D$20)))</f>
        <v>495.38610580448182</v>
      </c>
      <c r="AD127" s="112">
        <f>_xll.qlInstrumentNPV(AD108,_xll.qlInstrumentSetPricingEngine(AD108,_xll.qlBachelierBlackCapFloorEngine(,Curve!$S$16,CapletCalibration!$D$20)))</f>
        <v>781.84840448352702</v>
      </c>
      <c r="AE127" s="113">
        <f>_xll.qlInstrumentNPV(AE108,_xll.qlInstrumentSetPricingEngine(AE108,_xll.qlBachelierBlackCapFloorEngine(,Curve!$S$16,CapletCalibration!$D$20)))</f>
        <v>1124.2457118482157</v>
      </c>
      <c r="AF127" s="113">
        <f>_xll.qlInstrumentNPV(AF108,_xll.qlInstrumentSetPricingEngine(AF108,_xll.qlBachelierBlackCapFloorEngine(,Curve!$S$16,CapletCalibration!$D$20)))</f>
        <v>866.78097536589075</v>
      </c>
      <c r="AG127" s="113">
        <f>_xll.qlInstrumentNPV(AG108,_xll.qlInstrumentSetPricingEngine(AG108,_xll.qlBachelierBlackCapFloorEngine(,Curve!$S$16,CapletCalibration!$D$20)))</f>
        <v>520.71900780400767</v>
      </c>
      <c r="AH127" s="113">
        <f>_xll.qlInstrumentNPV(AH108,_xll.qlInstrumentSetPricingEngine(AH108,_xll.qlBachelierBlackCapFloorEngine(,Curve!$S$16,CapletCalibration!$D$20)))</f>
        <v>215.35345512970983</v>
      </c>
      <c r="AI127" s="114">
        <f>_xll.qlInstrumentNPV(AI108,_xll.qlInstrumentSetPricingEngine(AI108,_xll.qlBachelierBlackCapFloorEngine(,Curve!$S$16,CapletCalibration!$D$20)))</f>
        <v>44.810223668021401</v>
      </c>
    </row>
    <row r="128" spans="3:35">
      <c r="C128" s="70" t="s">
        <v>34</v>
      </c>
      <c r="D128" s="103"/>
      <c r="E128" s="107"/>
      <c r="F128" s="112">
        <f>_xll.qlInstrumentNPV(F109,_xll.qlInstrumentSetPricingEngine(F109,_xll.qlBachelierBlackCapFloorEngine2(,Curve!$S$16,F52%%)))</f>
        <v>318.99760696424516</v>
      </c>
      <c r="G128" s="112">
        <f>_xll.qlInstrumentNPV(G109,_xll.qlInstrumentSetPricingEngine(G109,_xll.qlBachelierBlackCapFloorEngine2(,Curve!$S$16,G52%%)))</f>
        <v>383.07592773175855</v>
      </c>
      <c r="H128" s="112">
        <f>_xll.qlInstrumentNPV(H109,_xll.qlInstrumentSetPricingEngine(H109,_xll.qlBachelierBlackCapFloorEngine2(,Curve!$S$16,H52%%)))</f>
        <v>417.43031692791027</v>
      </c>
      <c r="I128" s="112">
        <f>_xll.qlInstrumentNPV(I109,_xll.qlInstrumentSetPricingEngine(I109,_xll.qlBachelierBlackCapFloorEngine2(,Curve!$S$16,I52%%)))</f>
        <v>461.13725973296005</v>
      </c>
      <c r="J128" s="112">
        <f>_xll.qlInstrumentNPV(J109,_xll.qlInstrumentSetPricingEngine(J109,_xll.qlBachelierBlackCapFloorEngine2(,Curve!$S$16,J52%%)))</f>
        <v>512.93392386021685</v>
      </c>
      <c r="K128" s="112">
        <f>_xll.qlInstrumentNPV(K109,_xll.qlInstrumentSetPricingEngine(K109,_xll.qlBachelierBlackCapFloorEngine2(,Curve!$S$16,K52%%)))</f>
        <v>568.49420747698309</v>
      </c>
      <c r="L128" s="112">
        <f>_xll.qlInstrumentNPV(L109,_xll.qlInstrumentSetPricingEngine(L109,_xll.qlBachelierBlackCapFloorEngine2(,Curve!$S$16,L52%%)))</f>
        <v>709.28385727254272</v>
      </c>
      <c r="M128" s="112">
        <f>_xll.qlInstrumentNPV(M109,_xll.qlInstrumentSetPricingEngine(M109,_xll.qlBachelierBlackCapFloorEngine2(,Curve!$S$16,M52%%)))</f>
        <v>1068.8633515028598</v>
      </c>
      <c r="N128" s="112">
        <f>_xll.qlInstrumentNPV(N109,_xll.qlInstrumentSetPricingEngine(N109,_xll.qlBachelierBlackCapFloorEngine2(,Curve!$S$16,N52%%)))</f>
        <v>1516.9855562644489</v>
      </c>
      <c r="O128" s="113">
        <f>_xll.qlInstrumentNPV(O109,_xll.qlInstrumentSetPricingEngine(O109,_xll.qlBachelierBlackCapFloorEngine2(,Curve!$S$16,O52%%)))</f>
        <v>1319.6236968219289</v>
      </c>
      <c r="P128" s="113">
        <f>_xll.qlInstrumentNPV(P109,_xll.qlInstrumentSetPricingEngine(P109,_xll.qlBachelierBlackCapFloorEngine2(,Curve!$S$16,P52%%)))</f>
        <v>830.49000551949234</v>
      </c>
      <c r="Q128" s="113">
        <f>_xll.qlInstrumentNPV(Q109,_xll.qlInstrumentSetPricingEngine(Q109,_xll.qlBachelierBlackCapFloorEngine2(,Curve!$S$16,Q52%%)))</f>
        <v>367.7513293553456</v>
      </c>
      <c r="R128" s="114">
        <f>_xll.qlInstrumentNPV(R109,_xll.qlInstrumentSetPricingEngine(R109,_xll.qlBachelierBlackCapFloorEngine2(,Curve!$S$16,R52%%)))</f>
        <v>83.055057545324502</v>
      </c>
      <c r="T128" s="70" t="s">
        <v>34</v>
      </c>
      <c r="U128" s="103"/>
      <c r="V128" s="107"/>
      <c r="W128" s="112">
        <f>_xll.qlInstrumentNPV(W109,_xll.qlInstrumentSetPricingEngine(W109,_xll.qlBachelierBlackCapFloorEngine(,Curve!$S$16,CapletCalibration!$D$20)))</f>
        <v>319.03643817663755</v>
      </c>
      <c r="X128" s="112">
        <f>_xll.qlInstrumentNPV(X109,_xll.qlInstrumentSetPricingEngine(X109,_xll.qlBachelierBlackCapFloorEngine(,Curve!$S$16,CapletCalibration!$D$20)))</f>
        <v>383.10745975863477</v>
      </c>
      <c r="Y128" s="112">
        <f>_xll.qlInstrumentNPV(Y109,_xll.qlInstrumentSetPricingEngine(Y109,_xll.qlBachelierBlackCapFloorEngine(,Curve!$S$16,CapletCalibration!$D$20)))</f>
        <v>417.45319696817961</v>
      </c>
      <c r="Z128" s="112">
        <f>_xll.qlInstrumentNPV(Z109,_xll.qlInstrumentSetPricingEngine(Z109,_xll.qlBachelierBlackCapFloorEngine(,Curve!$S$16,CapletCalibration!$D$20)))</f>
        <v>461.15671316997583</v>
      </c>
      <c r="AA128" s="112">
        <f>_xll.qlInstrumentNPV(AA109,_xll.qlInstrumentSetPricingEngine(AA109,_xll.qlBachelierBlackCapFloorEngine(,Curve!$S$16,CapletCalibration!$D$20)))</f>
        <v>512.94765758987467</v>
      </c>
      <c r="AB128" s="112">
        <f>_xll.qlInstrumentNPV(AB109,_xll.qlInstrumentSetPricingEngine(AB109,_xll.qlBachelierBlackCapFloorEngine(,Curve!$S$16,CapletCalibration!$D$20)))</f>
        <v>568.50941459636988</v>
      </c>
      <c r="AC128" s="112">
        <f>_xll.qlInstrumentNPV(AC109,_xll.qlInstrumentSetPricingEngine(AC109,_xll.qlBachelierBlackCapFloorEngine(,Curve!$S$16,CapletCalibration!$D$20)))</f>
        <v>709.31222883411158</v>
      </c>
      <c r="AD128" s="112">
        <f>_xll.qlInstrumentNPV(AD109,_xll.qlInstrumentSetPricingEngine(AD109,_xll.qlBachelierBlackCapFloorEngine(,Curve!$S$16,CapletCalibration!$D$20)))</f>
        <v>1068.9014964556482</v>
      </c>
      <c r="AE128" s="112">
        <f>_xll.qlInstrumentNPV(AE109,_xll.qlInstrumentSetPricingEngine(AE109,_xll.qlBachelierBlackCapFloorEngine(,Curve!$S$16,CapletCalibration!$D$20)))</f>
        <v>1517.0104795514669</v>
      </c>
      <c r="AF128" s="113">
        <f>_xll.qlInstrumentNPV(AF109,_xll.qlInstrumentSetPricingEngine(AF109,_xll.qlBachelierBlackCapFloorEngine(,Curve!$S$16,CapletCalibration!$D$20)))</f>
        <v>1319.583092575619</v>
      </c>
      <c r="AG128" s="113">
        <f>_xll.qlInstrumentNPV(AG109,_xll.qlInstrumentSetPricingEngine(AG109,_xll.qlBachelierBlackCapFloorEngine(,Curve!$S$16,CapletCalibration!$D$20)))</f>
        <v>830.4718082726871</v>
      </c>
      <c r="AH128" s="113">
        <f>_xll.qlInstrumentNPV(AH109,_xll.qlInstrumentSetPricingEngine(AH109,_xll.qlBachelierBlackCapFloorEngine(,Curve!$S$16,CapletCalibration!$D$20)))</f>
        <v>367.75925189804553</v>
      </c>
      <c r="AI128" s="114">
        <f>_xll.qlInstrumentNPV(AI109,_xll.qlInstrumentSetPricingEngine(AI109,_xll.qlBachelierBlackCapFloorEngine(,Curve!$S$16,CapletCalibration!$D$20)))</f>
        <v>83.065325465184273</v>
      </c>
    </row>
    <row r="129" spans="3:35">
      <c r="C129" s="70" t="s">
        <v>35</v>
      </c>
      <c r="D129" s="103"/>
      <c r="E129" s="107"/>
      <c r="F129" s="112">
        <f>_xll.qlInstrumentNPV(F110,_xll.qlInstrumentSetPricingEngine(F110,_xll.qlBachelierBlackCapFloorEngine2(,Curve!$S$16,F53%%)))</f>
        <v>466.83376733085419</v>
      </c>
      <c r="G129" s="112">
        <f>_xll.qlInstrumentNPV(G110,_xll.qlInstrumentSetPricingEngine(G110,_xll.qlBachelierBlackCapFloorEngine2(,Curve!$S$16,G53%%)))</f>
        <v>553.50417236778867</v>
      </c>
      <c r="H129" s="112">
        <f>_xll.qlInstrumentNPV(H110,_xll.qlInstrumentSetPricingEngine(H110,_xll.qlBachelierBlackCapFloorEngine2(,Curve!$S$16,H53%%)))</f>
        <v>601.30226249372413</v>
      </c>
      <c r="I129" s="112">
        <f>_xll.qlInstrumentNPV(I110,_xll.qlInstrumentSetPricingEngine(I110,_xll.qlBachelierBlackCapFloorEngine2(,Curve!$S$16,I53%%)))</f>
        <v>658.84333212680383</v>
      </c>
      <c r="J129" s="112">
        <f>_xll.qlInstrumentNPV(J110,_xll.qlInstrumentSetPricingEngine(J110,_xll.qlBachelierBlackCapFloorEngine2(,Curve!$S$16,J53%%)))</f>
        <v>726.56332210644894</v>
      </c>
      <c r="K129" s="112">
        <f>_xll.qlInstrumentNPV(K110,_xll.qlInstrumentSetPricingEngine(K110,_xll.qlBachelierBlackCapFloorEngine2(,Curve!$S$16,K53%%)))</f>
        <v>796.87875317480518</v>
      </c>
      <c r="L129" s="112">
        <f>_xll.qlInstrumentNPV(L110,_xll.qlInstrumentSetPricingEngine(L110,_xll.qlBachelierBlackCapFloorEngine2(,Curve!$S$16,L53%%)))</f>
        <v>969.15158766035324</v>
      </c>
      <c r="M129" s="112">
        <f>_xll.qlInstrumentNPV(M110,_xll.qlInstrumentSetPricingEngine(M110,_xll.qlBachelierBlackCapFloorEngine2(,Curve!$S$16,M53%%)))</f>
        <v>1404.1984429732915</v>
      </c>
      <c r="N129" s="112">
        <f>_xll.qlInstrumentNPV(N110,_xll.qlInstrumentSetPricingEngine(N110,_xll.qlBachelierBlackCapFloorEngine2(,Curve!$S$16,N53%%)))</f>
        <v>1940.9686871598369</v>
      </c>
      <c r="O129" s="113">
        <f>_xll.qlInstrumentNPV(O110,_xll.qlInstrumentSetPricingEngine(O110,_xll.qlBachelierBlackCapFloorEngine2(,Curve!$S$16,O53%%)))</f>
        <v>1736.7711366797364</v>
      </c>
      <c r="P129" s="113">
        <f>_xll.qlInstrumentNPV(P110,_xll.qlInstrumentSetPricingEngine(P110,_xll.qlBachelierBlackCapFloorEngine2(,Curve!$S$16,P53%%)))</f>
        <v>1124.7174405554354</v>
      </c>
      <c r="Q129" s="113">
        <f>_xll.qlInstrumentNPV(Q110,_xll.qlInstrumentSetPricingEngine(Q110,_xll.qlBachelierBlackCapFloorEngine2(,Curve!$S$16,Q53%%)))</f>
        <v>522.9777220862394</v>
      </c>
      <c r="R129" s="114">
        <f>_xll.qlInstrumentNPV(R110,_xll.qlInstrumentSetPricingEngine(R110,_xll.qlBachelierBlackCapFloorEngine2(,Curve!$S$16,R53%%)))</f>
        <v>129.81067567401408</v>
      </c>
      <c r="T129" s="70" t="s">
        <v>35</v>
      </c>
      <c r="U129" s="103"/>
      <c r="V129" s="107"/>
      <c r="W129" s="112">
        <f>_xll.qlInstrumentNPV(W110,_xll.qlInstrumentSetPricingEngine(W110,_xll.qlBachelierBlackCapFloorEngine(,Curve!$S$16,CapletCalibration!$D$20)))</f>
        <v>466.87131239221776</v>
      </c>
      <c r="X129" s="112">
        <f>_xll.qlInstrumentNPV(X110,_xll.qlInstrumentSetPricingEngine(X110,_xll.qlBachelierBlackCapFloorEngine(,Curve!$S$16,CapletCalibration!$D$20)))</f>
        <v>553.53482633249303</v>
      </c>
      <c r="Y129" s="112">
        <f>_xll.qlInstrumentNPV(Y110,_xll.qlInstrumentSetPricingEngine(Y110,_xll.qlBachelierBlackCapFloorEngine(,Curve!$S$16,CapletCalibration!$D$20)))</f>
        <v>601.32517748502153</v>
      </c>
      <c r="Z129" s="112">
        <f>_xll.qlInstrumentNPV(Z110,_xll.qlInstrumentSetPricingEngine(Z110,_xll.qlBachelierBlackCapFloorEngine(,Curve!$S$16,CapletCalibration!$D$20)))</f>
        <v>658.86311495916118</v>
      </c>
      <c r="AA129" s="112">
        <f>_xll.qlInstrumentNPV(AA110,_xll.qlInstrumentSetPricingEngine(AA110,_xll.qlBachelierBlackCapFloorEngine(,Curve!$S$16,CapletCalibration!$D$20)))</f>
        <v>726.57800867723006</v>
      </c>
      <c r="AB129" s="112">
        <f>_xll.qlInstrumentNPV(AB110,_xll.qlInstrumentSetPricingEngine(AB110,_xll.qlBachelierBlackCapFloorEngine(,Curve!$S$16,CapletCalibration!$D$20)))</f>
        <v>796.8952004335739</v>
      </c>
      <c r="AC129" s="112">
        <f>_xll.qlInstrumentNPV(AC110,_xll.qlInstrumentSetPricingEngine(AC110,_xll.qlBachelierBlackCapFloorEngine(,Curve!$S$16,CapletCalibration!$D$20)))</f>
        <v>969.18059413431536</v>
      </c>
      <c r="AD129" s="112">
        <f>_xll.qlInstrumentNPV(AD110,_xll.qlInstrumentSetPricingEngine(AD110,_xll.qlBachelierBlackCapFloorEngine(,Curve!$S$16,CapletCalibration!$D$20)))</f>
        <v>1404.2373005872055</v>
      </c>
      <c r="AE129" s="112">
        <f>_xll.qlInstrumentNPV(AE110,_xll.qlInstrumentSetPricingEngine(AE110,_xll.qlBachelierBlackCapFloorEngine(,Curve!$S$16,CapletCalibration!$D$20)))</f>
        <v>1940.9943090088084</v>
      </c>
      <c r="AF129" s="113">
        <f>_xll.qlInstrumentNPV(AF110,_xll.qlInstrumentSetPricingEngine(AF110,_xll.qlBachelierBlackCapFloorEngine(,Curve!$S$16,CapletCalibration!$D$20)))</f>
        <v>1736.7296939203329</v>
      </c>
      <c r="AG129" s="113">
        <f>_xll.qlInstrumentNPV(AG110,_xll.qlInstrumentSetPricingEngine(AG110,_xll.qlBachelierBlackCapFloorEngine(,Curve!$S$16,CapletCalibration!$D$20)))</f>
        <v>1124.6986050077637</v>
      </c>
      <c r="AH129" s="113">
        <f>_xll.qlInstrumentNPV(AH110,_xll.qlInstrumentSetPricingEngine(AH110,_xll.qlBachelierBlackCapFloorEngine(,Curve!$S$16,CapletCalibration!$D$20)))</f>
        <v>522.9845604298423</v>
      </c>
      <c r="AI129" s="114">
        <f>_xll.qlInstrumentNPV(AI110,_xll.qlInstrumentSetPricingEngine(AI110,_xll.qlBachelierBlackCapFloorEngine(,Curve!$S$16,CapletCalibration!$D$20)))</f>
        <v>129.82088731058613</v>
      </c>
    </row>
    <row r="130" spans="3:35">
      <c r="C130" s="74" t="s">
        <v>36</v>
      </c>
      <c r="D130" s="104"/>
      <c r="E130" s="108"/>
      <c r="F130" s="115">
        <f>_xll.qlInstrumentNPV(F111,_xll.qlInstrumentSetPricingEngine(F111,_xll.qlBachelierBlackCapFloorEngine2(,Curve!$S$16,F54%%)))</f>
        <v>623.68696934508023</v>
      </c>
      <c r="G130" s="115">
        <f>_xll.qlInstrumentNPV(G111,_xll.qlInstrumentSetPricingEngine(G111,_xll.qlBachelierBlackCapFloorEngine2(,Curve!$S$16,G54%%)))</f>
        <v>734.16570892163031</v>
      </c>
      <c r="H130" s="115">
        <f>_xll.qlInstrumentNPV(H111,_xll.qlInstrumentSetPricingEngine(H111,_xll.qlBachelierBlackCapFloorEngine2(,Curve!$S$16,H54%%)))</f>
        <v>793.25825717853115</v>
      </c>
      <c r="I130" s="115">
        <f>_xll.qlInstrumentNPV(I111,_xll.qlInstrumentSetPricingEngine(I111,_xll.qlBachelierBlackCapFloorEngine2(,Curve!$S$16,I54%%)))</f>
        <v>863.68574338208657</v>
      </c>
      <c r="J130" s="115">
        <f>_xll.qlInstrumentNPV(J111,_xll.qlInstrumentSetPricingEngine(J111,_xll.qlBachelierBlackCapFloorEngine2(,Curve!$S$16,J54%%)))</f>
        <v>946.27994120039273</v>
      </c>
      <c r="K130" s="115">
        <f>_xll.qlInstrumentNPV(K111,_xll.qlInstrumentSetPricingEngine(K111,_xll.qlBachelierBlackCapFloorEngine2(,Curve!$S$16,K54%%)))</f>
        <v>1031.8639551441911</v>
      </c>
      <c r="L130" s="115">
        <f>_xll.qlInstrumentNPV(L111,_xll.qlInstrumentSetPricingEngine(L111,_xll.qlBachelierBlackCapFloorEngine2(,Curve!$S$16,L54%%)))</f>
        <v>1237.0272255446766</v>
      </c>
      <c r="M130" s="115">
        <f>_xll.qlInstrumentNPV(M111,_xll.qlInstrumentSetPricingEngine(M111,_xll.qlBachelierBlackCapFloorEngine2(,Curve!$S$16,M54%%)))</f>
        <v>1740.4770606243699</v>
      </c>
      <c r="N130" s="115">
        <f>_xll.qlInstrumentNPV(N111,_xll.qlInstrumentSetPricingEngine(N111,_xll.qlBachelierBlackCapFloorEngine2(,Curve!$S$16,N54%%)))</f>
        <v>2363.8220978375143</v>
      </c>
      <c r="O130" s="116">
        <f>_xll.qlInstrumentNPV(O111,_xll.qlInstrumentSetPricingEngine(O111,_xll.qlBachelierBlackCapFloorEngine2(,Curve!$S$16,O54%%)))</f>
        <v>2138.7960608374774</v>
      </c>
      <c r="P130" s="116">
        <f>_xll.qlInstrumentNPV(P111,_xll.qlInstrumentSetPricingEngine(P111,_xll.qlBachelierBlackCapFloorEngine2(,Curve!$S$16,P54%%)))</f>
        <v>1418.3335363710034</v>
      </c>
      <c r="Q130" s="116">
        <f>_xll.qlInstrumentNPV(Q111,_xll.qlInstrumentSetPricingEngine(Q111,_xll.qlBachelierBlackCapFloorEngine2(,Curve!$S$16,Q54%%)))</f>
        <v>690.81453146757951</v>
      </c>
      <c r="R130" s="117">
        <f>_xll.qlInstrumentNPV(R111,_xll.qlInstrumentSetPricingEngine(R111,_xll.qlBachelierBlackCapFloorEngine2(,Curve!$S$16,R54%%)))</f>
        <v>185.09699693433475</v>
      </c>
      <c r="T130" s="74" t="s">
        <v>36</v>
      </c>
      <c r="U130" s="104"/>
      <c r="V130" s="108"/>
      <c r="W130" s="115">
        <f>_xll.qlInstrumentNPV(W111,_xll.qlInstrumentSetPricingEngine(W111,_xll.qlBachelierBlackCapFloorEngine(,Curve!$S$16,CapletCalibration!$D$20)))</f>
        <v>623.69575990679061</v>
      </c>
      <c r="X130" s="115">
        <f>_xll.qlInstrumentNPV(X111,_xll.qlInstrumentSetPricingEngine(X111,_xll.qlBachelierBlackCapFloorEngine(,Curve!$S$16,CapletCalibration!$D$20)))</f>
        <v>734.17651080879455</v>
      </c>
      <c r="Y130" s="115">
        <f>_xll.qlInstrumentNPV(Y111,_xll.qlInstrumentSetPricingEngine(Y111,_xll.qlBachelierBlackCapFloorEngine(,Curve!$S$16,CapletCalibration!$D$20)))</f>
        <v>793.27021164636096</v>
      </c>
      <c r="Z130" s="115">
        <f>_xll.qlInstrumentNPV(Z111,_xll.qlInstrumentSetPricingEngine(Z111,_xll.qlBachelierBlackCapFloorEngine(,Curve!$S$16,CapletCalibration!$D$20)))</f>
        <v>863.69906265777945</v>
      </c>
      <c r="AA130" s="115">
        <f>_xll.qlInstrumentNPV(AA111,_xll.qlInstrumentSetPricingEngine(AA111,_xll.qlBachelierBlackCapFloorEngine(,Curve!$S$16,CapletCalibration!$D$20)))</f>
        <v>946.29482643734241</v>
      </c>
      <c r="AB130" s="115">
        <f>_xll.qlInstrumentNPV(AB111,_xll.qlInstrumentSetPricingEngine(AB111,_xll.qlBachelierBlackCapFloorEngine(,Curve!$S$16,CapletCalibration!$D$20)))</f>
        <v>1031.8804195749947</v>
      </c>
      <c r="AC130" s="115">
        <f>_xll.qlInstrumentNPV(AC111,_xll.qlInstrumentSetPricingEngine(AC111,_xll.qlBachelierBlackCapFloorEngine(,Curve!$S$16,CapletCalibration!$D$20)))</f>
        <v>1237.0473685677212</v>
      </c>
      <c r="AD130" s="115">
        <f>_xll.qlInstrumentNPV(AD111,_xll.qlInstrumentSetPricingEngine(AD111,_xll.qlBachelierBlackCapFloorEngine(,Curve!$S$16,CapletCalibration!$D$20)))</f>
        <v>1740.505382996027</v>
      </c>
      <c r="AE130" s="115">
        <f>_xll.qlInstrumentNPV(AE111,_xll.qlInstrumentSetPricingEngine(AE111,_xll.qlBachelierBlackCapFloorEngine(,Curve!$S$16,CapletCalibration!$D$20)))</f>
        <v>2363.8573817825418</v>
      </c>
      <c r="AF130" s="116">
        <f>_xll.qlInstrumentNPV(AF111,_xll.qlInstrumentSetPricingEngine(AF111,_xll.qlBachelierBlackCapFloorEngine(,Curve!$S$16,CapletCalibration!$D$20)))</f>
        <v>2138.7801287147076</v>
      </c>
      <c r="AG130" s="116">
        <f>_xll.qlInstrumentNPV(AG111,_xll.qlInstrumentSetPricingEngine(AG111,_xll.qlBachelierBlackCapFloorEngine(,Curve!$S$16,CapletCalibration!$D$20)))</f>
        <v>1418.3233272057321</v>
      </c>
      <c r="AH130" s="116">
        <f>_xll.qlInstrumentNPV(AH111,_xll.qlInstrumentSetPricingEngine(AH111,_xll.qlBachelierBlackCapFloorEngine(,Curve!$S$16,CapletCalibration!$D$20)))</f>
        <v>690.80966318773835</v>
      </c>
      <c r="AI130" s="117">
        <f>_xll.qlInstrumentNPV(AI111,_xll.qlInstrumentSetPricingEngine(AI111,_xll.qlBachelierBlackCapFloorEngine(,Curve!$S$16,CapletCalibration!$D$20)))</f>
        <v>185.09585973180762</v>
      </c>
    </row>
    <row r="131" spans="3:35">
      <c r="T131" s="61"/>
    </row>
    <row r="132" spans="3:35">
      <c r="T132" s="61"/>
    </row>
    <row r="133" spans="3:35">
      <c r="C133" s="62" t="s">
        <v>165</v>
      </c>
      <c r="D133" s="63"/>
      <c r="E133" s="64"/>
      <c r="F133" s="64">
        <v>-0.5</v>
      </c>
      <c r="G133" s="64">
        <v>-0.25</v>
      </c>
      <c r="H133" s="64">
        <v>-0.13</v>
      </c>
      <c r="I133" s="64">
        <v>0</v>
      </c>
      <c r="J133" s="64">
        <v>0.13</v>
      </c>
      <c r="K133" s="64">
        <v>0.25</v>
      </c>
      <c r="L133" s="64">
        <v>0.5</v>
      </c>
      <c r="M133" s="64">
        <v>1</v>
      </c>
      <c r="N133" s="64">
        <v>1.5</v>
      </c>
      <c r="O133" s="64">
        <v>2</v>
      </c>
      <c r="P133" s="64">
        <v>3</v>
      </c>
      <c r="Q133" s="64">
        <v>5</v>
      </c>
      <c r="R133" s="65">
        <v>10</v>
      </c>
      <c r="T133" s="62" t="s">
        <v>165</v>
      </c>
      <c r="U133" s="63"/>
      <c r="V133" s="64"/>
      <c r="W133" s="64">
        <v>-0.5</v>
      </c>
      <c r="X133" s="64">
        <v>-0.25</v>
      </c>
      <c r="Y133" s="64">
        <v>-0.13</v>
      </c>
      <c r="Z133" s="64">
        <v>0</v>
      </c>
      <c r="AA133" s="64">
        <v>0.13</v>
      </c>
      <c r="AB133" s="64">
        <v>0.25</v>
      </c>
      <c r="AC133" s="64">
        <v>0.5</v>
      </c>
      <c r="AD133" s="64">
        <v>1</v>
      </c>
      <c r="AE133" s="64">
        <v>1.5</v>
      </c>
      <c r="AF133" s="64">
        <v>2</v>
      </c>
      <c r="AG133" s="64">
        <v>3</v>
      </c>
      <c r="AH133" s="64">
        <v>5</v>
      </c>
      <c r="AI133" s="65">
        <v>10</v>
      </c>
    </row>
    <row r="134" spans="3:35">
      <c r="C134" s="66" t="s">
        <v>23</v>
      </c>
      <c r="D134" s="105"/>
      <c r="E134" s="88"/>
      <c r="F134" s="109">
        <f t="shared" ref="F134:M143" si="32">F77-F115</f>
        <v>0.46837051176480482</v>
      </c>
      <c r="G134" s="109">
        <f t="shared" si="32"/>
        <v>-0.12976079237633287</v>
      </c>
      <c r="H134" s="109">
        <f t="shared" si="32"/>
        <v>-3.3962652855628939E-2</v>
      </c>
      <c r="I134" s="109">
        <f t="shared" si="32"/>
        <v>-1.4754999665633761E-2</v>
      </c>
      <c r="J134" s="110">
        <f t="shared" si="32"/>
        <v>9.3384528963952995E-2</v>
      </c>
      <c r="K134" s="110">
        <f t="shared" si="32"/>
        <v>0.31020844607448339</v>
      </c>
      <c r="L134" s="110">
        <f t="shared" si="32"/>
        <v>4.177078960831293E-2</v>
      </c>
      <c r="M134" s="110">
        <f t="shared" si="32"/>
        <v>0.47803246895381424</v>
      </c>
      <c r="N134" s="110"/>
      <c r="O134" s="110"/>
      <c r="P134" s="110"/>
      <c r="Q134" s="110"/>
      <c r="R134" s="111"/>
      <c r="T134" s="66" t="s">
        <v>23</v>
      </c>
      <c r="U134" s="105"/>
      <c r="V134" s="88"/>
      <c r="W134" s="109">
        <f t="shared" ref="W134:W149" si="33">F77-W115</f>
        <v>0.62782118312012469</v>
      </c>
      <c r="X134" s="109">
        <f t="shared" ref="X134:X149" si="34">G77-X115</f>
        <v>-8.4354692807520504E-2</v>
      </c>
      <c r="Y134" s="109">
        <f t="shared" ref="Y134:Y149" si="35">H77-Y115</f>
        <v>-7.3192628048068364E-2</v>
      </c>
      <c r="Z134" s="109">
        <f t="shared" ref="Z134:Z149" si="36">I77-Z115</f>
        <v>0.25932006620792336</v>
      </c>
      <c r="AA134" s="110">
        <f t="shared" ref="AA134:AA149" si="37">J77-AA115</f>
        <v>0.99372790191393978</v>
      </c>
      <c r="AB134" s="110">
        <f t="shared" ref="AB134:AB149" si="38">K77-AB115</f>
        <v>1.3167198884486979</v>
      </c>
      <c r="AC134" s="110">
        <f t="shared" ref="AC134:AC149" si="39">L77-AC115</f>
        <v>0.82300226531723419</v>
      </c>
      <c r="AD134" s="110">
        <f t="shared" ref="AD134:AD149" si="40">M77-AD115</f>
        <v>0.93716531309663098</v>
      </c>
      <c r="AE134" s="110"/>
      <c r="AF134" s="110"/>
      <c r="AG134" s="110"/>
      <c r="AH134" s="110"/>
      <c r="AI134" s="111"/>
    </row>
    <row r="135" spans="3:35">
      <c r="C135" s="70" t="s">
        <v>47</v>
      </c>
      <c r="D135" s="106"/>
      <c r="E135" s="90"/>
      <c r="F135" s="112">
        <f t="shared" si="32"/>
        <v>0.24570334418253958</v>
      </c>
      <c r="G135" s="112">
        <f t="shared" si="32"/>
        <v>-0.15468125586124515</v>
      </c>
      <c r="H135" s="112">
        <f t="shared" si="32"/>
        <v>0.10978278475817671</v>
      </c>
      <c r="I135" s="112">
        <f t="shared" si="32"/>
        <v>0.23459647422199126</v>
      </c>
      <c r="J135" s="113">
        <f t="shared" si="32"/>
        <v>-2.2736600778660687E-2</v>
      </c>
      <c r="K135" s="113">
        <f t="shared" si="32"/>
        <v>-0.19034392089375807</v>
      </c>
      <c r="L135" s="113">
        <f t="shared" si="32"/>
        <v>-0.21057874535262489</v>
      </c>
      <c r="M135" s="113">
        <f t="shared" si="32"/>
        <v>6.2656227687868382E-2</v>
      </c>
      <c r="N135" s="113">
        <f t="shared" ref="N135:Q149" si="41">N78-N116</f>
        <v>-0.44550475775151988</v>
      </c>
      <c r="O135" s="113">
        <f t="shared" si="41"/>
        <v>-0.12105886599063309</v>
      </c>
      <c r="P135" s="113">
        <f t="shared" si="41"/>
        <v>0.1643154891797578</v>
      </c>
      <c r="Q135" s="113">
        <f t="shared" si="41"/>
        <v>0.42549265821462035</v>
      </c>
      <c r="R135" s="114"/>
      <c r="T135" s="70" t="s">
        <v>47</v>
      </c>
      <c r="U135" s="106"/>
      <c r="V135" s="90"/>
      <c r="W135" s="112">
        <f t="shared" si="33"/>
        <v>0.33843720242765807</v>
      </c>
      <c r="X135" s="112">
        <f t="shared" si="34"/>
        <v>-0.50095587175753709</v>
      </c>
      <c r="Y135" s="112">
        <f t="shared" si="35"/>
        <v>-0.47593307530964779</v>
      </c>
      <c r="Z135" s="112">
        <f t="shared" si="36"/>
        <v>8.0639167729879446E-2</v>
      </c>
      <c r="AA135" s="113">
        <f t="shared" si="37"/>
        <v>1.0366003103851211</v>
      </c>
      <c r="AB135" s="113">
        <f t="shared" si="38"/>
        <v>1.4841370018958093</v>
      </c>
      <c r="AC135" s="113">
        <f t="shared" si="39"/>
        <v>1.5648252253465618</v>
      </c>
      <c r="AD135" s="113">
        <f t="shared" si="40"/>
        <v>1.350883193962757</v>
      </c>
      <c r="AE135" s="113">
        <f t="shared" ref="AE135:AE149" si="42">N78-AE116</f>
        <v>0.51117974867873517</v>
      </c>
      <c r="AF135" s="113">
        <f t="shared" ref="AF135:AF149" si="43">O78-AF116</f>
        <v>0.6083466846184975</v>
      </c>
      <c r="AG135" s="113">
        <f t="shared" ref="AG135:AG149" si="44">P78-AG116</f>
        <v>0.75669320033926124</v>
      </c>
      <c r="AH135" s="113">
        <f t="shared" ref="AH135:AH149" si="45">Q78-AH116</f>
        <v>0.85241130168159307</v>
      </c>
      <c r="AI135" s="114"/>
    </row>
    <row r="136" spans="3:35">
      <c r="C136" s="70" t="s">
        <v>24</v>
      </c>
      <c r="D136" s="106"/>
      <c r="E136" s="90"/>
      <c r="F136" s="112">
        <f t="shared" si="32"/>
        <v>-0.30906274307817672</v>
      </c>
      <c r="G136" s="112">
        <f t="shared" si="32"/>
        <v>0.23357231221240227</v>
      </c>
      <c r="H136" s="112">
        <f t="shared" si="32"/>
        <v>-0.43987623881380955</v>
      </c>
      <c r="I136" s="112">
        <f t="shared" si="32"/>
        <v>4.0497120623593119E-2</v>
      </c>
      <c r="J136" s="113">
        <f t="shared" si="32"/>
        <v>6.4927187860028823E-2</v>
      </c>
      <c r="K136" s="113">
        <f t="shared" si="32"/>
        <v>-0.40950061614094224</v>
      </c>
      <c r="L136" s="113">
        <f t="shared" si="32"/>
        <v>-1.381865471608279E-2</v>
      </c>
      <c r="M136" s="113">
        <f t="shared" si="32"/>
        <v>-0.10269144622782989</v>
      </c>
      <c r="N136" s="113">
        <f t="shared" si="41"/>
        <v>1.1635623693608821E-3</v>
      </c>
      <c r="O136" s="113">
        <f t="shared" si="41"/>
        <v>-0.39258047484713021</v>
      </c>
      <c r="P136" s="113">
        <f t="shared" si="41"/>
        <v>0.26284418331087389</v>
      </c>
      <c r="Q136" s="113">
        <f t="shared" si="41"/>
        <v>-0.12580644297839894</v>
      </c>
      <c r="R136" s="114">
        <f t="shared" ref="R136:R149" si="46">R79-R117</f>
        <v>0.36417005103026723</v>
      </c>
      <c r="T136" s="70" t="s">
        <v>24</v>
      </c>
      <c r="U136" s="106"/>
      <c r="V136" s="90"/>
      <c r="W136" s="112">
        <f t="shared" si="33"/>
        <v>-0.99249011248062757</v>
      </c>
      <c r="X136" s="112">
        <f t="shared" si="34"/>
        <v>-1.1681480724667779</v>
      </c>
      <c r="Y136" s="112">
        <f t="shared" si="35"/>
        <v>-2.1410463233629393</v>
      </c>
      <c r="Z136" s="112">
        <f t="shared" si="36"/>
        <v>-1.1817021595637911</v>
      </c>
      <c r="AA136" s="113">
        <f t="shared" si="37"/>
        <v>0.16702096029982272</v>
      </c>
      <c r="AB136" s="113">
        <f t="shared" si="38"/>
        <v>0.55181887467512425</v>
      </c>
      <c r="AC136" s="113">
        <f t="shared" si="39"/>
        <v>1.7096512070665844</v>
      </c>
      <c r="AD136" s="113">
        <f t="shared" si="40"/>
        <v>1.4420572658173114</v>
      </c>
      <c r="AE136" s="113">
        <f t="shared" si="42"/>
        <v>1.165040091371115</v>
      </c>
      <c r="AF136" s="113">
        <f t="shared" si="43"/>
        <v>0.55642938082967608</v>
      </c>
      <c r="AG136" s="113">
        <f t="shared" si="44"/>
        <v>1.0682532435722263</v>
      </c>
      <c r="AH136" s="113">
        <f t="shared" si="45"/>
        <v>0.38720824635728668</v>
      </c>
      <c r="AI136" s="114">
        <f t="shared" ref="AI136:AI149" si="47">R79-AI117</f>
        <v>0.73079284344851836</v>
      </c>
    </row>
    <row r="137" spans="3:35">
      <c r="C137" s="70" t="s">
        <v>25</v>
      </c>
      <c r="D137" s="103"/>
      <c r="E137" s="107"/>
      <c r="F137" s="112">
        <f t="shared" si="32"/>
        <v>0.48468952304778057</v>
      </c>
      <c r="G137" s="112">
        <f t="shared" si="32"/>
        <v>-0.45979132130505462</v>
      </c>
      <c r="H137" s="112">
        <f t="shared" si="32"/>
        <v>0.37646083226100302</v>
      </c>
      <c r="I137" s="112">
        <f t="shared" si="32"/>
        <v>-0.23012209479843904</v>
      </c>
      <c r="J137" s="112">
        <f t="shared" si="32"/>
        <v>0.11287536018682687</v>
      </c>
      <c r="K137" s="112">
        <f t="shared" si="32"/>
        <v>0.51178776915860169</v>
      </c>
      <c r="L137" s="113">
        <f t="shared" si="32"/>
        <v>-0.18511409079661334</v>
      </c>
      <c r="M137" s="113">
        <f t="shared" si="32"/>
        <v>-7.4794275113283959E-2</v>
      </c>
      <c r="N137" s="113">
        <f t="shared" si="41"/>
        <v>0.32577973726925613</v>
      </c>
      <c r="O137" s="113">
        <f t="shared" si="41"/>
        <v>-4.6408603220051248E-2</v>
      </c>
      <c r="P137" s="113">
        <f t="shared" si="41"/>
        <v>0.65074688444475015</v>
      </c>
      <c r="Q137" s="113">
        <f t="shared" si="41"/>
        <v>0.49527699010165138</v>
      </c>
      <c r="R137" s="114">
        <f t="shared" si="46"/>
        <v>-8.4383911153997904E-2</v>
      </c>
      <c r="T137" s="70" t="s">
        <v>25</v>
      </c>
      <c r="U137" s="103"/>
      <c r="V137" s="107"/>
      <c r="W137" s="112">
        <f t="shared" si="33"/>
        <v>0.48828065850885061</v>
      </c>
      <c r="X137" s="112">
        <f t="shared" si="34"/>
        <v>-0.44772096576856413</v>
      </c>
      <c r="Y137" s="112">
        <f t="shared" si="35"/>
        <v>0.3942782205983022</v>
      </c>
      <c r="Z137" s="112">
        <f t="shared" si="36"/>
        <v>-0.20593552022430828</v>
      </c>
      <c r="AA137" s="112">
        <f t="shared" si="37"/>
        <v>0.13802277670362884</v>
      </c>
      <c r="AB137" s="112">
        <f t="shared" si="38"/>
        <v>0.53504088822203499</v>
      </c>
      <c r="AC137" s="113">
        <f t="shared" si="39"/>
        <v>-0.17383482919623816</v>
      </c>
      <c r="AD137" s="113">
        <f t="shared" si="40"/>
        <v>-7.2772558557353761E-2</v>
      </c>
      <c r="AE137" s="113">
        <f t="shared" si="42"/>
        <v>0.32709138170210927</v>
      </c>
      <c r="AF137" s="113">
        <f t="shared" si="43"/>
        <v>-4.4937934315365524E-2</v>
      </c>
      <c r="AG137" s="113">
        <f t="shared" si="44"/>
        <v>0.65241239643150806</v>
      </c>
      <c r="AH137" s="113">
        <f t="shared" si="45"/>
        <v>0.49779732007125421</v>
      </c>
      <c r="AI137" s="114">
        <f t="shared" si="47"/>
        <v>-8.2559277957112043E-2</v>
      </c>
    </row>
    <row r="138" spans="3:35">
      <c r="C138" s="70" t="s">
        <v>26</v>
      </c>
      <c r="D138" s="103"/>
      <c r="E138" s="107"/>
      <c r="F138" s="112">
        <f t="shared" si="32"/>
        <v>-4.2813670490531308E-3</v>
      </c>
      <c r="G138" s="112">
        <f t="shared" si="32"/>
        <v>0.41532653508562234</v>
      </c>
      <c r="H138" s="112">
        <f t="shared" si="32"/>
        <v>0.57189466880999973</v>
      </c>
      <c r="I138" s="112">
        <f t="shared" si="32"/>
        <v>-0.26699095773565062</v>
      </c>
      <c r="J138" s="112">
        <f t="shared" si="32"/>
        <v>0.38193676513598263</v>
      </c>
      <c r="K138" s="112">
        <f t="shared" si="32"/>
        <v>-0.15979667653692786</v>
      </c>
      <c r="L138" s="113">
        <f t="shared" si="32"/>
        <v>0.42962554571403189</v>
      </c>
      <c r="M138" s="113">
        <f t="shared" si="32"/>
        <v>0.49837032398709624</v>
      </c>
      <c r="N138" s="113">
        <f t="shared" si="41"/>
        <v>0.32591642412934263</v>
      </c>
      <c r="O138" s="113">
        <f t="shared" si="41"/>
        <v>0.18213484468805774</v>
      </c>
      <c r="P138" s="113">
        <f t="shared" si="41"/>
        <v>0.4362453521489229</v>
      </c>
      <c r="Q138" s="113">
        <f t="shared" si="41"/>
        <v>0.42056564671749719</v>
      </c>
      <c r="R138" s="114">
        <f t="shared" si="46"/>
        <v>-8.5630295455006333E-2</v>
      </c>
      <c r="T138" s="70" t="s">
        <v>26</v>
      </c>
      <c r="U138" s="103"/>
      <c r="V138" s="107"/>
      <c r="W138" s="112">
        <f t="shared" si="33"/>
        <v>-4.8853863120328356E-3</v>
      </c>
      <c r="X138" s="112">
        <f t="shared" si="34"/>
        <v>0.42145332107740074</v>
      </c>
      <c r="Y138" s="112">
        <f t="shared" si="35"/>
        <v>0.5822216815452812</v>
      </c>
      <c r="Z138" s="112">
        <f t="shared" si="36"/>
        <v>-0.25212633891061387</v>
      </c>
      <c r="AA138" s="112">
        <f t="shared" si="37"/>
        <v>0.39804303592679702</v>
      </c>
      <c r="AB138" s="112">
        <f t="shared" si="38"/>
        <v>-0.14433076462782424</v>
      </c>
      <c r="AC138" s="113">
        <f t="shared" si="39"/>
        <v>0.43258794272081502</v>
      </c>
      <c r="AD138" s="113">
        <f t="shared" si="40"/>
        <v>0.4879715384999912</v>
      </c>
      <c r="AE138" s="113">
        <f t="shared" si="42"/>
        <v>0.31413189747254933</v>
      </c>
      <c r="AF138" s="113">
        <f t="shared" si="43"/>
        <v>0.18911591682214279</v>
      </c>
      <c r="AG138" s="113">
        <f t="shared" si="44"/>
        <v>0.44237016818507158</v>
      </c>
      <c r="AH138" s="113">
        <f t="shared" si="45"/>
        <v>0.4263992524497624</v>
      </c>
      <c r="AI138" s="114">
        <f t="shared" si="47"/>
        <v>-8.2281712558648579E-2</v>
      </c>
    </row>
    <row r="139" spans="3:35">
      <c r="C139" s="70" t="s">
        <v>27</v>
      </c>
      <c r="D139" s="103"/>
      <c r="E139" s="107"/>
      <c r="F139" s="112">
        <f t="shared" si="32"/>
        <v>-0.2256709884115331</v>
      </c>
      <c r="G139" s="112">
        <f t="shared" si="32"/>
        <v>0.31478521104639157</v>
      </c>
      <c r="H139" s="112">
        <f t="shared" si="32"/>
        <v>-8.4334037251515781E-2</v>
      </c>
      <c r="I139" s="112">
        <f t="shared" si="32"/>
        <v>8.9322174812920707E-2</v>
      </c>
      <c r="J139" s="112">
        <f t="shared" si="32"/>
        <v>0.63180203643064203</v>
      </c>
      <c r="K139" s="112">
        <f t="shared" si="32"/>
        <v>-0.42998550386033685</v>
      </c>
      <c r="L139" s="112">
        <f t="shared" si="32"/>
        <v>0.47348066999430216</v>
      </c>
      <c r="M139" s="113">
        <f t="shared" si="32"/>
        <v>-0.20852896628019835</v>
      </c>
      <c r="N139" s="113">
        <f t="shared" si="41"/>
        <v>-0.373052650054575</v>
      </c>
      <c r="O139" s="113">
        <f t="shared" si="41"/>
        <v>-0.48001341552576093</v>
      </c>
      <c r="P139" s="113">
        <f t="shared" si="41"/>
        <v>-0.11368118724303145</v>
      </c>
      <c r="Q139" s="113">
        <f t="shared" si="41"/>
        <v>0.14291389485446615</v>
      </c>
      <c r="R139" s="114">
        <f t="shared" si="46"/>
        <v>-0.43681764609004992</v>
      </c>
      <c r="T139" s="70" t="s">
        <v>27</v>
      </c>
      <c r="U139" s="103"/>
      <c r="V139" s="107"/>
      <c r="W139" s="112">
        <f t="shared" si="33"/>
        <v>-0.2313798042798112</v>
      </c>
      <c r="X139" s="112">
        <f t="shared" si="34"/>
        <v>0.3075199830502271</v>
      </c>
      <c r="Y139" s="112">
        <f t="shared" si="35"/>
        <v>-9.2506320826984734E-2</v>
      </c>
      <c r="Z139" s="112">
        <f t="shared" si="36"/>
        <v>8.0008058151982198E-2</v>
      </c>
      <c r="AA139" s="112">
        <f t="shared" si="37"/>
        <v>0.62121120023697074</v>
      </c>
      <c r="AB139" s="112">
        <f t="shared" si="38"/>
        <v>-0.44192030029947205</v>
      </c>
      <c r="AC139" s="112">
        <f t="shared" si="39"/>
        <v>0.45834597213598727</v>
      </c>
      <c r="AD139" s="113">
        <f t="shared" si="40"/>
        <v>-0.23080723730775787</v>
      </c>
      <c r="AE139" s="113">
        <f t="shared" si="42"/>
        <v>-0.40128478002313273</v>
      </c>
      <c r="AF139" s="113">
        <f t="shared" si="43"/>
        <v>-0.4715398742162904</v>
      </c>
      <c r="AG139" s="113">
        <f t="shared" si="44"/>
        <v>-0.10928627466964258</v>
      </c>
      <c r="AH139" s="113">
        <f t="shared" si="45"/>
        <v>0.1445632387563407</v>
      </c>
      <c r="AI139" s="114">
        <f t="shared" si="47"/>
        <v>-0.43645381630590574</v>
      </c>
    </row>
    <row r="140" spans="3:35">
      <c r="C140" s="70" t="s">
        <v>28</v>
      </c>
      <c r="D140" s="103"/>
      <c r="E140" s="107"/>
      <c r="F140" s="112">
        <f t="shared" si="32"/>
        <v>0.59844008380830616</v>
      </c>
      <c r="G140" s="112">
        <f t="shared" si="32"/>
        <v>0.24775683747646582</v>
      </c>
      <c r="H140" s="112">
        <f t="shared" si="32"/>
        <v>7.6637689948327647E-2</v>
      </c>
      <c r="I140" s="112">
        <f t="shared" si="32"/>
        <v>0.5801032537785602</v>
      </c>
      <c r="J140" s="112">
        <f t="shared" si="32"/>
        <v>-0.28269503892508396</v>
      </c>
      <c r="K140" s="112">
        <f t="shared" si="32"/>
        <v>-0.2537554617192086</v>
      </c>
      <c r="L140" s="112">
        <f t="shared" si="32"/>
        <v>-0.21066988426605349</v>
      </c>
      <c r="M140" s="113">
        <f t="shared" si="32"/>
        <v>-0.31104138386675118</v>
      </c>
      <c r="N140" s="113">
        <f t="shared" si="41"/>
        <v>-0.46996797975745608</v>
      </c>
      <c r="O140" s="113">
        <f t="shared" si="41"/>
        <v>1.7783910434630457E-2</v>
      </c>
      <c r="P140" s="113">
        <f t="shared" si="41"/>
        <v>-0.14138015509191604</v>
      </c>
      <c r="Q140" s="113">
        <f t="shared" si="41"/>
        <v>0.10519227861633595</v>
      </c>
      <c r="R140" s="114">
        <f t="shared" si="46"/>
        <v>-4.9403101455292031E-2</v>
      </c>
      <c r="T140" s="70" t="s">
        <v>28</v>
      </c>
      <c r="U140" s="103"/>
      <c r="V140" s="107"/>
      <c r="W140" s="112">
        <f t="shared" si="33"/>
        <v>0.59273126795042685</v>
      </c>
      <c r="X140" s="112">
        <f t="shared" si="34"/>
        <v>0.24049160947707549</v>
      </c>
      <c r="Y140" s="112">
        <f t="shared" si="35"/>
        <v>6.8465406366598813E-2</v>
      </c>
      <c r="Z140" s="112">
        <f t="shared" si="36"/>
        <v>0.57078913711276869</v>
      </c>
      <c r="AA140" s="112">
        <f t="shared" si="37"/>
        <v>-0.29328587511929527</v>
      </c>
      <c r="AB140" s="112">
        <f t="shared" si="38"/>
        <v>-0.26569025815608427</v>
      </c>
      <c r="AC140" s="112">
        <f t="shared" si="39"/>
        <v>-0.2258045821237431</v>
      </c>
      <c r="AD140" s="113">
        <f t="shared" si="40"/>
        <v>-0.33331965489409754</v>
      </c>
      <c r="AE140" s="113">
        <f t="shared" si="42"/>
        <v>-0.49820010972601381</v>
      </c>
      <c r="AF140" s="113">
        <f t="shared" si="43"/>
        <v>2.625745174343308E-2</v>
      </c>
      <c r="AG140" s="113">
        <f t="shared" si="44"/>
        <v>-0.13698524251632449</v>
      </c>
      <c r="AH140" s="113">
        <f t="shared" si="45"/>
        <v>0.10684162259587282</v>
      </c>
      <c r="AI140" s="114">
        <f t="shared" si="47"/>
        <v>-4.9039271316721589E-2</v>
      </c>
    </row>
    <row r="141" spans="3:35">
      <c r="C141" s="70" t="s">
        <v>29</v>
      </c>
      <c r="D141" s="103"/>
      <c r="E141" s="107"/>
      <c r="F141" s="112">
        <f t="shared" si="32"/>
        <v>0.29472412299767825</v>
      </c>
      <c r="G141" s="112">
        <f t="shared" si="32"/>
        <v>-7.3006812810731958E-2</v>
      </c>
      <c r="H141" s="112">
        <f t="shared" si="32"/>
        <v>0.26983517131354517</v>
      </c>
      <c r="I141" s="112">
        <f t="shared" si="32"/>
        <v>1.262349890043879E-2</v>
      </c>
      <c r="J141" s="112">
        <f t="shared" si="32"/>
        <v>0.34929628161540904</v>
      </c>
      <c r="K141" s="112">
        <f t="shared" si="32"/>
        <v>0.17328398946685297</v>
      </c>
      <c r="L141" s="112">
        <f t="shared" si="32"/>
        <v>0.40641414680644061</v>
      </c>
      <c r="M141" s="113">
        <f t="shared" si="32"/>
        <v>-1.1105587503847119</v>
      </c>
      <c r="N141" s="113">
        <f t="shared" si="41"/>
        <v>-0.85198772241071197</v>
      </c>
      <c r="O141" s="113">
        <f t="shared" si="41"/>
        <v>-1.0873877165230965</v>
      </c>
      <c r="P141" s="113">
        <f t="shared" si="41"/>
        <v>-0.52668840958861551</v>
      </c>
      <c r="Q141" s="113">
        <f t="shared" si="41"/>
        <v>1.1485366014394032</v>
      </c>
      <c r="R141" s="114">
        <f t="shared" si="46"/>
        <v>-0.35254345295500933</v>
      </c>
      <c r="T141" s="70" t="s">
        <v>29</v>
      </c>
      <c r="U141" s="103"/>
      <c r="V141" s="107"/>
      <c r="W141" s="112">
        <f t="shared" si="33"/>
        <v>0.28901530714860257</v>
      </c>
      <c r="X141" s="112">
        <f t="shared" si="34"/>
        <v>-8.0272040814648449E-2</v>
      </c>
      <c r="Y141" s="112">
        <f t="shared" si="35"/>
        <v>0.26166288772493829</v>
      </c>
      <c r="Z141" s="112">
        <f t="shared" si="36"/>
        <v>3.3093822287639796E-3</v>
      </c>
      <c r="AA141" s="112">
        <f t="shared" si="37"/>
        <v>0.33870544541876768</v>
      </c>
      <c r="AB141" s="112">
        <f t="shared" si="38"/>
        <v>0.16134919303118522</v>
      </c>
      <c r="AC141" s="112">
        <f t="shared" si="39"/>
        <v>0.39127944895105315</v>
      </c>
      <c r="AD141" s="113">
        <f t="shared" si="40"/>
        <v>-1.1328370214124561</v>
      </c>
      <c r="AE141" s="113">
        <f t="shared" si="42"/>
        <v>-0.88021985237963918</v>
      </c>
      <c r="AF141" s="113">
        <f t="shared" si="43"/>
        <v>-1.078914175214237</v>
      </c>
      <c r="AG141" s="113">
        <f t="shared" si="44"/>
        <v>-0.52229349701393346</v>
      </c>
      <c r="AH141" s="113">
        <f t="shared" si="45"/>
        <v>1.1501859454002279</v>
      </c>
      <c r="AI141" s="114">
        <f t="shared" si="47"/>
        <v>-0.3521796228968519</v>
      </c>
    </row>
    <row r="142" spans="3:35">
      <c r="C142" s="70" t="s">
        <v>30</v>
      </c>
      <c r="D142" s="103"/>
      <c r="E142" s="107"/>
      <c r="F142" s="112">
        <f t="shared" si="32"/>
        <v>0.35824111049451801</v>
      </c>
      <c r="G142" s="112">
        <f t="shared" si="32"/>
        <v>-0.10540836720929292</v>
      </c>
      <c r="H142" s="112">
        <f t="shared" si="32"/>
        <v>0.94815084826115026</v>
      </c>
      <c r="I142" s="112">
        <f t="shared" si="32"/>
        <v>0.30988847285433962</v>
      </c>
      <c r="J142" s="112">
        <f t="shared" si="32"/>
        <v>0.9408013323884461</v>
      </c>
      <c r="K142" s="112">
        <f t="shared" si="32"/>
        <v>0.85664842896619575</v>
      </c>
      <c r="L142" s="112">
        <f t="shared" si="32"/>
        <v>0.90927715040888302</v>
      </c>
      <c r="M142" s="113">
        <f t="shared" si="32"/>
        <v>-1.7843033557942931</v>
      </c>
      <c r="N142" s="113">
        <f t="shared" si="41"/>
        <v>-1.1600603018492279</v>
      </c>
      <c r="O142" s="113">
        <f t="shared" si="41"/>
        <v>-1.2705375155796332</v>
      </c>
      <c r="P142" s="113">
        <f t="shared" si="41"/>
        <v>-0.3726814271004173</v>
      </c>
      <c r="Q142" s="113">
        <f t="shared" si="41"/>
        <v>0.88664524695081326</v>
      </c>
      <c r="R142" s="114">
        <f t="shared" si="46"/>
        <v>-0.36534518436721619</v>
      </c>
      <c r="T142" s="70" t="s">
        <v>30</v>
      </c>
      <c r="U142" s="103"/>
      <c r="V142" s="107"/>
      <c r="W142" s="112">
        <f t="shared" si="33"/>
        <v>0.35253229465938318</v>
      </c>
      <c r="X142" s="112">
        <f t="shared" si="34"/>
        <v>-0.11267359521326625</v>
      </c>
      <c r="Y142" s="112">
        <f t="shared" si="35"/>
        <v>0.93997856466776852</v>
      </c>
      <c r="Z142" s="112">
        <f t="shared" si="36"/>
        <v>0.30057435617547412</v>
      </c>
      <c r="AA142" s="112">
        <f t="shared" si="37"/>
        <v>0.93021049618641882</v>
      </c>
      <c r="AB142" s="112">
        <f t="shared" si="38"/>
        <v>0.84471363252868059</v>
      </c>
      <c r="AC142" s="112">
        <f t="shared" si="39"/>
        <v>0.894142452556423</v>
      </c>
      <c r="AD142" s="113">
        <f t="shared" si="40"/>
        <v>-1.8065816268235722</v>
      </c>
      <c r="AE142" s="113">
        <f t="shared" si="42"/>
        <v>-1.1882924318182404</v>
      </c>
      <c r="AF142" s="113">
        <f t="shared" si="43"/>
        <v>-1.2620639742709727</v>
      </c>
      <c r="AG142" s="113">
        <f t="shared" si="44"/>
        <v>-0.3682865145242431</v>
      </c>
      <c r="AH142" s="113">
        <f t="shared" si="45"/>
        <v>0.88829459088055529</v>
      </c>
      <c r="AI142" s="114">
        <f t="shared" si="47"/>
        <v>-0.36498135455001446</v>
      </c>
    </row>
    <row r="143" spans="3:35">
      <c r="C143" s="70" t="s">
        <v>31</v>
      </c>
      <c r="D143" s="103"/>
      <c r="E143" s="107"/>
      <c r="F143" s="112">
        <f t="shared" si="32"/>
        <v>-6.7833059017942787E-2</v>
      </c>
      <c r="G143" s="112">
        <f t="shared" si="32"/>
        <v>0.45030424009038938</v>
      </c>
      <c r="H143" s="112">
        <f t="shared" si="32"/>
        <v>0.90676696147590974</v>
      </c>
      <c r="I143" s="112">
        <f t="shared" si="32"/>
        <v>0.21888593506452025</v>
      </c>
      <c r="J143" s="112">
        <f t="shared" si="32"/>
        <v>1.0202880890143149</v>
      </c>
      <c r="K143" s="112">
        <f t="shared" si="32"/>
        <v>0.7908005052075282</v>
      </c>
      <c r="L143" s="112">
        <f t="shared" si="32"/>
        <v>0.85958128831396152</v>
      </c>
      <c r="M143" s="112">
        <f t="shared" si="32"/>
        <v>0.96321357627590487</v>
      </c>
      <c r="N143" s="113">
        <f t="shared" si="41"/>
        <v>-1.904022735341357</v>
      </c>
      <c r="O143" s="113">
        <f t="shared" si="41"/>
        <v>-1.2260715452241016</v>
      </c>
      <c r="P143" s="113">
        <f t="shared" si="41"/>
        <v>-1.1826888304027534</v>
      </c>
      <c r="Q143" s="113">
        <f t="shared" si="41"/>
        <v>-0.49156012760583678</v>
      </c>
      <c r="R143" s="114">
        <f t="shared" si="46"/>
        <v>0.38921120751543725</v>
      </c>
      <c r="T143" s="70" t="s">
        <v>31</v>
      </c>
      <c r="U143" s="103"/>
      <c r="V143" s="107"/>
      <c r="W143" s="112">
        <f t="shared" si="33"/>
        <v>-9.9594817586236672E-2</v>
      </c>
      <c r="X143" s="112">
        <f t="shared" si="34"/>
        <v>0.42464777853498958</v>
      </c>
      <c r="Y143" s="112">
        <f t="shared" si="35"/>
        <v>0.88518840692586309</v>
      </c>
      <c r="Z143" s="112">
        <f t="shared" si="36"/>
        <v>0.20311980893299619</v>
      </c>
      <c r="AA143" s="112">
        <f t="shared" si="37"/>
        <v>1.0059653620406266</v>
      </c>
      <c r="AB143" s="112">
        <f t="shared" si="38"/>
        <v>0.7774701944076412</v>
      </c>
      <c r="AC143" s="112">
        <f t="shared" si="39"/>
        <v>0.83773279929539513</v>
      </c>
      <c r="AD143" s="112">
        <f t="shared" si="40"/>
        <v>0.93090144924730112</v>
      </c>
      <c r="AE143" s="113">
        <f t="shared" si="42"/>
        <v>-1.9263041919591615</v>
      </c>
      <c r="AF143" s="113">
        <f t="shared" si="43"/>
        <v>-1.2225779839286588</v>
      </c>
      <c r="AG143" s="113">
        <f t="shared" si="44"/>
        <v>-1.1796610971235282</v>
      </c>
      <c r="AH143" s="113">
        <f t="shared" si="45"/>
        <v>-0.49330522095281992</v>
      </c>
      <c r="AI143" s="114">
        <f t="shared" si="47"/>
        <v>0.38100288708137597</v>
      </c>
    </row>
    <row r="144" spans="3:35">
      <c r="C144" s="70" t="s">
        <v>32</v>
      </c>
      <c r="D144" s="103"/>
      <c r="E144" s="107"/>
      <c r="F144" s="112">
        <f t="shared" ref="F144:M153" si="48">F87-F125</f>
        <v>0.64666785932456605</v>
      </c>
      <c r="G144" s="112">
        <f t="shared" si="48"/>
        <v>0.62161497454994219</v>
      </c>
      <c r="H144" s="112">
        <f t="shared" si="48"/>
        <v>0.88233437792672476</v>
      </c>
      <c r="I144" s="112">
        <f t="shared" si="48"/>
        <v>0.61810829033419168</v>
      </c>
      <c r="J144" s="112">
        <f t="shared" si="48"/>
        <v>0.59326956220647276</v>
      </c>
      <c r="K144" s="112">
        <f t="shared" si="48"/>
        <v>0.31121013242633921</v>
      </c>
      <c r="L144" s="112">
        <f t="shared" si="48"/>
        <v>1.1693037325186424</v>
      </c>
      <c r="M144" s="112">
        <f t="shared" si="48"/>
        <v>1.7858344693757999</v>
      </c>
      <c r="N144" s="113">
        <f t="shared" si="41"/>
        <v>-1.7954467686846556</v>
      </c>
      <c r="O144" s="113">
        <f t="shared" si="41"/>
        <v>-1.1311756093743952</v>
      </c>
      <c r="P144" s="113">
        <f t="shared" si="41"/>
        <v>-1.0744580821379657</v>
      </c>
      <c r="Q144" s="113">
        <f t="shared" si="41"/>
        <v>2.3647589573371874E-2</v>
      </c>
      <c r="R144" s="114">
        <f t="shared" si="46"/>
        <v>0.21222183409946638</v>
      </c>
      <c r="T144" s="70" t="s">
        <v>32</v>
      </c>
      <c r="U144" s="103"/>
      <c r="V144" s="107"/>
      <c r="W144" s="112">
        <f t="shared" si="33"/>
        <v>0.64178604735417366</v>
      </c>
      <c r="X144" s="112">
        <f t="shared" si="34"/>
        <v>0.61526221885952737</v>
      </c>
      <c r="Y144" s="112">
        <f t="shared" si="35"/>
        <v>0.87511142328040137</v>
      </c>
      <c r="Z144" s="112">
        <f t="shared" si="36"/>
        <v>0.60982586503143921</v>
      </c>
      <c r="AA144" s="112">
        <f t="shared" si="37"/>
        <v>0.58374162121623385</v>
      </c>
      <c r="AB144" s="112">
        <f t="shared" si="38"/>
        <v>0.30041628611834881</v>
      </c>
      <c r="AC144" s="112">
        <f t="shared" si="39"/>
        <v>1.1554722299592299</v>
      </c>
      <c r="AD144" s="112">
        <f t="shared" si="40"/>
        <v>1.7652256088134664</v>
      </c>
      <c r="AE144" s="113">
        <f t="shared" si="42"/>
        <v>-1.8215517292497907</v>
      </c>
      <c r="AF144" s="113">
        <f t="shared" si="43"/>
        <v>-1.1256344819659603</v>
      </c>
      <c r="AG144" s="113">
        <f t="shared" si="44"/>
        <v>-1.0719693637211947</v>
      </c>
      <c r="AH144" s="113">
        <f t="shared" si="45"/>
        <v>2.44500037506441E-2</v>
      </c>
      <c r="AI144" s="114">
        <f t="shared" si="47"/>
        <v>0.21237550693613017</v>
      </c>
    </row>
    <row r="145" spans="3:35">
      <c r="C145" s="70" t="s">
        <v>48</v>
      </c>
      <c r="D145" s="103"/>
      <c r="E145" s="107"/>
      <c r="F145" s="112">
        <f t="shared" si="48"/>
        <v>0.25980449206724643</v>
      </c>
      <c r="G145" s="112">
        <f t="shared" si="48"/>
        <v>0.41357113021359737</v>
      </c>
      <c r="H145" s="112">
        <f t="shared" si="48"/>
        <v>0.54137015567067692</v>
      </c>
      <c r="I145" s="112">
        <f t="shared" si="48"/>
        <v>0.82138012345222933</v>
      </c>
      <c r="J145" s="112">
        <f t="shared" si="48"/>
        <v>1.165778523360018</v>
      </c>
      <c r="K145" s="112">
        <f t="shared" si="48"/>
        <v>1.4046203174213474</v>
      </c>
      <c r="L145" s="112">
        <f t="shared" si="48"/>
        <v>1.2808629260139242</v>
      </c>
      <c r="M145" s="112">
        <f t="shared" si="48"/>
        <v>0.86853461037810575</v>
      </c>
      <c r="N145" s="113">
        <f t="shared" si="41"/>
        <v>-2.949421576890245</v>
      </c>
      <c r="O145" s="113">
        <f t="shared" si="41"/>
        <v>-2.6366360509142623</v>
      </c>
      <c r="P145" s="113">
        <f t="shared" si="41"/>
        <v>-0.86395065844538976</v>
      </c>
      <c r="Q145" s="113">
        <f t="shared" si="41"/>
        <v>-0.19426813661181086</v>
      </c>
      <c r="R145" s="114">
        <f t="shared" si="46"/>
        <v>0.74261891285483017</v>
      </c>
      <c r="T145" s="70" t="s">
        <v>48</v>
      </c>
      <c r="U145" s="103"/>
      <c r="V145" s="107"/>
      <c r="W145" s="112">
        <f t="shared" si="33"/>
        <v>0.25492268010592056</v>
      </c>
      <c r="X145" s="112">
        <f t="shared" si="34"/>
        <v>0.40721837455282639</v>
      </c>
      <c r="Y145" s="112">
        <f t="shared" si="35"/>
        <v>0.53414720104373714</v>
      </c>
      <c r="Z145" s="112">
        <f t="shared" si="36"/>
        <v>0.81309769815118216</v>
      </c>
      <c r="AA145" s="112">
        <f t="shared" si="37"/>
        <v>1.1562505823588367</v>
      </c>
      <c r="AB145" s="112">
        <f t="shared" si="38"/>
        <v>1.3938264710998283</v>
      </c>
      <c r="AC145" s="112">
        <f t="shared" si="39"/>
        <v>1.2670314234552507</v>
      </c>
      <c r="AD145" s="112">
        <f t="shared" si="40"/>
        <v>0.84792574981315738</v>
      </c>
      <c r="AE145" s="113">
        <f t="shared" si="42"/>
        <v>-2.9755265374542432</v>
      </c>
      <c r="AF145" s="113">
        <f t="shared" si="43"/>
        <v>-2.6310949235062253</v>
      </c>
      <c r="AG145" s="113">
        <f t="shared" si="44"/>
        <v>-0.86146194002969878</v>
      </c>
      <c r="AH145" s="113">
        <f t="shared" si="45"/>
        <v>-0.19346572240962701</v>
      </c>
      <c r="AI145" s="114">
        <f t="shared" si="47"/>
        <v>0.742772585307371</v>
      </c>
    </row>
    <row r="146" spans="3:35">
      <c r="C146" s="70" t="s">
        <v>33</v>
      </c>
      <c r="D146" s="103"/>
      <c r="E146" s="107"/>
      <c r="F146" s="112">
        <f t="shared" si="48"/>
        <v>0.78752510690000577</v>
      </c>
      <c r="G146" s="112">
        <f t="shared" si="48"/>
        <v>1.278447886665333</v>
      </c>
      <c r="H146" s="112">
        <f t="shared" si="48"/>
        <v>1.686581924365953</v>
      </c>
      <c r="I146" s="112">
        <f t="shared" si="48"/>
        <v>0.99149848006203456</v>
      </c>
      <c r="J146" s="112">
        <f t="shared" si="48"/>
        <v>1.1941445744719204</v>
      </c>
      <c r="K146" s="112">
        <f t="shared" si="48"/>
        <v>0.48994855157360462</v>
      </c>
      <c r="L146" s="112">
        <f t="shared" si="48"/>
        <v>1.6362614857713424</v>
      </c>
      <c r="M146" s="112">
        <f t="shared" si="48"/>
        <v>2.1875439495979663</v>
      </c>
      <c r="N146" s="113">
        <f t="shared" si="41"/>
        <v>-2.2171516667815467</v>
      </c>
      <c r="O146" s="113">
        <f t="shared" si="41"/>
        <v>-2.8006865859617847</v>
      </c>
      <c r="P146" s="113">
        <f t="shared" si="41"/>
        <v>-1.7304765664803199</v>
      </c>
      <c r="Q146" s="113">
        <f t="shared" si="41"/>
        <v>-0.35048360917033961</v>
      </c>
      <c r="R146" s="114">
        <f t="shared" si="46"/>
        <v>1.1961571467984342</v>
      </c>
      <c r="T146" s="70" t="s">
        <v>33</v>
      </c>
      <c r="U146" s="103"/>
      <c r="V146" s="107"/>
      <c r="W146" s="112">
        <f t="shared" si="33"/>
        <v>0.75956683081835763</v>
      </c>
      <c r="X146" s="112">
        <f t="shared" si="34"/>
        <v>1.2551843411409038</v>
      </c>
      <c r="Y146" s="112">
        <f t="shared" si="35"/>
        <v>1.6682215667783566</v>
      </c>
      <c r="Z146" s="112">
        <f t="shared" si="36"/>
        <v>0.97576377410047144</v>
      </c>
      <c r="AA146" s="112">
        <f t="shared" si="37"/>
        <v>1.1818834529457831</v>
      </c>
      <c r="AB146" s="112">
        <f t="shared" si="38"/>
        <v>0.47707279960002325</v>
      </c>
      <c r="AC146" s="112">
        <f t="shared" si="39"/>
        <v>1.6138941955181849</v>
      </c>
      <c r="AD146" s="112">
        <f t="shared" si="40"/>
        <v>2.1515955164729803</v>
      </c>
      <c r="AE146" s="113">
        <f t="shared" si="42"/>
        <v>-2.2457118482157057</v>
      </c>
      <c r="AF146" s="113">
        <f t="shared" si="43"/>
        <v>-2.7809753658907539</v>
      </c>
      <c r="AG146" s="113">
        <f t="shared" si="44"/>
        <v>-1.7190078040076742</v>
      </c>
      <c r="AH146" s="113">
        <f t="shared" si="45"/>
        <v>-0.35345512970982895</v>
      </c>
      <c r="AI146" s="114">
        <f t="shared" si="47"/>
        <v>1.1897763319785994</v>
      </c>
    </row>
    <row r="147" spans="3:35">
      <c r="C147" s="70" t="s">
        <v>34</v>
      </c>
      <c r="D147" s="103"/>
      <c r="E147" s="107"/>
      <c r="F147" s="112">
        <f t="shared" si="48"/>
        <v>2.0023930357548352</v>
      </c>
      <c r="G147" s="112">
        <f t="shared" si="48"/>
        <v>0.92407226824144573</v>
      </c>
      <c r="H147" s="112">
        <f t="shared" si="48"/>
        <v>1.569683072089731</v>
      </c>
      <c r="I147" s="112">
        <f t="shared" si="48"/>
        <v>1.8627402670399533</v>
      </c>
      <c r="J147" s="112">
        <f t="shared" si="48"/>
        <v>2.0660761397831493</v>
      </c>
      <c r="K147" s="112">
        <f t="shared" si="48"/>
        <v>2.5057925230169076</v>
      </c>
      <c r="L147" s="112">
        <f t="shared" si="48"/>
        <v>2.7161427274572816</v>
      </c>
      <c r="M147" s="112">
        <f t="shared" si="48"/>
        <v>2.136648497140186</v>
      </c>
      <c r="N147" s="112">
        <f t="shared" si="41"/>
        <v>2.01444373555114</v>
      </c>
      <c r="O147" s="113">
        <f t="shared" si="41"/>
        <v>-2.6236968219288883</v>
      </c>
      <c r="P147" s="113">
        <f t="shared" si="41"/>
        <v>-1.4900055194923425</v>
      </c>
      <c r="Q147" s="113">
        <f t="shared" si="41"/>
        <v>-1.7513293553456037</v>
      </c>
      <c r="R147" s="114">
        <f t="shared" si="46"/>
        <v>1.9449424546754983</v>
      </c>
      <c r="T147" s="70" t="s">
        <v>34</v>
      </c>
      <c r="U147" s="103"/>
      <c r="V147" s="107"/>
      <c r="W147" s="112">
        <f t="shared" si="33"/>
        <v>1.9635618233624541</v>
      </c>
      <c r="X147" s="112">
        <f t="shared" si="34"/>
        <v>0.89254024136522503</v>
      </c>
      <c r="Y147" s="112">
        <f t="shared" si="35"/>
        <v>1.5468030318203887</v>
      </c>
      <c r="Z147" s="112">
        <f t="shared" si="36"/>
        <v>1.8432868300241694</v>
      </c>
      <c r="AA147" s="112">
        <f t="shared" si="37"/>
        <v>2.052342410125334</v>
      </c>
      <c r="AB147" s="112">
        <f t="shared" si="38"/>
        <v>2.4905854036301207</v>
      </c>
      <c r="AC147" s="112">
        <f t="shared" si="39"/>
        <v>2.6877711658884209</v>
      </c>
      <c r="AD147" s="112">
        <f t="shared" si="40"/>
        <v>2.0985035443518427</v>
      </c>
      <c r="AE147" s="112">
        <f t="shared" si="42"/>
        <v>1.9895204485330851</v>
      </c>
      <c r="AF147" s="113">
        <f t="shared" si="43"/>
        <v>-2.5830925756190481</v>
      </c>
      <c r="AG147" s="113">
        <f t="shared" si="44"/>
        <v>-1.4718082726870989</v>
      </c>
      <c r="AH147" s="113">
        <f t="shared" si="45"/>
        <v>-1.7592518980455338</v>
      </c>
      <c r="AI147" s="114">
        <f t="shared" si="47"/>
        <v>1.934674534815727</v>
      </c>
    </row>
    <row r="148" spans="3:35">
      <c r="C148" s="70" t="s">
        <v>35</v>
      </c>
      <c r="D148" s="103"/>
      <c r="E148" s="107"/>
      <c r="F148" s="112">
        <f t="shared" si="48"/>
        <v>1.1662326691458134</v>
      </c>
      <c r="G148" s="112">
        <f t="shared" si="48"/>
        <v>2.4958276322113306</v>
      </c>
      <c r="H148" s="112">
        <f t="shared" si="48"/>
        <v>1.6977375062758711</v>
      </c>
      <c r="I148" s="112">
        <f t="shared" si="48"/>
        <v>2.1566678731961701</v>
      </c>
      <c r="J148" s="112">
        <f t="shared" si="48"/>
        <v>2.4366778935510638</v>
      </c>
      <c r="K148" s="112">
        <f t="shared" si="48"/>
        <v>2.1212468251948167</v>
      </c>
      <c r="L148" s="112">
        <f t="shared" si="48"/>
        <v>3.8484123396467567</v>
      </c>
      <c r="M148" s="112">
        <f t="shared" si="48"/>
        <v>2.8015570267084513</v>
      </c>
      <c r="N148" s="112">
        <f t="shared" si="41"/>
        <v>4.031312840163082</v>
      </c>
      <c r="O148" s="113">
        <f t="shared" si="41"/>
        <v>-4.7711366797364008</v>
      </c>
      <c r="P148" s="113">
        <f t="shared" si="41"/>
        <v>-2.7174405554353598</v>
      </c>
      <c r="Q148" s="113">
        <f t="shared" si="41"/>
        <v>-0.97772208623939605</v>
      </c>
      <c r="R148" s="114">
        <f t="shared" si="46"/>
        <v>2.1893243259859219</v>
      </c>
      <c r="T148" s="70" t="s">
        <v>35</v>
      </c>
      <c r="U148" s="103"/>
      <c r="V148" s="107"/>
      <c r="W148" s="112">
        <f t="shared" si="33"/>
        <v>1.1286876077822399</v>
      </c>
      <c r="X148" s="112">
        <f t="shared" si="34"/>
        <v>2.4651736675069742</v>
      </c>
      <c r="Y148" s="112">
        <f t="shared" si="35"/>
        <v>1.674822514978473</v>
      </c>
      <c r="Z148" s="112">
        <f t="shared" si="36"/>
        <v>2.1368850408388198</v>
      </c>
      <c r="AA148" s="112">
        <f t="shared" si="37"/>
        <v>2.4219913227699408</v>
      </c>
      <c r="AB148" s="112">
        <f t="shared" si="38"/>
        <v>2.1047995664260952</v>
      </c>
      <c r="AC148" s="112">
        <f t="shared" si="39"/>
        <v>3.8194058656846437</v>
      </c>
      <c r="AD148" s="112">
        <f t="shared" si="40"/>
        <v>2.7626994127945181</v>
      </c>
      <c r="AE148" s="112">
        <f t="shared" si="42"/>
        <v>4.0056909911916136</v>
      </c>
      <c r="AF148" s="113">
        <f t="shared" si="43"/>
        <v>-4.7296939203329202</v>
      </c>
      <c r="AG148" s="113">
        <f t="shared" si="44"/>
        <v>-2.6986050077637174</v>
      </c>
      <c r="AH148" s="113">
        <f t="shared" si="45"/>
        <v>-0.98456042984230407</v>
      </c>
      <c r="AI148" s="114">
        <f t="shared" si="47"/>
        <v>2.1791126894138699</v>
      </c>
    </row>
    <row r="149" spans="3:35">
      <c r="C149" s="74" t="s">
        <v>36</v>
      </c>
      <c r="D149" s="104"/>
      <c r="E149" s="108"/>
      <c r="F149" s="115">
        <f t="shared" si="48"/>
        <v>2.3130306549197712</v>
      </c>
      <c r="G149" s="115">
        <f t="shared" si="48"/>
        <v>2.834291078369688</v>
      </c>
      <c r="H149" s="115">
        <f t="shared" si="48"/>
        <v>3.7417428214688471</v>
      </c>
      <c r="I149" s="115">
        <f t="shared" si="48"/>
        <v>5.3142566179134292</v>
      </c>
      <c r="J149" s="115">
        <f t="shared" si="48"/>
        <v>4.7200587996072727</v>
      </c>
      <c r="K149" s="115">
        <f t="shared" si="48"/>
        <v>3.1360448558089047</v>
      </c>
      <c r="L149" s="115">
        <f t="shared" si="48"/>
        <v>3.9727744553233606</v>
      </c>
      <c r="M149" s="115">
        <f t="shared" si="48"/>
        <v>6.5229393756301306</v>
      </c>
      <c r="N149" s="115">
        <f t="shared" si="41"/>
        <v>5.1779021624856796</v>
      </c>
      <c r="O149" s="116">
        <f t="shared" si="41"/>
        <v>-3.7960608374773983</v>
      </c>
      <c r="P149" s="116">
        <f t="shared" si="41"/>
        <v>-3.3335363710034471</v>
      </c>
      <c r="Q149" s="116">
        <f t="shared" si="41"/>
        <v>-2.8145314675795134</v>
      </c>
      <c r="R149" s="117">
        <f t="shared" si="46"/>
        <v>6.9030030656652457</v>
      </c>
      <c r="T149" s="74" t="s">
        <v>36</v>
      </c>
      <c r="U149" s="104"/>
      <c r="V149" s="108"/>
      <c r="W149" s="115">
        <f t="shared" si="33"/>
        <v>2.3042400932093869</v>
      </c>
      <c r="X149" s="115">
        <f t="shared" si="34"/>
        <v>2.8234891912054536</v>
      </c>
      <c r="Y149" s="115">
        <f t="shared" si="35"/>
        <v>3.7297883536390373</v>
      </c>
      <c r="Z149" s="115">
        <f t="shared" si="36"/>
        <v>5.3009373422205499</v>
      </c>
      <c r="AA149" s="115">
        <f t="shared" si="37"/>
        <v>4.7051735626575919</v>
      </c>
      <c r="AB149" s="115">
        <f t="shared" si="38"/>
        <v>3.1195804250053243</v>
      </c>
      <c r="AC149" s="115">
        <f t="shared" si="39"/>
        <v>3.9526314322788494</v>
      </c>
      <c r="AD149" s="115">
        <f t="shared" si="40"/>
        <v>6.4946170039729623</v>
      </c>
      <c r="AE149" s="115">
        <f t="shared" si="42"/>
        <v>5.1426182174582209</v>
      </c>
      <c r="AF149" s="116">
        <f t="shared" si="43"/>
        <v>-3.7801287147076437</v>
      </c>
      <c r="AG149" s="116">
        <f t="shared" si="44"/>
        <v>-3.3233272057320846</v>
      </c>
      <c r="AH149" s="116">
        <f t="shared" si="45"/>
        <v>-2.8096631877383516</v>
      </c>
      <c r="AI149" s="117">
        <f t="shared" si="47"/>
        <v>6.9041402681923785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C2:S80"/>
  <sheetViews>
    <sheetView showGridLines="0" zoomScale="55" zoomScaleNormal="55" workbookViewId="0">
      <selection activeCell="V58" sqref="V58"/>
    </sheetView>
  </sheetViews>
  <sheetFormatPr defaultRowHeight="12.75"/>
  <cols>
    <col min="1" max="2" width="9.140625" style="3"/>
    <col min="3" max="3" width="12.7109375" style="3" customWidth="1"/>
    <col min="4" max="4" width="14.5703125" style="3" bestFit="1" customWidth="1"/>
    <col min="5" max="16384" width="9.140625" style="3"/>
  </cols>
  <sheetData>
    <row r="2" spans="3:18">
      <c r="C2" s="62" t="s">
        <v>166</v>
      </c>
      <c r="D2" s="120"/>
      <c r="E2" s="78"/>
      <c r="F2" s="78" t="s">
        <v>154</v>
      </c>
      <c r="G2" s="78" t="s">
        <v>155</v>
      </c>
      <c r="H2" s="78" t="s">
        <v>156</v>
      </c>
      <c r="I2" s="78" t="s">
        <v>157</v>
      </c>
      <c r="J2" s="78" t="s">
        <v>158</v>
      </c>
      <c r="K2" s="78" t="s">
        <v>146</v>
      </c>
      <c r="L2" s="78" t="s">
        <v>147</v>
      </c>
      <c r="M2" s="78" t="s">
        <v>148</v>
      </c>
      <c r="N2" s="78" t="s">
        <v>149</v>
      </c>
      <c r="O2" s="78" t="s">
        <v>150</v>
      </c>
      <c r="P2" s="78" t="s">
        <v>151</v>
      </c>
      <c r="Q2" s="78" t="s">
        <v>152</v>
      </c>
      <c r="R2" s="79" t="s">
        <v>159</v>
      </c>
    </row>
    <row r="3" spans="3:18">
      <c r="C3" s="151" t="s">
        <v>23</v>
      </c>
      <c r="D3" s="121" t="str">
        <f t="array" ref="D3">_xll.qlCapFloorTermVolSurface(,2,"Target","modified following",C6:C18,F2:R2%,F6:R18%%,"Actual/365 (Fixed)")</f>
        <v>obj_00015#0000</v>
      </c>
      <c r="E3" s="152"/>
      <c r="F3" s="152">
        <v>42.9</v>
      </c>
      <c r="G3" s="152">
        <v>32.200000000000003</v>
      </c>
      <c r="H3" s="152">
        <v>27.6</v>
      </c>
      <c r="I3" s="152">
        <v>25.4</v>
      </c>
      <c r="J3" s="152">
        <v>30.2</v>
      </c>
      <c r="K3" s="152">
        <v>34.700000000000003</v>
      </c>
      <c r="L3" s="152">
        <v>47.5</v>
      </c>
      <c r="M3" s="152">
        <v>71.5</v>
      </c>
      <c r="N3" s="152">
        <v>93.9</v>
      </c>
      <c r="O3" s="152">
        <v>115</v>
      </c>
      <c r="P3" s="152">
        <v>155</v>
      </c>
      <c r="Q3" s="152">
        <v>231</v>
      </c>
      <c r="R3" s="153">
        <v>405</v>
      </c>
    </row>
    <row r="4" spans="3:18">
      <c r="C4" s="80" t="s">
        <v>47</v>
      </c>
      <c r="D4" s="154"/>
      <c r="E4" s="155"/>
      <c r="F4" s="155">
        <v>42.8</v>
      </c>
      <c r="G4" s="155">
        <v>33.299999999999997</v>
      </c>
      <c r="H4" s="155">
        <v>29.1</v>
      </c>
      <c r="I4" s="155">
        <v>26.9</v>
      </c>
      <c r="J4" s="155">
        <v>30.8</v>
      </c>
      <c r="K4" s="155">
        <v>34.299999999999997</v>
      </c>
      <c r="L4" s="155">
        <v>45.3</v>
      </c>
      <c r="M4" s="155">
        <v>66.7</v>
      </c>
      <c r="N4" s="155">
        <v>86.8</v>
      </c>
      <c r="O4" s="155">
        <v>105</v>
      </c>
      <c r="P4" s="155">
        <v>141</v>
      </c>
      <c r="Q4" s="155">
        <v>208</v>
      </c>
      <c r="R4" s="156">
        <v>361</v>
      </c>
    </row>
    <row r="5" spans="3:18">
      <c r="C5" s="80" t="s">
        <v>24</v>
      </c>
      <c r="D5" s="154"/>
      <c r="E5" s="155"/>
      <c r="F5" s="155">
        <v>42.6</v>
      </c>
      <c r="G5" s="155">
        <v>34.6</v>
      </c>
      <c r="H5" s="155">
        <v>31</v>
      </c>
      <c r="I5" s="155">
        <v>28.9</v>
      </c>
      <c r="J5" s="155">
        <v>31.6</v>
      </c>
      <c r="K5" s="155">
        <v>33.799999999999997</v>
      </c>
      <c r="L5" s="155">
        <v>42.7</v>
      </c>
      <c r="M5" s="155">
        <v>61.1</v>
      </c>
      <c r="N5" s="155">
        <v>78.7</v>
      </c>
      <c r="O5" s="155">
        <v>95.4</v>
      </c>
      <c r="P5" s="155">
        <v>127</v>
      </c>
      <c r="Q5" s="155">
        <v>185</v>
      </c>
      <c r="R5" s="156">
        <v>318</v>
      </c>
    </row>
    <row r="6" spans="3:18">
      <c r="C6" s="151" t="s">
        <v>25</v>
      </c>
      <c r="D6" s="157"/>
      <c r="E6" s="152"/>
      <c r="F6" s="152">
        <v>50.1</v>
      </c>
      <c r="G6" s="152">
        <v>43.6</v>
      </c>
      <c r="H6" s="152">
        <v>40.4</v>
      </c>
      <c r="I6" s="152">
        <v>37.4</v>
      </c>
      <c r="J6" s="152">
        <v>37.299999999999997</v>
      </c>
      <c r="K6" s="152">
        <v>37.5</v>
      </c>
      <c r="L6" s="152">
        <v>42.5</v>
      </c>
      <c r="M6" s="152">
        <v>55.1</v>
      </c>
      <c r="N6" s="152">
        <v>68.7</v>
      </c>
      <c r="O6" s="152">
        <v>82.1</v>
      </c>
      <c r="P6" s="152">
        <v>107</v>
      </c>
      <c r="Q6" s="152">
        <v>155</v>
      </c>
      <c r="R6" s="153">
        <v>261</v>
      </c>
    </row>
    <row r="7" spans="3:18">
      <c r="C7" s="80" t="s">
        <v>26</v>
      </c>
      <c r="D7" s="154"/>
      <c r="E7" s="155"/>
      <c r="F7" s="155">
        <v>55.9</v>
      </c>
      <c r="G7" s="155">
        <v>50.1</v>
      </c>
      <c r="H7" s="155">
        <v>47.3</v>
      </c>
      <c r="I7" s="155">
        <v>44.7</v>
      </c>
      <c r="J7" s="155">
        <v>44.3</v>
      </c>
      <c r="K7" s="155">
        <v>44.4</v>
      </c>
      <c r="L7" s="155">
        <v>47.9</v>
      </c>
      <c r="M7" s="155">
        <v>56.6</v>
      </c>
      <c r="N7" s="155">
        <v>66.400000000000006</v>
      </c>
      <c r="O7" s="155">
        <v>76.900000000000006</v>
      </c>
      <c r="P7" s="155">
        <v>97.9</v>
      </c>
      <c r="Q7" s="155">
        <v>137</v>
      </c>
      <c r="R7" s="156">
        <v>227</v>
      </c>
    </row>
    <row r="8" spans="3:18">
      <c r="C8" s="80" t="s">
        <v>27</v>
      </c>
      <c r="D8" s="154"/>
      <c r="E8" s="155"/>
      <c r="F8" s="155">
        <v>61.8</v>
      </c>
      <c r="G8" s="155">
        <v>56.5</v>
      </c>
      <c r="H8" s="155">
        <v>53.9</v>
      </c>
      <c r="I8" s="155">
        <v>51.5</v>
      </c>
      <c r="J8" s="155">
        <v>50.8</v>
      </c>
      <c r="K8" s="155">
        <v>50.8</v>
      </c>
      <c r="L8" s="155">
        <v>53.4</v>
      </c>
      <c r="M8" s="155">
        <v>59.5</v>
      </c>
      <c r="N8" s="155">
        <v>66.2</v>
      </c>
      <c r="O8" s="155">
        <v>73.900000000000006</v>
      </c>
      <c r="P8" s="155">
        <v>90.8</v>
      </c>
      <c r="Q8" s="155">
        <v>125</v>
      </c>
      <c r="R8" s="156">
        <v>203</v>
      </c>
    </row>
    <row r="9" spans="3:18">
      <c r="C9" s="80" t="s">
        <v>28</v>
      </c>
      <c r="D9" s="154"/>
      <c r="E9" s="155"/>
      <c r="F9" s="155">
        <v>68.2</v>
      </c>
      <c r="G9" s="155">
        <v>63.1</v>
      </c>
      <c r="H9" s="155">
        <v>60.7</v>
      </c>
      <c r="I9" s="155">
        <v>58.3</v>
      </c>
      <c r="J9" s="155">
        <v>57.5</v>
      </c>
      <c r="K9" s="155">
        <v>57.2</v>
      </c>
      <c r="L9" s="155">
        <v>58.9</v>
      </c>
      <c r="M9" s="155">
        <v>63.1</v>
      </c>
      <c r="N9" s="155">
        <v>67.400000000000006</v>
      </c>
      <c r="O9" s="155">
        <v>72.400000000000006</v>
      </c>
      <c r="P9" s="155">
        <v>85.2</v>
      </c>
      <c r="Q9" s="155">
        <v>114</v>
      </c>
      <c r="R9" s="156">
        <v>185</v>
      </c>
    </row>
    <row r="10" spans="3:18">
      <c r="C10" s="80" t="s">
        <v>29</v>
      </c>
      <c r="D10" s="154"/>
      <c r="E10" s="155"/>
      <c r="F10" s="155">
        <v>73.2</v>
      </c>
      <c r="G10" s="155">
        <v>68.400000000000006</v>
      </c>
      <c r="H10" s="155">
        <v>66.099999999999994</v>
      </c>
      <c r="I10" s="155">
        <v>63.8</v>
      </c>
      <c r="J10" s="155">
        <v>62.8</v>
      </c>
      <c r="K10" s="155">
        <v>62.4</v>
      </c>
      <c r="L10" s="155">
        <v>63.5</v>
      </c>
      <c r="M10" s="155">
        <v>66.400000000000006</v>
      </c>
      <c r="N10" s="155">
        <v>69.3</v>
      </c>
      <c r="O10" s="155">
        <v>72.8</v>
      </c>
      <c r="P10" s="155">
        <v>83</v>
      </c>
      <c r="Q10" s="155">
        <v>109</v>
      </c>
      <c r="R10" s="156">
        <v>176</v>
      </c>
    </row>
    <row r="11" spans="3:18">
      <c r="C11" s="80" t="s">
        <v>30</v>
      </c>
      <c r="D11" s="154"/>
      <c r="E11" s="155"/>
      <c r="F11" s="155">
        <v>76.3</v>
      </c>
      <c r="G11" s="155">
        <v>71.900000000000006</v>
      </c>
      <c r="H11" s="155">
        <v>69.7</v>
      </c>
      <c r="I11" s="155">
        <v>67.7</v>
      </c>
      <c r="J11" s="155">
        <v>66.599999999999994</v>
      </c>
      <c r="K11" s="155">
        <v>66.099999999999994</v>
      </c>
      <c r="L11" s="155">
        <v>66.7</v>
      </c>
      <c r="M11" s="155">
        <v>68.8</v>
      </c>
      <c r="N11" s="155">
        <v>70.8</v>
      </c>
      <c r="O11" s="155">
        <v>73.400000000000006</v>
      </c>
      <c r="P11" s="155">
        <v>81.7</v>
      </c>
      <c r="Q11" s="155">
        <v>105</v>
      </c>
      <c r="R11" s="156">
        <v>168</v>
      </c>
    </row>
    <row r="12" spans="3:18">
      <c r="C12" s="80" t="s">
        <v>31</v>
      </c>
      <c r="D12" s="154"/>
      <c r="E12" s="155"/>
      <c r="F12" s="155">
        <v>77.8</v>
      </c>
      <c r="G12" s="155">
        <v>73.8</v>
      </c>
      <c r="H12" s="155">
        <v>71.8</v>
      </c>
      <c r="I12" s="155">
        <v>70</v>
      </c>
      <c r="J12" s="155">
        <v>68.900000000000006</v>
      </c>
      <c r="K12" s="155">
        <v>68.400000000000006</v>
      </c>
      <c r="L12" s="155">
        <v>68.8</v>
      </c>
      <c r="M12" s="155">
        <v>70.400000000000006</v>
      </c>
      <c r="N12" s="155">
        <v>72</v>
      </c>
      <c r="O12" s="155">
        <v>74</v>
      </c>
      <c r="P12" s="155">
        <v>81</v>
      </c>
      <c r="Q12" s="155">
        <v>102</v>
      </c>
      <c r="R12" s="156">
        <v>159</v>
      </c>
    </row>
    <row r="13" spans="3:18">
      <c r="C13" s="80" t="s">
        <v>32</v>
      </c>
      <c r="D13" s="154"/>
      <c r="E13" s="155"/>
      <c r="F13" s="155">
        <v>78.099999999999994</v>
      </c>
      <c r="G13" s="155">
        <v>74.599999999999994</v>
      </c>
      <c r="H13" s="155">
        <v>72.900000000000006</v>
      </c>
      <c r="I13" s="155">
        <v>71.2</v>
      </c>
      <c r="J13" s="155">
        <v>70.3</v>
      </c>
      <c r="K13" s="155">
        <v>69.8</v>
      </c>
      <c r="L13" s="155">
        <v>70.099999999999994</v>
      </c>
      <c r="M13" s="155">
        <v>71.400000000000006</v>
      </c>
      <c r="N13" s="155">
        <v>72.8</v>
      </c>
      <c r="O13" s="155">
        <v>74.599999999999994</v>
      </c>
      <c r="P13" s="155">
        <v>80.7</v>
      </c>
      <c r="Q13" s="155">
        <v>99.2</v>
      </c>
      <c r="R13" s="156">
        <v>150</v>
      </c>
    </row>
    <row r="14" spans="3:18">
      <c r="C14" s="80" t="s">
        <v>48</v>
      </c>
      <c r="D14" s="154"/>
      <c r="E14" s="155"/>
      <c r="F14" s="155">
        <v>77.099999999999994</v>
      </c>
      <c r="G14" s="155">
        <v>74.400000000000006</v>
      </c>
      <c r="H14" s="155">
        <v>73</v>
      </c>
      <c r="I14" s="155">
        <v>71.7</v>
      </c>
      <c r="J14" s="155">
        <v>71</v>
      </c>
      <c r="K14" s="155">
        <v>70.599999999999994</v>
      </c>
      <c r="L14" s="155">
        <v>70.900000000000006</v>
      </c>
      <c r="M14" s="155">
        <v>72.099999999999994</v>
      </c>
      <c r="N14" s="155">
        <v>73.400000000000006</v>
      </c>
      <c r="O14" s="155">
        <v>75.099999999999994</v>
      </c>
      <c r="P14" s="155">
        <v>80.5</v>
      </c>
      <c r="Q14" s="155">
        <v>96.4</v>
      </c>
      <c r="R14" s="156">
        <v>140</v>
      </c>
    </row>
    <row r="15" spans="3:18">
      <c r="C15" s="80" t="s">
        <v>33</v>
      </c>
      <c r="D15" s="154"/>
      <c r="E15" s="155"/>
      <c r="F15" s="155">
        <v>75.099999999999994</v>
      </c>
      <c r="G15" s="155">
        <v>73.2</v>
      </c>
      <c r="H15" s="155">
        <v>72.2</v>
      </c>
      <c r="I15" s="155">
        <v>71.3</v>
      </c>
      <c r="J15" s="155">
        <v>70.8</v>
      </c>
      <c r="K15" s="155">
        <v>70.599999999999994</v>
      </c>
      <c r="L15" s="155">
        <v>70.8</v>
      </c>
      <c r="M15" s="155">
        <v>71.900000000000006</v>
      </c>
      <c r="N15" s="155">
        <v>73.099999999999994</v>
      </c>
      <c r="O15" s="155">
        <v>74.8</v>
      </c>
      <c r="P15" s="155">
        <v>79.8</v>
      </c>
      <c r="Q15" s="155">
        <v>93.9</v>
      </c>
      <c r="R15" s="156">
        <v>132</v>
      </c>
    </row>
    <row r="16" spans="3:18">
      <c r="C16" s="80" t="s">
        <v>34</v>
      </c>
      <c r="D16" s="154"/>
      <c r="E16" s="155"/>
      <c r="F16" s="155">
        <v>71.8</v>
      </c>
      <c r="G16" s="155">
        <v>70.8</v>
      </c>
      <c r="H16" s="155">
        <v>70.2</v>
      </c>
      <c r="I16" s="155">
        <v>69.7</v>
      </c>
      <c r="J16" s="155">
        <v>69.400000000000006</v>
      </c>
      <c r="K16" s="155">
        <v>69.3</v>
      </c>
      <c r="L16" s="155">
        <v>69.599999999999994</v>
      </c>
      <c r="M16" s="155">
        <v>70.7</v>
      </c>
      <c r="N16" s="155">
        <v>71.900000000000006</v>
      </c>
      <c r="O16" s="155">
        <v>73.400000000000006</v>
      </c>
      <c r="P16" s="155">
        <v>78</v>
      </c>
      <c r="Q16" s="155">
        <v>90.5</v>
      </c>
      <c r="R16" s="156">
        <v>124</v>
      </c>
    </row>
    <row r="17" spans="3:19">
      <c r="C17" s="80" t="s">
        <v>35</v>
      </c>
      <c r="D17" s="154"/>
      <c r="E17" s="155"/>
      <c r="F17" s="155">
        <v>69.3</v>
      </c>
      <c r="G17" s="155">
        <v>68.7</v>
      </c>
      <c r="H17" s="155">
        <v>68.400000000000006</v>
      </c>
      <c r="I17" s="155">
        <v>68.099999999999994</v>
      </c>
      <c r="J17" s="155">
        <v>68</v>
      </c>
      <c r="K17" s="155">
        <v>68</v>
      </c>
      <c r="L17" s="155">
        <v>68.3</v>
      </c>
      <c r="M17" s="155">
        <v>69.400000000000006</v>
      </c>
      <c r="N17" s="155">
        <v>70.599999999999994</v>
      </c>
      <c r="O17" s="155">
        <v>72.2</v>
      </c>
      <c r="P17" s="155">
        <v>76.5</v>
      </c>
      <c r="Q17" s="155">
        <v>88</v>
      </c>
      <c r="R17" s="156">
        <v>119</v>
      </c>
    </row>
    <row r="18" spans="3:19">
      <c r="C18" s="158" t="s">
        <v>36</v>
      </c>
      <c r="D18" s="159"/>
      <c r="E18" s="160"/>
      <c r="F18" s="160">
        <v>67.2</v>
      </c>
      <c r="G18" s="160">
        <v>66.900000000000006</v>
      </c>
      <c r="H18" s="160">
        <v>66.7</v>
      </c>
      <c r="I18" s="160">
        <v>66.5</v>
      </c>
      <c r="J18" s="160">
        <v>66.5</v>
      </c>
      <c r="K18" s="160">
        <v>66.599999999999994</v>
      </c>
      <c r="L18" s="160">
        <v>67</v>
      </c>
      <c r="M18" s="160">
        <v>68</v>
      </c>
      <c r="N18" s="160">
        <v>69.3</v>
      </c>
      <c r="O18" s="160">
        <v>70.8</v>
      </c>
      <c r="P18" s="160">
        <v>75</v>
      </c>
      <c r="Q18" s="160">
        <v>86</v>
      </c>
      <c r="R18" s="161">
        <v>115</v>
      </c>
    </row>
    <row r="20" spans="3:19">
      <c r="C20" s="162" t="s">
        <v>110</v>
      </c>
      <c r="D20" s="163" t="str">
        <f>_xll.qlStrippedOptionletAdapter(,D21)</f>
        <v>obj_002d2#0000</v>
      </c>
    </row>
    <row r="21" spans="3:19">
      <c r="C21" s="62" t="s">
        <v>167</v>
      </c>
      <c r="D21" s="122" t="str">
        <f>_xll.qlOptionletStripper1(,D3,Curve!S147,,,,Curve!S16,"Normal")</f>
        <v>obj_000a2#0000</v>
      </c>
      <c r="E21" s="78" t="s">
        <v>168</v>
      </c>
      <c r="F21" s="123">
        <f t="array" ref="F21:R21">_xll.qlStrippedOptionletBaseStrikes(D21)</f>
        <v>-5.0000000000000001E-3</v>
      </c>
      <c r="G21" s="123">
        <v>-2.5000000000000001E-3</v>
      </c>
      <c r="H21" s="123">
        <v>-1.2999999999999999E-3</v>
      </c>
      <c r="I21" s="123">
        <v>0</v>
      </c>
      <c r="J21" s="123">
        <v>1.2999999999999999E-3</v>
      </c>
      <c r="K21" s="123">
        <v>2.5000000000000001E-3</v>
      </c>
      <c r="L21" s="123">
        <v>5.0000000000000001E-3</v>
      </c>
      <c r="M21" s="123">
        <v>0.01</v>
      </c>
      <c r="N21" s="123">
        <v>1.4999999999999999E-2</v>
      </c>
      <c r="O21" s="123">
        <v>0.02</v>
      </c>
      <c r="P21" s="123">
        <v>0.03</v>
      </c>
      <c r="Q21" s="123">
        <v>0.05</v>
      </c>
      <c r="R21" s="124">
        <v>0.1</v>
      </c>
      <c r="S21" s="164" t="s">
        <v>169</v>
      </c>
    </row>
    <row r="22" spans="3:19">
      <c r="C22" s="134">
        <f t="array" ref="C22:C80">_xll.qlStrippedOptionletBaseOptionletFixingDates(D21)</f>
        <v>42345</v>
      </c>
      <c r="D22" s="136">
        <v>0</v>
      </c>
      <c r="E22" s="138">
        <f>(C22-Curve!$D$6)/365.25</f>
        <v>0.50650239561943877</v>
      </c>
      <c r="F22" s="125">
        <f t="array" ref="F22:R22">_xll.qlStrippedOptionletBaseOptionletVolatilities($D$21,D22)</f>
        <v>3.905803181673953E-3</v>
      </c>
      <c r="G22" s="126">
        <v>3.1255776448021223E-3</v>
      </c>
      <c r="H22" s="126">
        <v>2.7550827417675118E-3</v>
      </c>
      <c r="I22" s="126">
        <v>2.3943345741414606E-3</v>
      </c>
      <c r="J22" s="126">
        <v>2.4553995155909146E-3</v>
      </c>
      <c r="K22" s="126">
        <v>2.4845954595816991E-3</v>
      </c>
      <c r="L22" s="126">
        <v>3.191795992313849E-3</v>
      </c>
      <c r="M22" s="126">
        <v>5.0672919397554547E-3</v>
      </c>
      <c r="N22" s="126">
        <v>7.1177924788441921E-3</v>
      </c>
      <c r="O22" s="126">
        <v>9.0362088352472208E-3</v>
      </c>
      <c r="P22" s="126">
        <v>1.2361728659748336E-2</v>
      </c>
      <c r="Q22" s="126">
        <v>1.8306143102273461E-2</v>
      </c>
      <c r="R22" s="127">
        <v>3.1794876193409254E-2</v>
      </c>
      <c r="S22" s="165">
        <f>_xll.qlIndexFixing(Curve!$S$147,C22)</f>
        <v>9.2000000014650491E-4</v>
      </c>
    </row>
    <row r="23" spans="3:19">
      <c r="C23" s="135">
        <v>42528</v>
      </c>
      <c r="D23" s="137">
        <v>1</v>
      </c>
      <c r="E23" s="139">
        <f>(C23-Curve!$D$6)/365.25</f>
        <v>1.0075290896646132</v>
      </c>
      <c r="F23" s="128">
        <f t="array" ref="F23:R23">_xll.qlStrippedOptionletBaseOptionletVolatilities($D$21,D23)</f>
        <v>4.2367128855557998E-3</v>
      </c>
      <c r="G23" s="129">
        <v>3.5431368419479962E-3</v>
      </c>
      <c r="H23" s="129">
        <v>3.2080434556143052E-3</v>
      </c>
      <c r="I23" s="129">
        <v>2.8959709833216293E-3</v>
      </c>
      <c r="J23" s="129">
        <v>2.9170639090416116E-3</v>
      </c>
      <c r="K23" s="129">
        <v>2.9050482795821698E-3</v>
      </c>
      <c r="L23" s="129">
        <v>3.5268278430757995E-3</v>
      </c>
      <c r="M23" s="129">
        <v>5.276594775763796E-3</v>
      </c>
      <c r="N23" s="129">
        <v>7.1716954233247143E-3</v>
      </c>
      <c r="O23" s="129">
        <v>8.9402468562228953E-3</v>
      </c>
      <c r="P23" s="129">
        <v>1.2032855143296568E-2</v>
      </c>
      <c r="Q23" s="129">
        <v>1.7991030088249319E-2</v>
      </c>
      <c r="R23" s="130">
        <v>3.0925546514432155E-2</v>
      </c>
      <c r="S23" s="166">
        <f>_xll.qlIndexFixing(Curve!$S$147,C23)</f>
        <v>1.3699999999997367E-3</v>
      </c>
    </row>
    <row r="24" spans="3:19">
      <c r="C24" s="135">
        <v>42711</v>
      </c>
      <c r="D24" s="137">
        <v>2</v>
      </c>
      <c r="E24" s="139">
        <f>(C24-Curve!$D$6)/365.25</f>
        <v>1.5085557837097878</v>
      </c>
      <c r="F24" s="128">
        <f t="array" ref="F24:R24">_xll.qlStrippedOptionletBaseOptionletVolatilities($D$21,D24)</f>
        <v>4.6793411373936009E-3</v>
      </c>
      <c r="G24" s="129">
        <v>4.070328872894359E-3</v>
      </c>
      <c r="H24" s="129">
        <v>3.7767584832235522E-3</v>
      </c>
      <c r="I24" s="129">
        <v>3.5078223829086998E-3</v>
      </c>
      <c r="J24" s="129">
        <v>3.4904672820336644E-3</v>
      </c>
      <c r="K24" s="129">
        <v>3.4452350954676252E-3</v>
      </c>
      <c r="L24" s="129">
        <v>3.9319076855389148E-3</v>
      </c>
      <c r="M24" s="129">
        <v>5.4463564956832595E-3</v>
      </c>
      <c r="N24" s="129">
        <v>7.1167294015939244E-3</v>
      </c>
      <c r="O24" s="129">
        <v>8.7037367837437558E-3</v>
      </c>
      <c r="P24" s="129">
        <v>1.1546685614701027E-2</v>
      </c>
      <c r="Q24" s="129">
        <v>1.7233332541393018E-2</v>
      </c>
      <c r="R24" s="130">
        <v>2.9434384113430072E-2</v>
      </c>
      <c r="S24" s="166">
        <f>_xll.qlIndexFixing(Curve!$S$147,C24)</f>
        <v>2.2073964564410871E-3</v>
      </c>
    </row>
    <row r="25" spans="3:19">
      <c r="C25" s="135">
        <v>42893</v>
      </c>
      <c r="D25" s="137">
        <v>3</v>
      </c>
      <c r="E25" s="139">
        <f>(C25-Curve!$D$6)/365.25</f>
        <v>2.0068446269678302</v>
      </c>
      <c r="F25" s="128">
        <f t="array" ref="F25:R25">_xll.qlStrippedOptionletBaseOptionletVolatilities($D$21,D25)</f>
        <v>5.2027203298533747E-3</v>
      </c>
      <c r="G25" s="129">
        <v>4.6903611420092504E-3</v>
      </c>
      <c r="H25" s="129">
        <v>4.4524916217770615E-3</v>
      </c>
      <c r="I25" s="141">
        <v>4.2303419775880126E-3</v>
      </c>
      <c r="J25" s="129">
        <v>4.1687797253675656E-3</v>
      </c>
      <c r="K25" s="129">
        <v>4.0843702731962958E-3</v>
      </c>
      <c r="L25" s="129">
        <v>4.3665744962230624E-3</v>
      </c>
      <c r="M25" s="129">
        <v>5.5428740451252626E-3</v>
      </c>
      <c r="N25" s="129">
        <v>6.945237218476224E-3</v>
      </c>
      <c r="O25" s="129">
        <v>8.3383512365524069E-3</v>
      </c>
      <c r="P25" s="129">
        <v>1.0930145808878541E-2</v>
      </c>
      <c r="Q25" s="129">
        <v>1.6044089896318291E-2</v>
      </c>
      <c r="R25" s="130">
        <v>2.7268059248355143E-2</v>
      </c>
      <c r="S25" s="166">
        <f>_xll.qlIndexFixing(Curve!$S$147,C25)</f>
        <v>3.7333450491186934E-3</v>
      </c>
    </row>
    <row r="26" spans="3:19">
      <c r="C26" s="135">
        <v>43076</v>
      </c>
      <c r="D26" s="137">
        <v>4</v>
      </c>
      <c r="E26" s="139">
        <f>(C26-Curve!$D$6)/365.25</f>
        <v>2.5078713210130048</v>
      </c>
      <c r="F26" s="128">
        <f t="array" ref="F26:R26">_xll.qlStrippedOptionletBaseOptionletVolatilities($D$21,D26)</f>
        <v>5.6776911639523217E-3</v>
      </c>
      <c r="G26" s="129">
        <v>5.2428856059813572E-3</v>
      </c>
      <c r="H26" s="129">
        <v>5.054892035904264E-3</v>
      </c>
      <c r="I26" s="129">
        <v>4.8813509535547495E-3</v>
      </c>
      <c r="J26" s="129">
        <v>4.8183988598346737E-3</v>
      </c>
      <c r="K26" s="129">
        <v>4.7389728142328133E-3</v>
      </c>
      <c r="L26" s="129">
        <v>4.8437230728995669E-3</v>
      </c>
      <c r="M26" s="129">
        <v>5.6181460835740297E-3</v>
      </c>
      <c r="N26" s="129">
        <v>6.7112324607592876E-3</v>
      </c>
      <c r="O26" s="129">
        <v>7.8925833101934576E-3</v>
      </c>
      <c r="P26" s="129">
        <v>1.0220800283022876E-2</v>
      </c>
      <c r="Q26" s="129">
        <v>1.4594131026116912E-2</v>
      </c>
      <c r="R26" s="130">
        <v>2.4679744949447253E-2</v>
      </c>
      <c r="S26" s="166">
        <f>_xll.qlIndexFixing(Curve!$S$147,C26)</f>
        <v>4.7180698021421028E-3</v>
      </c>
    </row>
    <row r="27" spans="3:19">
      <c r="C27" s="135">
        <v>43258</v>
      </c>
      <c r="D27" s="137">
        <v>5</v>
      </c>
      <c r="E27" s="139">
        <f>(C27-Curve!$D$6)/365.25</f>
        <v>3.0061601642710474</v>
      </c>
      <c r="F27" s="128">
        <f t="array" ref="F27:R27">_xll.qlStrippedOptionletBaseOptionletVolatilities($D$21,D27)</f>
        <v>6.2784524315537341E-3</v>
      </c>
      <c r="G27" s="129">
        <v>5.9356889259463445E-3</v>
      </c>
      <c r="H27" s="129">
        <v>5.7962454555762271E-3</v>
      </c>
      <c r="I27" s="141">
        <v>5.662776407314456E-3</v>
      </c>
      <c r="J27" s="129">
        <v>5.5593838613664766E-3</v>
      </c>
      <c r="K27" s="129">
        <v>5.4554983502354036E-3</v>
      </c>
      <c r="L27" s="129">
        <v>5.347396978841657E-3</v>
      </c>
      <c r="M27" s="129">
        <v>5.7153598998152359E-3</v>
      </c>
      <c r="N27" s="129">
        <v>6.5325982344744161E-3</v>
      </c>
      <c r="O27" s="129">
        <v>7.5229854202861941E-3</v>
      </c>
      <c r="P27" s="129">
        <v>9.6127007012109592E-3</v>
      </c>
      <c r="Q27" s="129">
        <v>1.3359426928340901E-2</v>
      </c>
      <c r="R27" s="130">
        <v>2.2307803226314558E-2</v>
      </c>
      <c r="S27" s="166">
        <f>_xll.qlIndexFixing(Curve!$S$147,C27)</f>
        <v>6.9893538583237864E-3</v>
      </c>
    </row>
    <row r="28" spans="3:19">
      <c r="C28" s="135">
        <v>43440</v>
      </c>
      <c r="D28" s="137">
        <v>6</v>
      </c>
      <c r="E28" s="139">
        <f>(C28-Curve!$D$6)/365.25</f>
        <v>3.5044490075290895</v>
      </c>
      <c r="F28" s="128">
        <f t="array" ref="F28:R28">_xll.qlStrippedOptionletBaseOptionletVolatilities($D$21,D28)</f>
        <v>6.7509783719557131E-3</v>
      </c>
      <c r="G28" s="129">
        <v>6.4591000083363383E-3</v>
      </c>
      <c r="H28" s="129">
        <v>6.3326126164593233E-3</v>
      </c>
      <c r="I28" s="129">
        <v>6.217480428105885E-3</v>
      </c>
      <c r="J28" s="129">
        <v>6.1000130320450381E-3</v>
      </c>
      <c r="K28" s="129">
        <v>6.0175622761007904E-3</v>
      </c>
      <c r="L28" s="129">
        <v>5.8519196622703225E-3</v>
      </c>
      <c r="M28" s="129">
        <v>5.9081513140009142E-3</v>
      </c>
      <c r="N28" s="129">
        <v>6.4342294484917798E-3</v>
      </c>
      <c r="O28" s="129">
        <v>7.2245354138553838E-3</v>
      </c>
      <c r="P28" s="129">
        <v>9.0367990967430162E-3</v>
      </c>
      <c r="Q28" s="129">
        <v>1.2352894365683891E-2</v>
      </c>
      <c r="R28" s="130">
        <v>2.0236266803552845E-2</v>
      </c>
      <c r="S28" s="166">
        <f>_xll.qlIndexFixing(Curve!$S$147,C28)</f>
        <v>8.3300487435495705E-3</v>
      </c>
    </row>
    <row r="29" spans="3:19">
      <c r="C29" s="135">
        <v>43622</v>
      </c>
      <c r="D29" s="137">
        <v>7</v>
      </c>
      <c r="E29" s="139">
        <f>(C29-Curve!$D$6)/365.25</f>
        <v>4.0027378507871321</v>
      </c>
      <c r="F29" s="128">
        <f t="array" ref="F29:R29">_xll.qlStrippedOptionletBaseOptionletVolatilities($D$21,D29)</f>
        <v>7.3168751876627981E-3</v>
      </c>
      <c r="G29" s="129">
        <v>7.0685958755762222E-3</v>
      </c>
      <c r="H29" s="129">
        <v>6.9361404437539523E-3</v>
      </c>
      <c r="I29" s="141">
        <v>6.8200467370961512E-3</v>
      </c>
      <c r="J29" s="129">
        <v>6.6682811387616591E-3</v>
      </c>
      <c r="K29" s="129">
        <v>6.5922878002069663E-3</v>
      </c>
      <c r="L29" s="129">
        <v>6.4103117978798968E-3</v>
      </c>
      <c r="M29" s="129">
        <v>6.2503524316420223E-3</v>
      </c>
      <c r="N29" s="129">
        <v>6.5209751638433721E-3</v>
      </c>
      <c r="O29" s="129">
        <v>7.1097399261735939E-3</v>
      </c>
      <c r="P29" s="129">
        <v>8.6552608680446168E-3</v>
      </c>
      <c r="Q29" s="129">
        <v>1.191275558237896E-2</v>
      </c>
      <c r="R29" s="130">
        <v>1.9177481686903516E-2</v>
      </c>
      <c r="S29" s="166">
        <f>_xll.qlIndexFixing(Curve!$S$147,C29)</f>
        <v>1.0480705592729853E-2</v>
      </c>
    </row>
    <row r="30" spans="3:19">
      <c r="C30" s="135">
        <v>43804</v>
      </c>
      <c r="D30" s="137">
        <v>8</v>
      </c>
      <c r="E30" s="139">
        <f>(C30-Curve!$D$6)/365.25</f>
        <v>4.5010266940451746</v>
      </c>
      <c r="F30" s="128">
        <f t="array" ref="F30:R30">_xll.qlStrippedOptionletBaseOptionletVolatilities($D$21,D30)</f>
        <v>7.8842397657250523E-3</v>
      </c>
      <c r="G30" s="129">
        <v>7.6386506315949823E-3</v>
      </c>
      <c r="H30" s="129">
        <v>7.5078355962387407E-3</v>
      </c>
      <c r="I30" s="129">
        <v>7.3719338564637296E-3</v>
      </c>
      <c r="J30" s="129">
        <v>7.2306078075223398E-3</v>
      </c>
      <c r="K30" s="129">
        <v>7.1377915448467052E-3</v>
      </c>
      <c r="L30" s="129">
        <v>6.9499876437783591E-3</v>
      </c>
      <c r="M30" s="129">
        <v>6.6580577657209591E-3</v>
      </c>
      <c r="N30" s="129">
        <v>6.6795056046906939E-3</v>
      </c>
      <c r="O30" s="129">
        <v>7.0325825958344815E-3</v>
      </c>
      <c r="P30" s="129">
        <v>8.257728473053793E-3</v>
      </c>
      <c r="Q30" s="129">
        <v>1.1292585078751796E-2</v>
      </c>
      <c r="R30" s="130">
        <v>1.8101309695906682E-2</v>
      </c>
      <c r="S30" s="166">
        <f>_xll.qlIndexFixing(Curve!$S$147,C30)</f>
        <v>1.2004648658699499E-2</v>
      </c>
    </row>
    <row r="31" spans="3:19">
      <c r="C31" s="135">
        <v>43987</v>
      </c>
      <c r="D31" s="137">
        <v>9</v>
      </c>
      <c r="E31" s="139">
        <f>(C31-Curve!$D$6)/365.25</f>
        <v>5.0020533880903493</v>
      </c>
      <c r="F31" s="128">
        <f t="array" ref="F31:R31">_xll.qlStrippedOptionletBaseOptionletVolatilities($D$21,D31)</f>
        <v>8.5228399081571874E-3</v>
      </c>
      <c r="G31" s="129">
        <v>8.25365354175122E-3</v>
      </c>
      <c r="H31" s="129">
        <v>8.1485858312246775E-3</v>
      </c>
      <c r="I31" s="141">
        <v>7.9841571708654489E-3</v>
      </c>
      <c r="J31" s="129">
        <v>7.8904318055582172E-3</v>
      </c>
      <c r="K31" s="129">
        <v>7.7436500015223685E-3</v>
      </c>
      <c r="L31" s="129">
        <v>7.4816613855258982E-3</v>
      </c>
      <c r="M31" s="129">
        <v>7.0656395381293617E-3</v>
      </c>
      <c r="N31" s="129">
        <v>6.8692166513794287E-3</v>
      </c>
      <c r="O31" s="129">
        <v>6.9593205709295647E-3</v>
      </c>
      <c r="P31" s="129">
        <v>7.849894551358998E-3</v>
      </c>
      <c r="Q31" s="129">
        <v>1.0343757902445303E-2</v>
      </c>
      <c r="R31" s="130">
        <v>1.6910835247472975E-2</v>
      </c>
      <c r="S31" s="166">
        <f>_xll.qlIndexFixing(Curve!$S$147,C31)</f>
        <v>1.3375760956626442E-2</v>
      </c>
    </row>
    <row r="32" spans="3:19">
      <c r="C32" s="135">
        <v>44172</v>
      </c>
      <c r="D32" s="137">
        <v>10</v>
      </c>
      <c r="E32" s="139">
        <f>(C32-Curve!$D$6)/365.25</f>
        <v>5.508555783709788</v>
      </c>
      <c r="F32" s="128">
        <f t="array" ref="F32:R32">_xll.qlStrippedOptionletBaseOptionletVolatilities($D$21,D32)</f>
        <v>9.0180949981640245E-3</v>
      </c>
      <c r="G32" s="129">
        <v>8.7404049335256841E-3</v>
      </c>
      <c r="H32" s="129">
        <v>8.6425306302201424E-3</v>
      </c>
      <c r="I32" s="129">
        <v>8.463954113091034E-3</v>
      </c>
      <c r="J32" s="129">
        <v>8.3754373445440108E-3</v>
      </c>
      <c r="K32" s="129">
        <v>8.2165595888039466E-3</v>
      </c>
      <c r="L32" s="129">
        <v>7.9223098000850232E-3</v>
      </c>
      <c r="M32" s="129">
        <v>7.4311316060234837E-3</v>
      </c>
      <c r="N32" s="129">
        <v>7.1082771426828478E-3</v>
      </c>
      <c r="O32" s="129">
        <v>7.0284677004934654E-3</v>
      </c>
      <c r="P32" s="129">
        <v>7.6947006569040568E-3</v>
      </c>
      <c r="Q32" s="129">
        <v>9.9023897573236302E-3</v>
      </c>
      <c r="R32" s="130">
        <v>1.6436303562454756E-2</v>
      </c>
      <c r="S32" s="166">
        <f>_xll.qlIndexFixing(Curve!$S$147,C32)</f>
        <v>1.487637152206718E-2</v>
      </c>
    </row>
    <row r="33" spans="3:19">
      <c r="C33" s="135">
        <v>44354</v>
      </c>
      <c r="D33" s="137">
        <v>11</v>
      </c>
      <c r="E33" s="139">
        <f>(C33-Curve!$D$6)/365.25</f>
        <v>6.0068446269678306</v>
      </c>
      <c r="F33" s="128">
        <f t="array" ref="F33:R33">_xll.qlStrippedOptionletBaseOptionletVolatilities($D$21,D33)</f>
        <v>9.1848475925114595E-3</v>
      </c>
      <c r="G33" s="129">
        <v>8.9290273385567564E-3</v>
      </c>
      <c r="H33" s="129">
        <v>8.8060358101991996E-3</v>
      </c>
      <c r="I33" s="141">
        <v>8.6422727541854514E-3</v>
      </c>
      <c r="J33" s="129">
        <v>8.5036327155560733E-3</v>
      </c>
      <c r="K33" s="129">
        <v>8.4016837696343181E-3</v>
      </c>
      <c r="L33" s="129">
        <v>8.1693027567330562E-3</v>
      </c>
      <c r="M33" s="129">
        <v>7.7017043688387887E-3</v>
      </c>
      <c r="N33" s="129">
        <v>7.3816222775817762E-3</v>
      </c>
      <c r="O33" s="129">
        <v>7.2781301775115487E-3</v>
      </c>
      <c r="P33" s="129">
        <v>7.8380908225605048E-3</v>
      </c>
      <c r="Q33" s="129">
        <v>1.0121760642213507E-2</v>
      </c>
      <c r="R33" s="130">
        <v>1.6580389548771206E-2</v>
      </c>
      <c r="S33" s="166">
        <f>_xll.qlIndexFixing(Curve!$S$147,C33)</f>
        <v>1.5782839751309105E-2</v>
      </c>
    </row>
    <row r="34" spans="3:19">
      <c r="C34" s="135">
        <v>44537</v>
      </c>
      <c r="D34" s="137">
        <v>12</v>
      </c>
      <c r="E34" s="139">
        <f>(C34-Curve!$D$6)/365.25</f>
        <v>6.5078713210130044</v>
      </c>
      <c r="F34" s="128">
        <f t="array" ref="F34:R34">_xll.qlStrippedOptionletBaseOptionletVolatilities($D$21,D34)</f>
        <v>9.2521159438962441E-3</v>
      </c>
      <c r="G34" s="129">
        <v>9.0344163854148372E-3</v>
      </c>
      <c r="H34" s="129">
        <v>8.8933118977825975E-3</v>
      </c>
      <c r="I34" s="129">
        <v>8.7773610588994886E-3</v>
      </c>
      <c r="J34" s="129">
        <v>8.6089979457022008E-3</v>
      </c>
      <c r="K34" s="129">
        <v>8.5322052999618706E-3</v>
      </c>
      <c r="L34" s="129">
        <v>8.3146810359273609E-3</v>
      </c>
      <c r="M34" s="129">
        <v>7.8801118305027781E-3</v>
      </c>
      <c r="N34" s="129">
        <v>7.5703999921339195E-3</v>
      </c>
      <c r="O34" s="129">
        <v>7.4798437781919474E-3</v>
      </c>
      <c r="P34" s="129">
        <v>7.959531119719138E-3</v>
      </c>
      <c r="Q34" s="129">
        <v>1.0222375897775171E-2</v>
      </c>
      <c r="R34" s="130">
        <v>1.6537212135427064E-2</v>
      </c>
      <c r="S34" s="166">
        <f>_xll.qlIndexFixing(Curve!$S$147,C34)</f>
        <v>1.7193692839974781E-2</v>
      </c>
    </row>
    <row r="35" spans="3:19">
      <c r="C35" s="135">
        <v>44719</v>
      </c>
      <c r="D35" s="137">
        <v>13</v>
      </c>
      <c r="E35" s="139">
        <f>(C35-Curve!$D$6)/365.25</f>
        <v>7.0061601642710469</v>
      </c>
      <c r="F35" s="128">
        <f t="array" ref="F35:R35">_xll.qlStrippedOptionletBaseOptionletVolatilities($D$21,D35)</f>
        <v>9.1475952478878766E-3</v>
      </c>
      <c r="G35" s="129">
        <v>8.9597503435058564E-3</v>
      </c>
      <c r="H35" s="129">
        <v>8.8174375371776904E-3</v>
      </c>
      <c r="I35" s="141">
        <v>8.7705848454420147E-3</v>
      </c>
      <c r="J35" s="129">
        <v>8.6246213218254819E-3</v>
      </c>
      <c r="K35" s="129">
        <v>8.5259703448014468E-3</v>
      </c>
      <c r="L35" s="129">
        <v>8.2842199834531807E-3</v>
      </c>
      <c r="M35" s="129">
        <v>7.927055121090449E-3</v>
      </c>
      <c r="N35" s="129">
        <v>7.6191684636533865E-3</v>
      </c>
      <c r="O35" s="129">
        <v>7.5220176413466483E-3</v>
      </c>
      <c r="P35" s="129">
        <v>7.8859765834016545E-3</v>
      </c>
      <c r="Q35" s="129">
        <v>9.8789495019007342E-3</v>
      </c>
      <c r="R35" s="130">
        <v>1.5939532732390422E-2</v>
      </c>
      <c r="S35" s="166">
        <f t="array" ref="S35">_xll.qlIndexFixing(Curve!$S$147,C35)</f>
        <v>1.7917047408313822E-2</v>
      </c>
    </row>
    <row r="36" spans="3:19">
      <c r="C36" s="135">
        <v>44902</v>
      </c>
      <c r="D36" s="137">
        <v>14</v>
      </c>
      <c r="E36" s="139">
        <f>(C36-Curve!$D$6)/365.25</f>
        <v>7.5071868583162216</v>
      </c>
      <c r="F36" s="128">
        <f t="array" ref="F36:R36">_xll.qlStrippedOptionletBaseOptionletVolatilities($D$21,D36)</f>
        <v>9.0069979033240745E-3</v>
      </c>
      <c r="G36" s="129">
        <v>8.8419439293913327E-3</v>
      </c>
      <c r="H36" s="129">
        <v>8.7155195658637705E-3</v>
      </c>
      <c r="I36" s="129">
        <v>8.7052753978080002E-3</v>
      </c>
      <c r="J36" s="129">
        <v>8.5750947842544098E-3</v>
      </c>
      <c r="K36" s="129">
        <v>8.4726624867042123E-3</v>
      </c>
      <c r="L36" s="129">
        <v>8.2407159212689977E-3</v>
      </c>
      <c r="M36" s="129">
        <v>7.9358144196703482E-3</v>
      </c>
      <c r="N36" s="129">
        <v>7.6612240763225363E-3</v>
      </c>
      <c r="O36" s="129">
        <v>7.5454231035330735E-3</v>
      </c>
      <c r="P36" s="129">
        <v>7.835357756650731E-3</v>
      </c>
      <c r="Q36" s="129">
        <v>9.6245206624213826E-3</v>
      </c>
      <c r="R36" s="130">
        <v>1.5242743716968781E-2</v>
      </c>
      <c r="S36" s="166">
        <f>_xll.qlIndexFixing(Curve!$S$147,C36)</f>
        <v>1.9237577371535475E-2</v>
      </c>
    </row>
    <row r="37" spans="3:19">
      <c r="C37" s="135">
        <v>45084</v>
      </c>
      <c r="D37" s="137">
        <v>15</v>
      </c>
      <c r="E37" s="139">
        <f>(C37-Curve!$D$6)/365.25</f>
        <v>8.0054757015742641</v>
      </c>
      <c r="F37" s="128">
        <f t="array" ref="F37:R37">_xll.qlStrippedOptionletBaseOptionletVolatilities($D$21,D37)</f>
        <v>8.728884890641251E-3</v>
      </c>
      <c r="G37" s="129">
        <v>8.5629487452218069E-3</v>
      </c>
      <c r="H37" s="129">
        <v>8.4650980483090763E-3</v>
      </c>
      <c r="I37" s="141">
        <v>8.4297443632621559E-3</v>
      </c>
      <c r="J37" s="129">
        <v>8.3073428143720304E-3</v>
      </c>
      <c r="K37" s="129">
        <v>8.2465342622831967E-3</v>
      </c>
      <c r="L37" s="129">
        <v>8.1161406231372388E-3</v>
      </c>
      <c r="M37" s="129">
        <v>7.8872706703221208E-3</v>
      </c>
      <c r="N37" s="129">
        <v>7.7274107889784178E-3</v>
      </c>
      <c r="O37" s="129">
        <v>7.6051405959136915E-3</v>
      </c>
      <c r="P37" s="129">
        <v>7.8622692259391336E-3</v>
      </c>
      <c r="Q37" s="129">
        <v>9.5353086560577664E-3</v>
      </c>
      <c r="R37" s="130">
        <v>1.4381023830057862E-2</v>
      </c>
      <c r="S37" s="166">
        <f>_xll.qlIndexFixing(Curve!$S$147,C37)</f>
        <v>1.9169716239603375E-2</v>
      </c>
    </row>
    <row r="38" spans="3:19">
      <c r="C38" s="167">
        <v>45267</v>
      </c>
      <c r="D38" s="168">
        <v>16</v>
      </c>
      <c r="E38" s="139">
        <f>(C38-Curve!$D$6)/365.25</f>
        <v>8.5065023956194388</v>
      </c>
      <c r="F38" s="128">
        <f t="array" ref="F38:R38">_xll.qlStrippedOptionletBaseOptionletVolatilities($D$21,D38)</f>
        <v>8.4647560593214266E-3</v>
      </c>
      <c r="G38" s="129">
        <v>8.3435411914106715E-3</v>
      </c>
      <c r="H38" s="129">
        <v>8.3006238767968574E-3</v>
      </c>
      <c r="I38" s="129">
        <v>8.231819244272541E-3</v>
      </c>
      <c r="J38" s="129">
        <v>8.15770794703689E-3</v>
      </c>
      <c r="K38" s="129">
        <v>8.1173324966039503E-3</v>
      </c>
      <c r="L38" s="129">
        <v>8.044020346685719E-3</v>
      </c>
      <c r="M38" s="129">
        <v>7.8496564493996442E-3</v>
      </c>
      <c r="N38" s="129">
        <v>7.7636932911151913E-3</v>
      </c>
      <c r="O38" s="129">
        <v>7.6777893664619597E-3</v>
      </c>
      <c r="P38" s="129">
        <v>7.9142461796945958E-3</v>
      </c>
      <c r="Q38" s="129">
        <v>9.4304875136395541E-3</v>
      </c>
      <c r="R38" s="130">
        <v>1.3589855480171959E-2</v>
      </c>
      <c r="S38" s="166">
        <f>_xll.qlIndexFixing(Curve!$S$147,C38)</f>
        <v>2.0327789991556017E-2</v>
      </c>
    </row>
    <row r="39" spans="3:19">
      <c r="C39" s="167">
        <v>45449</v>
      </c>
      <c r="D39" s="168">
        <v>17</v>
      </c>
      <c r="E39" s="139">
        <f>(C39-Curve!$D$6)/365.25</f>
        <v>9.0047912388774805</v>
      </c>
      <c r="F39" s="128">
        <f t="array" ref="F39:R39">_xll.qlStrippedOptionletBaseOptionletVolatilities($D$21,D39)</f>
        <v>8.1404328195983557E-3</v>
      </c>
      <c r="G39" s="129">
        <v>8.0866162474064248E-3</v>
      </c>
      <c r="H39" s="129">
        <v>8.1014330684997908E-3</v>
      </c>
      <c r="I39" s="141">
        <v>8.0014716002486698E-3</v>
      </c>
      <c r="J39" s="129">
        <v>8.0201168671812095E-3</v>
      </c>
      <c r="K39" s="129">
        <v>7.9723730137317497E-3</v>
      </c>
      <c r="L39" s="129">
        <v>7.9179089116187904E-3</v>
      </c>
      <c r="M39" s="129">
        <v>7.7807991180654261E-3</v>
      </c>
      <c r="N39" s="129">
        <v>7.738375214087709E-3</v>
      </c>
      <c r="O39" s="129">
        <v>7.7395881790621344E-3</v>
      </c>
      <c r="P39" s="129">
        <v>7.9416968415158828E-3</v>
      </c>
      <c r="Q39" s="129">
        <v>9.1308000105629634E-3</v>
      </c>
      <c r="R39" s="130">
        <v>1.2518902677183993E-2</v>
      </c>
      <c r="S39" s="166">
        <f>_xll.qlIndexFixing(Curve!$S$147,C39)</f>
        <v>1.9912956099247425E-2</v>
      </c>
    </row>
    <row r="40" spans="3:19">
      <c r="C40" s="167">
        <v>45631</v>
      </c>
      <c r="D40" s="168">
        <v>18</v>
      </c>
      <c r="E40" s="139">
        <f>(C40-Curve!$D$6)/365.25</f>
        <v>9.5030800821355239</v>
      </c>
      <c r="F40" s="128">
        <f t="array" ref="F40:R40">_xll.qlStrippedOptionletBaseOptionletVolatilities($D$21,D40)</f>
        <v>7.8634845862989161E-3</v>
      </c>
      <c r="G40" s="129">
        <v>7.8701971649794856E-3</v>
      </c>
      <c r="H40" s="129">
        <v>7.910870543456126E-3</v>
      </c>
      <c r="I40" s="129">
        <v>7.8193633999037206E-3</v>
      </c>
      <c r="J40" s="129">
        <v>7.8863469456981368E-3</v>
      </c>
      <c r="K40" s="129">
        <v>7.8366648243769817E-3</v>
      </c>
      <c r="L40" s="129">
        <v>7.7943213795411345E-3</v>
      </c>
      <c r="M40" s="129">
        <v>7.7061809091265379E-3</v>
      </c>
      <c r="N40" s="129">
        <v>7.6919691189413376E-3</v>
      </c>
      <c r="O40" s="129">
        <v>7.7625212376133063E-3</v>
      </c>
      <c r="P40" s="129">
        <v>7.973368801926492E-3</v>
      </c>
      <c r="Q40" s="129">
        <v>9.0089271061552945E-3</v>
      </c>
      <c r="R40" s="130">
        <v>1.2247817023971435E-2</v>
      </c>
      <c r="S40" s="166">
        <f>_xll.qlIndexFixing(Curve!$S$147,C40)</f>
        <v>2.0899340263974078E-2</v>
      </c>
    </row>
    <row r="41" spans="3:19">
      <c r="C41" s="167">
        <v>45813</v>
      </c>
      <c r="D41" s="168">
        <v>19</v>
      </c>
      <c r="E41" s="139">
        <f>(C41-Curve!$D$6)/365.25</f>
        <v>10.001368925393566</v>
      </c>
      <c r="F41" s="128">
        <f t="array" ref="F41:R41">_xll.qlStrippedOptionletBaseOptionletVolatilities($D$21,D41)</f>
        <v>7.6310042166998892E-3</v>
      </c>
      <c r="G41" s="129">
        <v>7.6361312620603092E-3</v>
      </c>
      <c r="H41" s="129">
        <v>7.6393779001212988E-3</v>
      </c>
      <c r="I41" s="141">
        <v>7.5951268807342362E-3</v>
      </c>
      <c r="J41" s="129">
        <v>7.6356325839026344E-3</v>
      </c>
      <c r="K41" s="129">
        <v>7.6041638296304856E-3</v>
      </c>
      <c r="L41" s="129">
        <v>7.6002980140065738E-3</v>
      </c>
      <c r="M41" s="129">
        <v>7.5940566226951542E-3</v>
      </c>
      <c r="N41" s="129">
        <v>7.6281866757344748E-3</v>
      </c>
      <c r="O41" s="129">
        <v>7.7283886962532366E-3</v>
      </c>
      <c r="P41" s="129">
        <v>7.9983920058346435E-3</v>
      </c>
      <c r="Q41" s="129">
        <v>9.0491322961325383E-3</v>
      </c>
      <c r="R41" s="130">
        <v>1.2367638412929302E-2</v>
      </c>
      <c r="S41" s="166">
        <f>_xll.qlIndexFixing(Curve!$S$147,C41)</f>
        <v>2.0623174314437689E-2</v>
      </c>
    </row>
    <row r="42" spans="3:19">
      <c r="C42" s="167">
        <v>45996</v>
      </c>
      <c r="D42" s="168">
        <v>20</v>
      </c>
      <c r="E42" s="139">
        <f>(C42-Curve!$D$6)/365.25</f>
        <v>10.50239561943874</v>
      </c>
      <c r="F42" s="128">
        <f t="array" ref="F42:R42">_xll.qlStrippedOptionletBaseOptionletVolatilities($D$21,D42)</f>
        <v>7.4229473597156002E-3</v>
      </c>
      <c r="G42" s="129">
        <v>7.433549775885763E-3</v>
      </c>
      <c r="H42" s="129">
        <v>7.403312506682194E-3</v>
      </c>
      <c r="I42" s="129">
        <v>7.4117805208590622E-3</v>
      </c>
      <c r="J42" s="129">
        <v>7.4203743386160852E-3</v>
      </c>
      <c r="K42" s="129">
        <v>7.4095529792377879E-3</v>
      </c>
      <c r="L42" s="129">
        <v>7.4350118630018428E-3</v>
      </c>
      <c r="M42" s="129">
        <v>7.4913695983059572E-3</v>
      </c>
      <c r="N42" s="129">
        <v>7.5624750285484682E-3</v>
      </c>
      <c r="O42" s="129">
        <v>7.6786045158331127E-3</v>
      </c>
      <c r="P42" s="129">
        <v>8.0160543620158217E-3</v>
      </c>
      <c r="Q42" s="129">
        <v>9.1571460047408133E-3</v>
      </c>
      <c r="R42" s="130">
        <v>1.2676254330119869E-2</v>
      </c>
      <c r="S42" s="166">
        <f>_xll.qlIndexFixing(Curve!$S$147,C42)</f>
        <v>2.1494612750541903E-2</v>
      </c>
    </row>
    <row r="43" spans="3:19">
      <c r="C43" s="167">
        <v>46178</v>
      </c>
      <c r="D43" s="168">
        <v>21</v>
      </c>
      <c r="E43" s="139">
        <f>(C43-Curve!$D$6)/365.25</f>
        <v>11.000684462696784</v>
      </c>
      <c r="F43" s="128">
        <f t="array" ref="F43:R43">_xll.qlStrippedOptionletBaseOptionletVolatilities($D$21,D43)</f>
        <v>7.2705609174953225E-3</v>
      </c>
      <c r="G43" s="129">
        <v>7.2713863771634206E-3</v>
      </c>
      <c r="H43" s="129">
        <v>7.2174721490286418E-3</v>
      </c>
      <c r="I43" s="141">
        <v>7.256435097938013E-3</v>
      </c>
      <c r="J43" s="129">
        <v>7.2413333922256599E-3</v>
      </c>
      <c r="K43" s="129">
        <v>7.247812215382868E-3</v>
      </c>
      <c r="L43" s="129">
        <v>7.2903422392343147E-3</v>
      </c>
      <c r="M43" s="129">
        <v>7.3930742545352326E-3</v>
      </c>
      <c r="N43" s="129">
        <v>7.4929126140536482E-3</v>
      </c>
      <c r="O43" s="129">
        <v>7.6268200626826181E-3</v>
      </c>
      <c r="P43" s="129">
        <v>8.0186395683609253E-3</v>
      </c>
      <c r="Q43" s="129">
        <v>9.2113354357171474E-3</v>
      </c>
      <c r="R43" s="130">
        <v>1.2754443506895271E-2</v>
      </c>
      <c r="S43" s="166">
        <f>_xll.qlIndexFixing(Curve!$S$147,C43)</f>
        <v>2.1230478301986676E-2</v>
      </c>
    </row>
    <row r="44" spans="3:19">
      <c r="C44" s="167">
        <v>46363</v>
      </c>
      <c r="D44" s="168">
        <v>22</v>
      </c>
      <c r="E44" s="139">
        <f>(C44-Curve!$D$6)/365.25</f>
        <v>11.507186858316222</v>
      </c>
      <c r="F44" s="128">
        <f t="array" ref="F44:R44">_xll.qlStrippedOptionletBaseOptionletVolatilities($D$21,D44)</f>
        <v>7.1489348030982294E-3</v>
      </c>
      <c r="G44" s="129">
        <v>7.1566669015682123E-3</v>
      </c>
      <c r="H44" s="129">
        <v>7.10460313830055E-3</v>
      </c>
      <c r="I44" s="129">
        <v>7.159785298856863E-3</v>
      </c>
      <c r="J44" s="129">
        <v>7.1386655237829491E-3</v>
      </c>
      <c r="K44" s="129">
        <v>7.1595717006551415E-3</v>
      </c>
      <c r="L44" s="129">
        <v>7.1999601207420926E-3</v>
      </c>
      <c r="M44" s="129">
        <v>7.3184692721004379E-3</v>
      </c>
      <c r="N44" s="129">
        <v>7.4289911974845342E-3</v>
      </c>
      <c r="O44" s="129">
        <v>7.5778535737315283E-3</v>
      </c>
      <c r="P44" s="129">
        <v>8.0016012292562604E-3</v>
      </c>
      <c r="Q44" s="129">
        <v>9.2285208746305074E-3</v>
      </c>
      <c r="R44" s="130">
        <v>1.2793854810787521E-2</v>
      </c>
      <c r="S44" s="166">
        <f>_xll.qlIndexFixing(Curve!$S$147,C44)</f>
        <v>2.2003426411209774E-2</v>
      </c>
    </row>
    <row r="45" spans="3:19">
      <c r="C45" s="167">
        <v>46545</v>
      </c>
      <c r="D45" s="168">
        <v>23</v>
      </c>
      <c r="E45" s="139">
        <f>(C45-Curve!$D$6)/365.25</f>
        <v>12.005475701574264</v>
      </c>
      <c r="F45" s="128">
        <f t="array" ref="F45:R45">_xll.qlStrippedOptionletBaseOptionletVolatilities($D$21,D45)</f>
        <v>7.1253796036906689E-3</v>
      </c>
      <c r="G45" s="129">
        <v>7.1193387606251386E-3</v>
      </c>
      <c r="H45" s="129">
        <v>7.0824471027422248E-3</v>
      </c>
      <c r="I45" s="129">
        <v>7.1201311702577411E-3</v>
      </c>
      <c r="J45" s="129">
        <v>7.1051591613056925E-3</v>
      </c>
      <c r="K45" s="129">
        <v>7.1320418860284585E-3</v>
      </c>
      <c r="L45" s="129">
        <v>7.1537165595216869E-3</v>
      </c>
      <c r="M45" s="129">
        <v>7.2626967816533244E-3</v>
      </c>
      <c r="N45" s="129">
        <v>7.3701467741636682E-3</v>
      </c>
      <c r="O45" s="129">
        <v>7.5330839431317735E-3</v>
      </c>
      <c r="P45" s="129">
        <v>7.9615001103859537E-3</v>
      </c>
      <c r="Q45" s="129">
        <v>9.1604603668532254E-3</v>
      </c>
      <c r="R45" s="130">
        <v>1.2612346482511394E-2</v>
      </c>
      <c r="S45" s="166">
        <f>_xll.qlIndexFixing(Curve!$S$147,C45)</f>
        <v>2.0914802376783961E-2</v>
      </c>
    </row>
    <row r="46" spans="3:19">
      <c r="C46" s="167">
        <v>46728</v>
      </c>
      <c r="D46" s="168">
        <v>24</v>
      </c>
      <c r="E46" s="139">
        <f>(C46-Curve!$D$6)/365.25</f>
        <v>12.506502395619439</v>
      </c>
      <c r="F46" s="128">
        <f t="array" ref="F46:R46">_xll.qlStrippedOptionletBaseOptionletVolatilities($D$21,D46)</f>
        <v>7.0681134503102119E-3</v>
      </c>
      <c r="G46" s="129">
        <v>7.0710978059343524E-3</v>
      </c>
      <c r="H46" s="129">
        <v>7.0582530352910813E-3</v>
      </c>
      <c r="I46" s="129">
        <v>7.0868017409668515E-3</v>
      </c>
      <c r="J46" s="129">
        <v>7.083199544734551E-3</v>
      </c>
      <c r="K46" s="129">
        <v>7.1171823150284839E-3</v>
      </c>
      <c r="L46" s="129">
        <v>7.119081342126592E-3</v>
      </c>
      <c r="M46" s="129">
        <v>7.2129794532372823E-3</v>
      </c>
      <c r="N46" s="129">
        <v>7.313443779108553E-3</v>
      </c>
      <c r="O46" s="129">
        <v>7.4869522495668557E-3</v>
      </c>
      <c r="P46" s="129">
        <v>7.9158994710289924E-3</v>
      </c>
      <c r="Q46" s="129">
        <v>9.1018032833077196E-3</v>
      </c>
      <c r="R46" s="130">
        <v>1.2517849177663316E-2</v>
      </c>
      <c r="S46" s="166">
        <f>_xll.qlIndexFixing(Curve!$S$147,C46)</f>
        <v>2.1541214375816412E-2</v>
      </c>
    </row>
    <row r="47" spans="3:19">
      <c r="C47" s="167">
        <v>46911</v>
      </c>
      <c r="D47" s="168">
        <v>25</v>
      </c>
      <c r="E47" s="139">
        <f>(C47-Curve!$D$6)/365.25</f>
        <v>13.007529089664613</v>
      </c>
      <c r="F47" s="128">
        <f t="array" ref="F47:R47">_xll.qlStrippedOptionletBaseOptionletVolatilities($D$21,D47)</f>
        <v>7.0360263058866666E-3</v>
      </c>
      <c r="G47" s="129">
        <v>7.0354481477554126E-3</v>
      </c>
      <c r="H47" s="129">
        <v>7.0374070619282454E-3</v>
      </c>
      <c r="I47" s="129">
        <v>7.0525597311285899E-3</v>
      </c>
      <c r="J47" s="129">
        <v>7.0559266416425617E-3</v>
      </c>
      <c r="K47" s="129">
        <v>7.0926138218633025E-3</v>
      </c>
      <c r="L47" s="129">
        <v>7.0805891705835282E-3</v>
      </c>
      <c r="M47" s="129">
        <v>7.16287472975549E-3</v>
      </c>
      <c r="N47" s="129">
        <v>7.2581754134580833E-3</v>
      </c>
      <c r="O47" s="129">
        <v>7.4383353200619604E-3</v>
      </c>
      <c r="P47" s="129">
        <v>7.8663729828624268E-3</v>
      </c>
      <c r="Q47" s="129">
        <v>9.0292053131616947E-3</v>
      </c>
      <c r="R47" s="130">
        <v>1.2370516862368593E-2</v>
      </c>
      <c r="S47" s="166">
        <f>_xll.qlIndexFixing(Curve!$S$147,C47)</f>
        <v>2.0946364742919513E-2</v>
      </c>
    </row>
    <row r="48" spans="3:19">
      <c r="C48" s="167">
        <v>47094</v>
      </c>
      <c r="D48" s="168">
        <v>26</v>
      </c>
      <c r="E48" s="139">
        <f>(C48-Curve!$D$6)/365.25</f>
        <v>13.508555783709788</v>
      </c>
      <c r="F48" s="128">
        <f t="array" ref="F48:R48">_xll.qlStrippedOptionletBaseOptionletVolatilities($D$21,D48)</f>
        <v>6.9735469835975009E-3</v>
      </c>
      <c r="G48" s="129">
        <v>6.9825885053297872E-3</v>
      </c>
      <c r="H48" s="129">
        <v>7.0003023134778131E-3</v>
      </c>
      <c r="I48" s="129">
        <v>7.0101857153903099E-3</v>
      </c>
      <c r="J48" s="129">
        <v>7.0206702795171409E-3</v>
      </c>
      <c r="K48" s="129">
        <v>7.0601090711174307E-3</v>
      </c>
      <c r="L48" s="129">
        <v>7.0391025522021583E-3</v>
      </c>
      <c r="M48" s="129">
        <v>7.1130839641715109E-3</v>
      </c>
      <c r="N48" s="129">
        <v>7.2056058772364401E-3</v>
      </c>
      <c r="O48" s="129">
        <v>7.3885539821256386E-3</v>
      </c>
      <c r="P48" s="129">
        <v>7.8179542229547278E-3</v>
      </c>
      <c r="Q48" s="129">
        <v>8.9741842159057859E-3</v>
      </c>
      <c r="R48" s="130">
        <v>1.2293227425573046E-2</v>
      </c>
      <c r="S48" s="166">
        <f>_xll.qlIndexFixing(Curve!$S$147,C48)</f>
        <v>2.1481520982917633E-2</v>
      </c>
    </row>
    <row r="49" spans="3:19">
      <c r="C49" s="167">
        <v>47276</v>
      </c>
      <c r="D49" s="168">
        <v>27</v>
      </c>
      <c r="E49" s="139">
        <f>(C49-Curve!$D$6)/365.25</f>
        <v>14.00684462696783</v>
      </c>
      <c r="F49" s="128">
        <f t="array" ref="F49:R49">_xll.qlStrippedOptionletBaseOptionletVolatilities($D$21,D49)</f>
        <v>6.9309312958763213E-3</v>
      </c>
      <c r="G49" s="129">
        <v>6.9412786842994898E-3</v>
      </c>
      <c r="H49" s="129">
        <v>6.9644187802488638E-3</v>
      </c>
      <c r="I49" s="129">
        <v>6.9686324090967779E-3</v>
      </c>
      <c r="J49" s="129">
        <v>6.9812426642215149E-3</v>
      </c>
      <c r="K49" s="129">
        <v>7.0189082469661853E-3</v>
      </c>
      <c r="L49" s="129">
        <v>6.9971893420267767E-3</v>
      </c>
      <c r="M49" s="129">
        <v>7.0679540788784051E-3</v>
      </c>
      <c r="N49" s="129">
        <v>7.1603284808257608E-3</v>
      </c>
      <c r="O49" s="129">
        <v>7.3387108987253416E-3</v>
      </c>
      <c r="P49" s="129">
        <v>7.7674669224102174E-3</v>
      </c>
      <c r="Q49" s="129">
        <v>8.9089707408957202E-3</v>
      </c>
      <c r="R49" s="130">
        <v>1.217669606091977E-2</v>
      </c>
      <c r="S49" s="166">
        <f>_xll.qlIndexFixing(Curve!$S$147,C49)</f>
        <v>2.1036567679399043E-2</v>
      </c>
    </row>
    <row r="50" spans="3:19">
      <c r="C50" s="167">
        <v>47458</v>
      </c>
      <c r="D50" s="168">
        <v>28</v>
      </c>
      <c r="E50" s="139">
        <f>(C50-Curve!$D$6)/365.25</f>
        <v>14.505133470225873</v>
      </c>
      <c r="F50" s="128">
        <f t="array" ref="F50:R50">_xll.qlStrippedOptionletBaseOptionletVolatilities($D$21,D50)</f>
        <v>6.8609592452450463E-3</v>
      </c>
      <c r="G50" s="129">
        <v>6.8834526241446058E-3</v>
      </c>
      <c r="H50" s="129">
        <v>6.9105372111431893E-3</v>
      </c>
      <c r="I50" s="129">
        <v>6.9167025991354863E-3</v>
      </c>
      <c r="J50" s="129">
        <v>6.9304116998855974E-3</v>
      </c>
      <c r="K50" s="129">
        <v>6.9651432382611548E-3</v>
      </c>
      <c r="L50" s="129">
        <v>6.9502450674653257E-3</v>
      </c>
      <c r="M50" s="129">
        <v>7.0234247917723164E-3</v>
      </c>
      <c r="N50" s="129">
        <v>7.1198032266486791E-3</v>
      </c>
      <c r="O50" s="129">
        <v>7.2909886257251106E-3</v>
      </c>
      <c r="P50" s="129">
        <v>7.7210721549757985E-3</v>
      </c>
      <c r="Q50" s="129">
        <v>8.8593602589854409E-3</v>
      </c>
      <c r="R50" s="130">
        <v>1.2108084988897733E-2</v>
      </c>
      <c r="S50" s="166">
        <f>_xll.qlIndexFixing(Curve!$S$147,C50)</f>
        <v>2.1500037231451195E-2</v>
      </c>
    </row>
    <row r="51" spans="3:19">
      <c r="C51" s="167">
        <v>47640</v>
      </c>
      <c r="D51" s="168">
        <v>29</v>
      </c>
      <c r="E51" s="139">
        <f>(C51-Curve!$D$6)/365.25</f>
        <v>15.003422313483915</v>
      </c>
      <c r="F51" s="128">
        <f t="array" ref="F51:R51">_xll.qlStrippedOptionletBaseOptionletVolatilities($D$21,D51)</f>
        <v>6.8278480385354232E-3</v>
      </c>
      <c r="G51" s="129">
        <v>6.8489648080951159E-3</v>
      </c>
      <c r="H51" s="129">
        <v>6.8668092675761485E-3</v>
      </c>
      <c r="I51" s="129">
        <v>6.8732621910156085E-3</v>
      </c>
      <c r="J51" s="129">
        <v>6.8817131611091965E-3</v>
      </c>
      <c r="K51" s="129">
        <v>6.9081857242877277E-3</v>
      </c>
      <c r="L51" s="129">
        <v>6.9081557393622919E-3</v>
      </c>
      <c r="M51" s="129">
        <v>6.9882460569416441E-3</v>
      </c>
      <c r="N51" s="129">
        <v>7.0903584864022038E-3</v>
      </c>
      <c r="O51" s="129">
        <v>7.2445432939326534E-3</v>
      </c>
      <c r="P51" s="129">
        <v>7.6709721084805595E-3</v>
      </c>
      <c r="Q51" s="129">
        <v>8.7898590453149329E-3</v>
      </c>
      <c r="R51" s="130">
        <v>1.1971302244118241E-2</v>
      </c>
      <c r="S51" s="166">
        <f>_xll.qlIndexFixing(Curve!$S$147,C51)</f>
        <v>2.0299651111002726E-2</v>
      </c>
    </row>
    <row r="52" spans="3:19">
      <c r="C52" s="167">
        <v>47822</v>
      </c>
      <c r="D52" s="168">
        <v>30</v>
      </c>
      <c r="E52" s="139">
        <f>(C52-Curve!$D$6)/365.25</f>
        <v>15.501711156741958</v>
      </c>
      <c r="F52" s="128">
        <f t="array" ref="F52:R52">_xll.qlStrippedOptionletBaseOptionletVolatilities($D$21,D52)</f>
        <v>6.7578405443746124E-3</v>
      </c>
      <c r="G52" s="129">
        <v>6.7910782947615007E-3</v>
      </c>
      <c r="H52" s="129">
        <v>6.8058024816016133E-3</v>
      </c>
      <c r="I52" s="129">
        <v>6.8182221495259729E-3</v>
      </c>
      <c r="J52" s="129">
        <v>6.8243619529041377E-3</v>
      </c>
      <c r="K52" s="129">
        <v>6.8447665727056949E-3</v>
      </c>
      <c r="L52" s="129">
        <v>6.860116944074319E-3</v>
      </c>
      <c r="M52" s="129">
        <v>6.9488933940744608E-3</v>
      </c>
      <c r="N52" s="129">
        <v>7.0588800107656826E-3</v>
      </c>
      <c r="O52" s="129">
        <v>7.1999468569263099E-3</v>
      </c>
      <c r="P52" s="129">
        <v>7.6272326461834959E-3</v>
      </c>
      <c r="Q52" s="129">
        <v>8.7452648655042074E-3</v>
      </c>
      <c r="R52" s="130">
        <v>1.1913301455067953E-2</v>
      </c>
      <c r="S52" s="166">
        <f>_xll.qlIndexFixing(Curve!$S$147,C52)</f>
        <v>2.0656189423724103E-2</v>
      </c>
    </row>
    <row r="53" spans="3:19">
      <c r="C53" s="167">
        <v>48004</v>
      </c>
      <c r="D53" s="168">
        <v>31</v>
      </c>
      <c r="E53" s="139">
        <f>(C53-Curve!$D$6)/365.25</f>
        <v>16</v>
      </c>
      <c r="F53" s="128">
        <f t="array" ref="F53:R53">_xll.qlStrippedOptionletBaseOptionletVolatilities($D$21,D53)</f>
        <v>6.7169123080943116E-3</v>
      </c>
      <c r="G53" s="129">
        <v>6.7514781114922807E-3</v>
      </c>
      <c r="H53" s="129">
        <v>6.7594209486900826E-3</v>
      </c>
      <c r="I53" s="129">
        <v>6.7737069688643394E-3</v>
      </c>
      <c r="J53" s="129">
        <v>6.7759998343871301E-3</v>
      </c>
      <c r="K53" s="129">
        <v>6.7893559325922078E-3</v>
      </c>
      <c r="L53" s="129">
        <v>6.8180369776236266E-3</v>
      </c>
      <c r="M53" s="129">
        <v>6.9136483501155473E-3</v>
      </c>
      <c r="N53" s="129">
        <v>7.029360350643294E-3</v>
      </c>
      <c r="O53" s="129">
        <v>7.1563147478464033E-3</v>
      </c>
      <c r="P53" s="129">
        <v>7.5802610723386408E-3</v>
      </c>
      <c r="Q53" s="129">
        <v>8.6863937055847613E-3</v>
      </c>
      <c r="R53" s="130">
        <v>1.181388499786794E-2</v>
      </c>
      <c r="S53" s="166">
        <f>_xll.qlIndexFixing(Curve!$S$147,C53)</f>
        <v>1.9886608894695575E-2</v>
      </c>
    </row>
    <row r="54" spans="3:19">
      <c r="C54" s="167">
        <v>48187</v>
      </c>
      <c r="D54" s="168">
        <v>32</v>
      </c>
      <c r="E54" s="139">
        <f>(C54-Curve!$D$6)/365.25</f>
        <v>16.501026694045173</v>
      </c>
      <c r="F54" s="128">
        <f t="array" ref="F54:R54">_xll.qlStrippedOptionletBaseOptionletVolatilities($D$21,D54)</f>
        <v>6.6538566737853501E-3</v>
      </c>
      <c r="G54" s="129">
        <v>6.6971697665857881E-3</v>
      </c>
      <c r="H54" s="129">
        <v>6.7028256628030693E-3</v>
      </c>
      <c r="I54" s="129">
        <v>6.7217960287657757E-3</v>
      </c>
      <c r="J54" s="129">
        <v>6.7227095542980852E-3</v>
      </c>
      <c r="K54" s="129">
        <v>6.7309015563100138E-3</v>
      </c>
      <c r="L54" s="129">
        <v>6.7722653286517824E-3</v>
      </c>
      <c r="M54" s="129">
        <v>6.8756236484480635E-3</v>
      </c>
      <c r="N54" s="129">
        <v>6.9980587407890262E-3</v>
      </c>
      <c r="O54" s="129">
        <v>7.1147202746056036E-3</v>
      </c>
      <c r="P54" s="129">
        <v>7.5388027616754829E-3</v>
      </c>
      <c r="Q54" s="129">
        <v>8.6450320402467126E-3</v>
      </c>
      <c r="R54" s="130">
        <v>1.176579352998648E-2</v>
      </c>
      <c r="S54" s="166">
        <f>_xll.qlIndexFixing(Curve!$S$147,C54)</f>
        <v>2.0178087751786044E-2</v>
      </c>
    </row>
    <row r="55" spans="3:19">
      <c r="C55" s="167">
        <v>48372</v>
      </c>
      <c r="D55" s="168">
        <v>33</v>
      </c>
      <c r="E55" s="139">
        <f>(C55-Curve!$D$6)/365.25</f>
        <v>17.007529089664612</v>
      </c>
      <c r="F55" s="128">
        <f t="array" ref="F55:R55">_xll.qlStrippedOptionletBaseOptionletVolatilities($D$21,D55)</f>
        <v>6.6249728357098562E-3</v>
      </c>
      <c r="G55" s="129">
        <v>6.6652875282624032E-3</v>
      </c>
      <c r="H55" s="129">
        <v>6.6656564105249845E-3</v>
      </c>
      <c r="I55" s="129">
        <v>6.6846740403435122E-3</v>
      </c>
      <c r="J55" s="129">
        <v>6.6829720432611244E-3</v>
      </c>
      <c r="K55" s="129">
        <v>6.6856111747455012E-3</v>
      </c>
      <c r="L55" s="129">
        <v>6.7356267577220706E-3</v>
      </c>
      <c r="M55" s="129">
        <v>6.8434870484280052E-3</v>
      </c>
      <c r="N55" s="129">
        <v>6.9693477783461235E-3</v>
      </c>
      <c r="O55" s="129">
        <v>7.0764142065063247E-3</v>
      </c>
      <c r="P55" s="129">
        <v>7.49511146723185E-3</v>
      </c>
      <c r="Q55" s="129">
        <v>8.5883732149096351E-3</v>
      </c>
      <c r="R55" s="130">
        <v>1.1674458663167284E-2</v>
      </c>
      <c r="S55" s="166">
        <f>_xll.qlIndexFixing(Curve!$S$147,C55)</f>
        <v>1.9190808359239114E-2</v>
      </c>
    </row>
    <row r="56" spans="3:19">
      <c r="C56" s="167">
        <v>48555</v>
      </c>
      <c r="D56" s="168">
        <v>34</v>
      </c>
      <c r="E56" s="139">
        <f>(C56-Curve!$D$6)/365.25</f>
        <v>17.508555783709788</v>
      </c>
      <c r="F56" s="128">
        <f t="array" ref="F56:R56">_xll.qlStrippedOptionletBaseOptionletVolatilities($D$21,D56)</f>
        <v>6.5722737969258101E-3</v>
      </c>
      <c r="G56" s="129">
        <v>6.617309773031251E-3</v>
      </c>
      <c r="H56" s="129">
        <v>6.6172146909110989E-3</v>
      </c>
      <c r="I56" s="129">
        <v>6.6392893210586784E-3</v>
      </c>
      <c r="J56" s="129">
        <v>6.6377923881523549E-3</v>
      </c>
      <c r="K56" s="129">
        <v>6.6370793214536785E-3</v>
      </c>
      <c r="L56" s="129">
        <v>6.6951391068378364E-3</v>
      </c>
      <c r="M56" s="129">
        <v>6.8088206490241679E-3</v>
      </c>
      <c r="N56" s="129">
        <v>6.9392249034589482E-3</v>
      </c>
      <c r="O56" s="129">
        <v>7.0420661687684806E-3</v>
      </c>
      <c r="P56" s="129">
        <v>7.459510421574082E-3</v>
      </c>
      <c r="Q56" s="129">
        <v>8.5518516049846206E-3</v>
      </c>
      <c r="R56" s="130">
        <v>1.1635140788755431E-2</v>
      </c>
      <c r="S56" s="166">
        <f>_xll.qlIndexFixing(Curve!$S$147,C56)</f>
        <v>1.9407915850481197E-2</v>
      </c>
    </row>
    <row r="57" spans="3:19">
      <c r="C57" s="167">
        <v>48737</v>
      </c>
      <c r="D57" s="168">
        <v>35</v>
      </c>
      <c r="E57" s="139">
        <f>(C57-Curve!$D$6)/365.25</f>
        <v>18.00684462696783</v>
      </c>
      <c r="F57" s="128">
        <f t="array" ref="F57:R57">_xll.qlStrippedOptionletBaseOptionletVolatilities($D$21,D57)</f>
        <v>6.5418260066411318E-3</v>
      </c>
      <c r="G57" s="129">
        <v>6.5842726532903788E-3</v>
      </c>
      <c r="H57" s="129">
        <v>6.5830622019964237E-3</v>
      </c>
      <c r="I57" s="129">
        <v>6.6052313156323653E-3</v>
      </c>
      <c r="J57" s="129">
        <v>6.6039154930917915E-3</v>
      </c>
      <c r="K57" s="129">
        <v>6.6004783785297682E-3</v>
      </c>
      <c r="L57" s="129">
        <v>6.6622868501796974E-3</v>
      </c>
      <c r="M57" s="129">
        <v>6.7788415440597554E-3</v>
      </c>
      <c r="N57" s="129">
        <v>6.9108357582907684E-3</v>
      </c>
      <c r="O57" s="129">
        <v>7.0118373849265073E-3</v>
      </c>
      <c r="P57" s="129">
        <v>7.4238327462179676E-3</v>
      </c>
      <c r="Q57" s="129">
        <v>8.5056237738941089E-3</v>
      </c>
      <c r="R57" s="130">
        <v>1.1567880287533227E-2</v>
      </c>
      <c r="S57" s="166">
        <f>_xll.qlIndexFixing(Curve!$S$147,C57)</f>
        <v>1.8822651273368438E-2</v>
      </c>
    </row>
    <row r="58" spans="3:19">
      <c r="C58" s="167">
        <v>48920</v>
      </c>
      <c r="D58" s="168">
        <v>36</v>
      </c>
      <c r="E58" s="139">
        <f>(C58-Curve!$D$6)/365.25</f>
        <v>18.507871321013006</v>
      </c>
      <c r="F58" s="128">
        <f t="array" ref="F58:R58">_xll.qlStrippedOptionletBaseOptionletVolatilities($D$21,D58)</f>
        <v>6.4998386147726243E-3</v>
      </c>
      <c r="G58" s="129">
        <v>6.5430472627491052E-3</v>
      </c>
      <c r="H58" s="129">
        <v>6.5443115998825045E-3</v>
      </c>
      <c r="I58" s="129">
        <v>6.5679292875357792E-3</v>
      </c>
      <c r="J58" s="129">
        <v>6.5691401755897157E-3</v>
      </c>
      <c r="K58" s="129">
        <v>6.5650144920428952E-3</v>
      </c>
      <c r="L58" s="129">
        <v>6.6287581220154839E-3</v>
      </c>
      <c r="M58" s="129">
        <v>6.7485487024849635E-3</v>
      </c>
      <c r="N58" s="129">
        <v>6.8821527460950866E-3</v>
      </c>
      <c r="O58" s="129">
        <v>6.9871080514853981E-3</v>
      </c>
      <c r="P58" s="129">
        <v>7.3958744526939459E-3</v>
      </c>
      <c r="Q58" s="129">
        <v>8.4730375144082288E-3</v>
      </c>
      <c r="R58" s="130">
        <v>1.153058926338804E-2</v>
      </c>
      <c r="S58" s="166">
        <f>_xll.qlIndexFixing(Curve!$S$147,C58)</f>
        <v>1.8996376656698299E-2</v>
      </c>
    </row>
    <row r="59" spans="3:19">
      <c r="C59" s="167">
        <v>49102</v>
      </c>
      <c r="D59" s="168">
        <v>37</v>
      </c>
      <c r="E59" s="139">
        <f>(C59-Curve!$D$6)/365.25</f>
        <v>19.006160164271048</v>
      </c>
      <c r="F59" s="128">
        <f t="array" ref="F59:R59">_xll.qlStrippedOptionletBaseOptionletVolatilities($D$21,D59)</f>
        <v>6.4857949346055722E-3</v>
      </c>
      <c r="G59" s="129">
        <v>6.5212966015055262E-3</v>
      </c>
      <c r="H59" s="129">
        <v>6.524397994544631E-3</v>
      </c>
      <c r="I59" s="129">
        <v>6.545921068722857E-3</v>
      </c>
      <c r="J59" s="129">
        <v>6.5496067575634871E-3</v>
      </c>
      <c r="K59" s="129">
        <v>6.5456974776016193E-3</v>
      </c>
      <c r="L59" s="129">
        <v>6.6056983918601131E-3</v>
      </c>
      <c r="M59" s="129">
        <v>6.7245560493725395E-3</v>
      </c>
      <c r="N59" s="129">
        <v>6.8556809055098792E-3</v>
      </c>
      <c r="O59" s="129">
        <v>6.9675014687382644E-3</v>
      </c>
      <c r="P59" s="129">
        <v>7.3672248387973557E-3</v>
      </c>
      <c r="Q59" s="129">
        <v>8.4261957929761492E-3</v>
      </c>
      <c r="R59" s="130">
        <v>1.1454962432113395E-2</v>
      </c>
      <c r="S59" s="166">
        <f>_xll.qlIndexFixing(Curve!$S$147,C59)</f>
        <v>1.8070001471736562E-2</v>
      </c>
    </row>
    <row r="60" spans="3:19">
      <c r="C60" s="167">
        <v>49285</v>
      </c>
      <c r="D60" s="168">
        <v>38</v>
      </c>
      <c r="E60" s="139">
        <f>(C60-Curve!$D$6)/365.25</f>
        <v>19.507186858316221</v>
      </c>
      <c r="F60" s="128">
        <f t="array" ref="F60:R60">_xll.qlStrippedOptionletBaseOptionletVolatilities($D$21,D60)</f>
        <v>6.4563216307506879E-3</v>
      </c>
      <c r="G60" s="129">
        <v>6.4884187394574355E-3</v>
      </c>
      <c r="H60" s="129">
        <v>6.4979926328918155E-3</v>
      </c>
      <c r="I60" s="129">
        <v>6.5192256821476518E-3</v>
      </c>
      <c r="J60" s="129">
        <v>6.5284630526536973E-3</v>
      </c>
      <c r="K60" s="129">
        <v>6.5274059863089087E-3</v>
      </c>
      <c r="L60" s="129">
        <v>6.5815384514495727E-3</v>
      </c>
      <c r="M60" s="129">
        <v>6.7002076596817039E-3</v>
      </c>
      <c r="N60" s="129">
        <v>6.8290889797937458E-3</v>
      </c>
      <c r="O60" s="129">
        <v>6.9553777345595308E-3</v>
      </c>
      <c r="P60" s="129">
        <v>7.3492636421410044E-3</v>
      </c>
      <c r="Q60" s="129">
        <v>8.3975491732127382E-3</v>
      </c>
      <c r="R60" s="130">
        <v>1.1416271782970852E-2</v>
      </c>
      <c r="S60" s="166">
        <f>_xll.qlIndexFixing(Curve!$S$147,C60)</f>
        <v>1.8186983113969171E-2</v>
      </c>
    </row>
    <row r="61" spans="3:19">
      <c r="C61" s="167">
        <v>49467</v>
      </c>
      <c r="D61" s="168">
        <v>39</v>
      </c>
      <c r="E61" s="139">
        <f>(C61-Curve!$D$6)/365.25</f>
        <v>20.005475701574266</v>
      </c>
      <c r="F61" s="128">
        <f t="array" ref="F61:R61">_xll.qlStrippedOptionletBaseOptionletVolatilities($D$21,D61)</f>
        <v>6.4619834676391671E-3</v>
      </c>
      <c r="G61" s="129">
        <v>6.4814238133353314E-3</v>
      </c>
      <c r="H61" s="129">
        <v>6.4955224302695111E-3</v>
      </c>
      <c r="I61" s="129">
        <v>6.5123586724052688E-3</v>
      </c>
      <c r="J61" s="129">
        <v>6.5261649037625146E-3</v>
      </c>
      <c r="K61" s="129">
        <v>6.5284411792644742E-3</v>
      </c>
      <c r="L61" s="129">
        <v>6.5710140171584873E-3</v>
      </c>
      <c r="M61" s="129">
        <v>6.6842845424780898E-3</v>
      </c>
      <c r="N61" s="129">
        <v>6.8060164879022497E-3</v>
      </c>
      <c r="O61" s="129">
        <v>6.948176037974701E-3</v>
      </c>
      <c r="P61" s="129">
        <v>7.3289789246871132E-3</v>
      </c>
      <c r="Q61" s="129">
        <v>8.3488607817912407E-3</v>
      </c>
      <c r="R61" s="130">
        <v>1.1326470531732913E-2</v>
      </c>
      <c r="S61" s="166">
        <f>_xll.qlIndexFixing(Curve!$S$147,C61)</f>
        <v>1.6734763415310092E-2</v>
      </c>
    </row>
    <row r="62" spans="3:19">
      <c r="C62" s="167">
        <v>49649</v>
      </c>
      <c r="D62" s="168">
        <v>40</v>
      </c>
      <c r="E62" s="139">
        <f>(C62-Curve!$D$6)/365.25</f>
        <v>20.503764544832308</v>
      </c>
      <c r="F62" s="128">
        <f t="array" ref="F62:R62">_xll.qlStrippedOptionletBaseOptionletVolatilities($D$21,D62)</f>
        <v>6.4408391752066654E-3</v>
      </c>
      <c r="G62" s="129">
        <v>6.4551101869497977E-3</v>
      </c>
      <c r="H62" s="129">
        <v>6.4767854749492523E-3</v>
      </c>
      <c r="I62" s="129">
        <v>6.4922505634667435E-3</v>
      </c>
      <c r="J62" s="129">
        <v>6.5125497723856566E-3</v>
      </c>
      <c r="K62" s="129">
        <v>6.5194615237213786E-3</v>
      </c>
      <c r="L62" s="129">
        <v>6.5528607217919185E-3</v>
      </c>
      <c r="M62" s="129">
        <v>6.6636369304926609E-3</v>
      </c>
      <c r="N62" s="129">
        <v>6.7815552227246884E-3</v>
      </c>
      <c r="O62" s="129">
        <v>6.9423482596034716E-3</v>
      </c>
      <c r="P62" s="129">
        <v>7.3170375917793505E-3</v>
      </c>
      <c r="Q62" s="129">
        <v>8.3247095377540683E-3</v>
      </c>
      <c r="R62" s="130">
        <v>1.1290164611402085E-2</v>
      </c>
      <c r="S62" s="166">
        <f>_xll.qlIndexFixing(Curve!$S$147,C62)</f>
        <v>1.677581110028703E-2</v>
      </c>
    </row>
    <row r="63" spans="3:19">
      <c r="C63" s="167">
        <v>49831</v>
      </c>
      <c r="D63" s="168">
        <v>41</v>
      </c>
      <c r="E63" s="139">
        <f>(C63-Curve!$D$6)/365.25</f>
        <v>21.002053388090349</v>
      </c>
      <c r="F63" s="128">
        <f t="array" ref="F63:R63">_xll.qlStrippedOptionletBaseOptionletVolatilities($D$21,D63)</f>
        <v>6.4196036503385481E-3</v>
      </c>
      <c r="G63" s="129">
        <v>6.4290731800050772E-3</v>
      </c>
      <c r="H63" s="129">
        <v>6.4573047992597206E-3</v>
      </c>
      <c r="I63" s="129">
        <v>6.4712616688815143E-3</v>
      </c>
      <c r="J63" s="129">
        <v>6.497402667909746E-3</v>
      </c>
      <c r="K63" s="129">
        <v>6.508754918015898E-3</v>
      </c>
      <c r="L63" s="129">
        <v>6.5340368060978699E-3</v>
      </c>
      <c r="M63" s="129">
        <v>6.6419429259870115E-3</v>
      </c>
      <c r="N63" s="129">
        <v>6.7567892055909644E-3</v>
      </c>
      <c r="O63" s="129">
        <v>6.9343638237172661E-3</v>
      </c>
      <c r="P63" s="129">
        <v>7.3039735386971434E-3</v>
      </c>
      <c r="Q63" s="129">
        <v>8.3012303176608383E-3</v>
      </c>
      <c r="R63" s="130">
        <v>1.1253894467701583E-2</v>
      </c>
      <c r="S63" s="166">
        <f>_xll.qlIndexFixing(Curve!$S$147,C63)</f>
        <v>1.6816859634537405E-2</v>
      </c>
    </row>
    <row r="64" spans="3:19">
      <c r="C64" s="167">
        <v>50014</v>
      </c>
      <c r="D64" s="168">
        <v>42</v>
      </c>
      <c r="E64" s="139">
        <f>(C64-Curve!$D$6)/365.25</f>
        <v>21.503080082135522</v>
      </c>
      <c r="F64" s="128">
        <f t="array" ref="F64:R64">_xll.qlStrippedOptionletBaseOptionletVolatilities($D$21,D64)</f>
        <v>6.3983809132974858E-3</v>
      </c>
      <c r="G64" s="129">
        <v>6.4036142313736088E-3</v>
      </c>
      <c r="H64" s="129">
        <v>6.4371977813873051E-3</v>
      </c>
      <c r="I64" s="129">
        <v>6.4495511180862747E-3</v>
      </c>
      <c r="J64" s="129">
        <v>6.4807461650037501E-3</v>
      </c>
      <c r="K64" s="129">
        <v>6.4962736399296703E-3</v>
      </c>
      <c r="L64" s="129">
        <v>6.514759643298864E-3</v>
      </c>
      <c r="M64" s="129">
        <v>6.619436220560616E-3</v>
      </c>
      <c r="N64" s="129">
        <v>6.7321173694427812E-3</v>
      </c>
      <c r="O64" s="129">
        <v>6.9236056904744625E-3</v>
      </c>
      <c r="P64" s="129">
        <v>7.2893838658271998E-3</v>
      </c>
      <c r="Q64" s="129">
        <v>8.2783585286562555E-3</v>
      </c>
      <c r="R64" s="130">
        <v>1.121776423343372E-2</v>
      </c>
      <c r="S64" s="166">
        <f>_xll.qlIndexFixing(Curve!$S$147,C64)</f>
        <v>1.6857628208730102E-2</v>
      </c>
    </row>
    <row r="65" spans="3:19">
      <c r="C65" s="167">
        <v>50196</v>
      </c>
      <c r="D65" s="168">
        <v>43</v>
      </c>
      <c r="E65" s="139">
        <f>(C65-Curve!$D$6)/365.25</f>
        <v>22.001368925393567</v>
      </c>
      <c r="F65" s="128">
        <f t="array" ref="F65:R65">_xll.qlStrippedOptionletBaseOptionletVolatilities($D$21,D65)</f>
        <v>6.3765668726591613E-3</v>
      </c>
      <c r="G65" s="129">
        <v>6.378378303171171E-3</v>
      </c>
      <c r="H65" s="129">
        <v>6.4159859319365591E-3</v>
      </c>
      <c r="I65" s="129">
        <v>6.4267079012308445E-3</v>
      </c>
      <c r="J65" s="129">
        <v>6.4620714482025565E-3</v>
      </c>
      <c r="K65" s="129">
        <v>6.481457287033302E-3</v>
      </c>
      <c r="L65" s="129">
        <v>6.4947041399563421E-3</v>
      </c>
      <c r="M65" s="129">
        <v>6.5957745769502822E-3</v>
      </c>
      <c r="N65" s="129">
        <v>6.7073168415400959E-3</v>
      </c>
      <c r="O65" s="129">
        <v>6.9096731998644027E-3</v>
      </c>
      <c r="P65" s="129">
        <v>7.2729601502301705E-3</v>
      </c>
      <c r="Q65" s="129">
        <v>8.2558559693251994E-3</v>
      </c>
      <c r="R65" s="130">
        <v>1.1180979490463497E-2</v>
      </c>
      <c r="S65" s="166">
        <f>_xll.qlIndexFixing(Curve!$S$147,C65)</f>
        <v>1.6899184804001412E-2</v>
      </c>
    </row>
    <row r="66" spans="3:19">
      <c r="C66" s="167">
        <v>50381</v>
      </c>
      <c r="D66" s="168">
        <v>44</v>
      </c>
      <c r="E66" s="139">
        <f>(C66-Curve!$D$6)/365.25</f>
        <v>22.507871321013006</v>
      </c>
      <c r="F66" s="128">
        <f t="array" ref="F66:R66">_xll.qlStrippedOptionletBaseOptionletVolatilities($D$21,D66)</f>
        <v>6.3542056833149002E-3</v>
      </c>
      <c r="G66" s="129">
        <v>6.3535619236693881E-3</v>
      </c>
      <c r="H66" s="129">
        <v>6.3936709265009963E-3</v>
      </c>
      <c r="I66" s="129">
        <v>6.4027547603125066E-3</v>
      </c>
      <c r="J66" s="129">
        <v>6.4412584212200112E-3</v>
      </c>
      <c r="K66" s="129">
        <v>6.4641128128665104E-3</v>
      </c>
      <c r="L66" s="129">
        <v>6.4739117589102547E-3</v>
      </c>
      <c r="M66" s="129">
        <v>6.5709795217144332E-3</v>
      </c>
      <c r="N66" s="129">
        <v>6.6825323795370924E-3</v>
      </c>
      <c r="O66" s="129">
        <v>6.8922492890970714E-3</v>
      </c>
      <c r="P66" s="129">
        <v>7.2545549919783014E-3</v>
      </c>
      <c r="Q66" s="129">
        <v>8.2339189261914619E-3</v>
      </c>
      <c r="R66" s="130">
        <v>1.1144129802183706E-2</v>
      </c>
      <c r="S66" s="166">
        <f>_xll.qlIndexFixing(Curve!$S$147,C66)</f>
        <v>1.693995123816476E-2</v>
      </c>
    </row>
    <row r="67" spans="3:19">
      <c r="C67" s="167">
        <v>50563</v>
      </c>
      <c r="D67" s="168">
        <v>45</v>
      </c>
      <c r="E67" s="139">
        <f>(C67-Curve!$D$6)/365.25</f>
        <v>23.006160164271048</v>
      </c>
      <c r="F67" s="128">
        <f t="array" ref="F67:R67">_xll.qlStrippedOptionletBaseOptionletVolatilities($D$21,D67)</f>
        <v>6.330522361477478E-3</v>
      </c>
      <c r="G67" s="129">
        <v>6.3286900047055715E-3</v>
      </c>
      <c r="H67" s="129">
        <v>6.3696861746936756E-3</v>
      </c>
      <c r="I67" s="129">
        <v>6.3772158930961E-3</v>
      </c>
      <c r="J67" s="129">
        <v>6.4177559158389869E-3</v>
      </c>
      <c r="K67" s="129">
        <v>6.443651551235878E-3</v>
      </c>
      <c r="L67" s="129">
        <v>6.4520417537807396E-3</v>
      </c>
      <c r="M67" s="129">
        <v>6.5447113627806726E-3</v>
      </c>
      <c r="N67" s="129">
        <v>6.6575650870905603E-3</v>
      </c>
      <c r="O67" s="129">
        <v>6.8707006562858186E-3</v>
      </c>
      <c r="P67" s="129">
        <v>7.2336205259272753E-3</v>
      </c>
      <c r="Q67" s="129">
        <v>8.2119534282739867E-3</v>
      </c>
      <c r="R67" s="130">
        <v>1.1105515618000305E-2</v>
      </c>
      <c r="S67" s="166">
        <f>_xll.qlIndexFixing(Curve!$S$147,C67)</f>
        <v>1.6981513389459028E-2</v>
      </c>
    </row>
    <row r="68" spans="3:19">
      <c r="C68" s="167">
        <v>50746</v>
      </c>
      <c r="D68" s="168">
        <v>46</v>
      </c>
      <c r="E68" s="139">
        <f>(C68-Curve!$D$6)/365.25</f>
        <v>23.507186858316221</v>
      </c>
      <c r="F68" s="128">
        <f t="array" ref="F68:R68">_xll.qlStrippedOptionletBaseOptionletVolatilities($D$21,D68)</f>
        <v>6.3055527270815329E-3</v>
      </c>
      <c r="G68" s="129">
        <v>6.3039597206773542E-3</v>
      </c>
      <c r="H68" s="129">
        <v>6.344029515685635E-3</v>
      </c>
      <c r="I68" s="129">
        <v>6.3501130820241749E-3</v>
      </c>
      <c r="J68" s="129">
        <v>6.3914388422620406E-3</v>
      </c>
      <c r="K68" s="129">
        <v>6.4198729420596387E-3</v>
      </c>
      <c r="L68" s="129">
        <v>6.4291363882086347E-3</v>
      </c>
      <c r="M68" s="129">
        <v>6.5169936008815125E-3</v>
      </c>
      <c r="N68" s="129">
        <v>6.6325642388978534E-3</v>
      </c>
      <c r="O68" s="129">
        <v>6.8447037407180803E-3</v>
      </c>
      <c r="P68" s="129">
        <v>7.2100039118253483E-3</v>
      </c>
      <c r="Q68" s="129">
        <v>8.1901520940543798E-3</v>
      </c>
      <c r="R68" s="130">
        <v>1.1065693931767033E-2</v>
      </c>
      <c r="S68" s="166">
        <f>_xll.qlIndexFixing(Curve!$S$147,C68)</f>
        <v>1.7022277664837514E-2</v>
      </c>
    </row>
    <row r="69" spans="3:19">
      <c r="C69" s="167">
        <v>50928</v>
      </c>
      <c r="D69" s="168">
        <v>47</v>
      </c>
      <c r="E69" s="139">
        <f>(C69-Curve!$D$6)/365.25</f>
        <v>24.005475701574266</v>
      </c>
      <c r="F69" s="128">
        <f t="array" ref="F69:R69">_xll.qlStrippedOptionletBaseOptionletVolatilities($D$21,D69)</f>
        <v>6.2787701396531349E-3</v>
      </c>
      <c r="G69" s="129">
        <v>6.2791041193288478E-3</v>
      </c>
      <c r="H69" s="129">
        <v>6.3162989036434454E-3</v>
      </c>
      <c r="I69" s="129">
        <v>6.3211132521745206E-3</v>
      </c>
      <c r="J69" s="129">
        <v>6.3618705075810522E-3</v>
      </c>
      <c r="K69" s="129">
        <v>6.392289473437238E-3</v>
      </c>
      <c r="L69" s="129">
        <v>6.4049642806373484E-3</v>
      </c>
      <c r="M69" s="129">
        <v>6.4875869994353514E-3</v>
      </c>
      <c r="N69" s="129">
        <v>6.6074336425785739E-3</v>
      </c>
      <c r="O69" s="129">
        <v>6.8137026344484595E-3</v>
      </c>
      <c r="P69" s="129">
        <v>7.1832745340576244E-3</v>
      </c>
      <c r="Q69" s="129">
        <v>8.1682062023327E-3</v>
      </c>
      <c r="R69" s="130">
        <v>1.1023826743926705E-2</v>
      </c>
      <c r="S69" s="166">
        <f>_xll.qlIndexFixing(Curve!$S$147,C69)</f>
        <v>1.7063845391051775E-2</v>
      </c>
    </row>
    <row r="70" spans="3:19">
      <c r="C70" s="167">
        <v>51111</v>
      </c>
      <c r="D70" s="168">
        <v>48</v>
      </c>
      <c r="E70" s="139">
        <f>(C70-Curve!$D$6)/365.25</f>
        <v>24.506502395619439</v>
      </c>
      <c r="F70" s="128">
        <f t="array" ref="F70:R70">_xll.qlStrippedOptionletBaseOptionletVolatilities($D$21,D70)</f>
        <v>6.2496639644947921E-3</v>
      </c>
      <c r="G70" s="129">
        <v>6.2538732808103343E-3</v>
      </c>
      <c r="H70" s="129">
        <v>6.2860239580943174E-3</v>
      </c>
      <c r="I70" s="129">
        <v>6.2897879886713781E-3</v>
      </c>
      <c r="J70" s="129">
        <v>6.3284712908802066E-3</v>
      </c>
      <c r="K70" s="129">
        <v>6.3602656774233851E-3</v>
      </c>
      <c r="L70" s="129">
        <v>6.3792104021649894E-3</v>
      </c>
      <c r="M70" s="129">
        <v>6.456115426522034E-3</v>
      </c>
      <c r="N70" s="129">
        <v>6.5819902862635921E-3</v>
      </c>
      <c r="O70" s="129">
        <v>6.776922981960822E-3</v>
      </c>
      <c r="P70" s="129">
        <v>7.1528637697200002E-3</v>
      </c>
      <c r="Q70" s="129">
        <v>8.1458440129077714E-3</v>
      </c>
      <c r="R70" s="130">
        <v>1.0979270240460502E-2</v>
      </c>
      <c r="S70" s="166">
        <f>_xll.qlIndexFixing(Curve!$S$147,C70)</f>
        <v>1.710616147619402E-2</v>
      </c>
    </row>
    <row r="71" spans="3:19">
      <c r="C71" s="167">
        <v>51294</v>
      </c>
      <c r="D71" s="168">
        <v>49</v>
      </c>
      <c r="E71" s="139">
        <f>(C71-Curve!$D$6)/365.25</f>
        <v>25.007529089664612</v>
      </c>
      <c r="F71" s="128">
        <f t="array" ref="F71:R71">_xll.qlStrippedOptionletBaseOptionletVolatilities($D$21,D71)</f>
        <v>6.2282063412641758E-3</v>
      </c>
      <c r="G71" s="129">
        <v>6.2361977904825585E-3</v>
      </c>
      <c r="H71" s="129">
        <v>6.260364646241412E-3</v>
      </c>
      <c r="I71" s="129">
        <v>6.2625468618652778E-3</v>
      </c>
      <c r="J71" s="129">
        <v>6.2969592008066443E-3</v>
      </c>
      <c r="K71" s="129">
        <v>6.3288943225307823E-3</v>
      </c>
      <c r="L71" s="129">
        <v>6.355905792984228E-3</v>
      </c>
      <c r="M71" s="129">
        <v>6.4255136446118291E-3</v>
      </c>
      <c r="N71" s="129">
        <v>6.5574298637078119E-3</v>
      </c>
      <c r="O71" s="129">
        <v>6.7347828147295199E-3</v>
      </c>
      <c r="P71" s="129">
        <v>7.1164670243194844E-3</v>
      </c>
      <c r="Q71" s="129">
        <v>8.1155470074373414E-3</v>
      </c>
      <c r="R71" s="130">
        <v>1.0916504922135915E-2</v>
      </c>
      <c r="S71" s="166">
        <f>_xll.qlIndexFixing(Curve!$S$147,C71)</f>
        <v>1.6513065650139064E-2</v>
      </c>
    </row>
    <row r="72" spans="3:19">
      <c r="C72" s="167">
        <v>51476</v>
      </c>
      <c r="D72" s="168">
        <v>50</v>
      </c>
      <c r="E72" s="139">
        <f>(C72-Curve!$D$6)/365.25</f>
        <v>25.505817932922657</v>
      </c>
      <c r="F72" s="128">
        <f t="array" ref="F72:R72">_xll.qlStrippedOptionletBaseOptionletVolatilities($D$21,D72)</f>
        <v>6.1971920876017737E-3</v>
      </c>
      <c r="G72" s="129">
        <v>6.2110234372771914E-3</v>
      </c>
      <c r="H72" s="129">
        <v>6.2282719947638777E-3</v>
      </c>
      <c r="I72" s="129">
        <v>6.2297673421422301E-3</v>
      </c>
      <c r="J72" s="129">
        <v>6.2607116053064633E-3</v>
      </c>
      <c r="K72" s="129">
        <v>6.2933364989211527E-3</v>
      </c>
      <c r="L72" s="129">
        <v>6.329248898064457E-3</v>
      </c>
      <c r="M72" s="129">
        <v>6.3928849165381975E-3</v>
      </c>
      <c r="N72" s="129">
        <v>6.5322960656192166E-3</v>
      </c>
      <c r="O72" s="129">
        <v>6.69328867415225E-3</v>
      </c>
      <c r="P72" s="129">
        <v>7.083019198512619E-3</v>
      </c>
      <c r="Q72" s="129">
        <v>8.0930213320289709E-3</v>
      </c>
      <c r="R72" s="130">
        <v>1.0870032120826921E-2</v>
      </c>
      <c r="S72" s="166">
        <f>_xll.qlIndexFixing(Curve!$S$147,C72)</f>
        <v>1.6528938577805758E-2</v>
      </c>
    </row>
    <row r="73" spans="3:19">
      <c r="C73" s="167">
        <v>51658</v>
      </c>
      <c r="D73" s="168">
        <v>51</v>
      </c>
      <c r="E73" s="139">
        <f>(C73-Curve!$D$6)/365.25</f>
        <v>26.004106776180699</v>
      </c>
      <c r="F73" s="128">
        <f t="array" ref="F73:R73">_xll.qlStrippedOptionletBaseOptionletVolatilities($D$21,D73)</f>
        <v>6.1658608441642034E-3</v>
      </c>
      <c r="G73" s="129">
        <v>6.1855082610959905E-3</v>
      </c>
      <c r="H73" s="129">
        <v>6.1962361582757692E-3</v>
      </c>
      <c r="I73" s="129">
        <v>6.1971643797273128E-3</v>
      </c>
      <c r="J73" s="129">
        <v>6.2248940547577399E-3</v>
      </c>
      <c r="K73" s="129">
        <v>6.2582737451260095E-3</v>
      </c>
      <c r="L73" s="129">
        <v>6.3027622390242084E-3</v>
      </c>
      <c r="M73" s="129">
        <v>6.3606270082533691E-3</v>
      </c>
      <c r="N73" s="129">
        <v>6.5072788980721254E-3</v>
      </c>
      <c r="O73" s="129">
        <v>6.6522366465814418E-3</v>
      </c>
      <c r="P73" s="129">
        <v>7.0495668289515126E-3</v>
      </c>
      <c r="Q73" s="129">
        <v>8.0696428553061125E-3</v>
      </c>
      <c r="R73" s="130">
        <v>1.0822530349350183E-2</v>
      </c>
      <c r="S73" s="166">
        <f>_xll.qlIndexFixing(Curve!$S$147,C73)</f>
        <v>1.654565799021963E-2</v>
      </c>
    </row>
    <row r="74" spans="3:19">
      <c r="C74" s="167">
        <v>51840</v>
      </c>
      <c r="D74" s="168">
        <v>52</v>
      </c>
      <c r="E74" s="139">
        <f>(C74-Curve!$D$6)/365.25</f>
        <v>26.50239561943874</v>
      </c>
      <c r="F74" s="128">
        <f t="array" ref="F74:R74">_xll.qlStrippedOptionletBaseOptionletVolatilities($D$21,D74)</f>
        <v>6.1338570379919502E-3</v>
      </c>
      <c r="G74" s="129">
        <v>6.1592770285897585E-3</v>
      </c>
      <c r="H74" s="129">
        <v>6.1639841082190621E-3</v>
      </c>
      <c r="I74" s="129">
        <v>6.1644873025820694E-3</v>
      </c>
      <c r="J74" s="129">
        <v>6.1893121673397963E-3</v>
      </c>
      <c r="K74" s="129">
        <v>6.2235159273174769E-3</v>
      </c>
      <c r="L74" s="129">
        <v>6.2761484137736556E-3</v>
      </c>
      <c r="M74" s="129">
        <v>6.3284489904752829E-3</v>
      </c>
      <c r="N74" s="129">
        <v>6.4819741904162745E-3</v>
      </c>
      <c r="O74" s="129">
        <v>6.6121879142841825E-3</v>
      </c>
      <c r="P74" s="129">
        <v>7.0164911444672825E-3</v>
      </c>
      <c r="Q74" s="129">
        <v>8.0454993002514585E-3</v>
      </c>
      <c r="R74" s="130">
        <v>1.0773968595182593E-2</v>
      </c>
      <c r="S74" s="166">
        <f>_xll.qlIndexFixing(Curve!$S$147,C74)</f>
        <v>1.656152969323503E-2</v>
      </c>
    </row>
    <row r="75" spans="3:19">
      <c r="C75" s="167">
        <v>52022</v>
      </c>
      <c r="D75" s="168">
        <v>53</v>
      </c>
      <c r="E75" s="139">
        <f>(C75-Curve!$D$6)/365.25</f>
        <v>27.000684462696782</v>
      </c>
      <c r="F75" s="128">
        <f t="array" ref="F75:R75">_xll.qlStrippedOptionletBaseOptionletVolatilities($D$21,D75)</f>
        <v>6.1011401555687138E-3</v>
      </c>
      <c r="G75" s="129">
        <v>6.1323156454216746E-3</v>
      </c>
      <c r="H75" s="129">
        <v>6.131605968596297E-3</v>
      </c>
      <c r="I75" s="129">
        <v>6.1318640242012338E-3</v>
      </c>
      <c r="J75" s="129">
        <v>6.1541613877373483E-3</v>
      </c>
      <c r="K75" s="129">
        <v>6.1892817862337704E-3</v>
      </c>
      <c r="L75" s="129">
        <v>6.2495701797418562E-3</v>
      </c>
      <c r="M75" s="129">
        <v>6.296571531069166E-3</v>
      </c>
      <c r="N75" s="129">
        <v>6.4565867696989793E-3</v>
      </c>
      <c r="O75" s="129">
        <v>6.5728978129743045E-3</v>
      </c>
      <c r="P75" s="129">
        <v>6.9835012790362963E-3</v>
      </c>
      <c r="Q75" s="129">
        <v>8.0201424139953788E-3</v>
      </c>
      <c r="R75" s="130">
        <v>1.0723772752364743E-2</v>
      </c>
      <c r="S75" s="166">
        <f>_xll.qlIndexFixing(Curve!$S$147,C75)</f>
        <v>1.657825086578835E-2</v>
      </c>
    </row>
    <row r="76" spans="3:19">
      <c r="C76" s="167">
        <v>52205</v>
      </c>
      <c r="D76" s="168">
        <v>54</v>
      </c>
      <c r="E76" s="139">
        <f>(C76-Curve!$D$6)/365.25</f>
        <v>27.501711156741958</v>
      </c>
      <c r="F76" s="128">
        <f t="array" ref="F76:R76">_xll.qlStrippedOptionletBaseOptionletVolatilities($D$21,D76)</f>
        <v>6.0677815439016715E-3</v>
      </c>
      <c r="G76" s="129">
        <v>6.1046469331140609E-3</v>
      </c>
      <c r="H76" s="129">
        <v>6.099244836673819E-3</v>
      </c>
      <c r="I76" s="129">
        <v>6.0994600938440949E-3</v>
      </c>
      <c r="J76" s="129">
        <v>6.1196719945175474E-3</v>
      </c>
      <c r="K76" s="129">
        <v>6.1558021750332476E-3</v>
      </c>
      <c r="L76" s="129">
        <v>6.2231300788013937E-3</v>
      </c>
      <c r="M76" s="129">
        <v>6.2651513528723911E-3</v>
      </c>
      <c r="N76" s="129">
        <v>6.4311629956078356E-3</v>
      </c>
      <c r="O76" s="129">
        <v>6.5348347233138383E-3</v>
      </c>
      <c r="P76" s="129">
        <v>6.9509181545955147E-3</v>
      </c>
      <c r="Q76" s="129">
        <v>7.993656172596517E-3</v>
      </c>
      <c r="R76" s="130">
        <v>1.0672196188168856E-2</v>
      </c>
      <c r="S76" s="166">
        <f>_xll.qlIndexFixing(Curve!$S$147,C76)</f>
        <v>1.6594210879433167E-2</v>
      </c>
    </row>
    <row r="77" spans="3:19">
      <c r="C77" s="167">
        <v>52387</v>
      </c>
      <c r="D77" s="168">
        <v>55</v>
      </c>
      <c r="E77" s="139">
        <f>(C77-Curve!$D$6)/365.25</f>
        <v>28</v>
      </c>
      <c r="F77" s="128">
        <f t="array" ref="F77:R77">_xll.qlStrippedOptionletBaseOptionletVolatilities($D$21,D77)</f>
        <v>6.0334825666849669E-3</v>
      </c>
      <c r="G77" s="129">
        <v>6.0759963006724246E-3</v>
      </c>
      <c r="H77" s="129">
        <v>6.0667509133242609E-3</v>
      </c>
      <c r="I77" s="129">
        <v>6.0671671959493132E-3</v>
      </c>
      <c r="J77" s="129">
        <v>6.0858134536370375E-3</v>
      </c>
      <c r="K77" s="129">
        <v>6.1230695547604911E-3</v>
      </c>
      <c r="L77" s="129">
        <v>6.1967375016054914E-3</v>
      </c>
      <c r="M77" s="129">
        <v>6.2341404478353565E-3</v>
      </c>
      <c r="N77" s="129">
        <v>6.4055961412295371E-3</v>
      </c>
      <c r="O77" s="129">
        <v>6.4980712741324565E-3</v>
      </c>
      <c r="P77" s="129">
        <v>6.9186937261007386E-3</v>
      </c>
      <c r="Q77" s="129">
        <v>7.9657169894776676E-3</v>
      </c>
      <c r="R77" s="130">
        <v>1.0618614852527415E-2</v>
      </c>
      <c r="S77" s="166">
        <f>_xll.qlIndexFixing(Curve!$S$147,C77)</f>
        <v>1.661093381992856E-2</v>
      </c>
    </row>
    <row r="78" spans="3:19">
      <c r="C78" s="167">
        <v>52572</v>
      </c>
      <c r="D78" s="168">
        <v>56</v>
      </c>
      <c r="E78" s="139">
        <f>(C78-Curve!$D$6)/365.25</f>
        <v>28.506502395619439</v>
      </c>
      <c r="F78" s="128">
        <f t="array" ref="F78:R78">_xll.qlStrippedOptionletBaseOptionletVolatilities($D$21,D78)</f>
        <v>5.9982997272884329E-3</v>
      </c>
      <c r="G78" s="129">
        <v>6.0463871616376419E-3</v>
      </c>
      <c r="H78" s="129">
        <v>6.0342460910478039E-3</v>
      </c>
      <c r="I78" s="129">
        <v>6.0351272159133258E-3</v>
      </c>
      <c r="J78" s="129">
        <v>6.0527812768135271E-3</v>
      </c>
      <c r="K78" s="129">
        <v>6.0912823327532849E-3</v>
      </c>
      <c r="L78" s="129">
        <v>6.1704926171850015E-3</v>
      </c>
      <c r="M78" s="129">
        <v>6.2036799943684436E-3</v>
      </c>
      <c r="N78" s="129">
        <v>6.3799506114732025E-3</v>
      </c>
      <c r="O78" s="129">
        <v>6.4628435733249312E-3</v>
      </c>
      <c r="P78" s="129">
        <v>6.8869655703231031E-3</v>
      </c>
      <c r="Q78" s="129">
        <v>7.9363039514847421E-3</v>
      </c>
      <c r="R78" s="130">
        <v>1.0563259972457799E-2</v>
      </c>
      <c r="S78" s="166">
        <f>_xll.qlIndexFixing(Curve!$S$147,C78)</f>
        <v>1.6627320270826387E-2</v>
      </c>
    </row>
    <row r="79" spans="3:19">
      <c r="C79" s="167">
        <v>52755</v>
      </c>
      <c r="D79" s="168">
        <v>57</v>
      </c>
      <c r="E79" s="139">
        <f>(C79-Curve!$D$6)/365.25</f>
        <v>29.007529089664612</v>
      </c>
      <c r="F79" s="128">
        <f t="array" ref="F79:R79">_xll.qlStrippedOptionletBaseOptionletVolatilities($D$21,D79)</f>
        <v>5.9619575098946304E-3</v>
      </c>
      <c r="G79" s="129">
        <v>6.0155667129398486E-3</v>
      </c>
      <c r="H79" s="129">
        <v>6.0016183627566722E-3</v>
      </c>
      <c r="I79" s="129">
        <v>6.0032737776374622E-3</v>
      </c>
      <c r="J79" s="129">
        <v>6.0205956986042249E-3</v>
      </c>
      <c r="K79" s="129">
        <v>6.0604846808002925E-3</v>
      </c>
      <c r="L79" s="129">
        <v>6.1443432212976764E-3</v>
      </c>
      <c r="M79" s="129">
        <v>6.1737725699900292E-3</v>
      </c>
      <c r="N79" s="129">
        <v>6.3541567172372979E-3</v>
      </c>
      <c r="O79" s="129">
        <v>6.4292878304989809E-3</v>
      </c>
      <c r="P79" s="129">
        <v>6.8557212965776101E-3</v>
      </c>
      <c r="Q79" s="129">
        <v>7.9050594536791488E-3</v>
      </c>
      <c r="R79" s="130">
        <v>1.0505273927027057E-2</v>
      </c>
      <c r="S79" s="166">
        <f>_xll.qlIndexFixing(Curve!$S$147,C79)</f>
        <v>1.6643706857075617E-2</v>
      </c>
    </row>
    <row r="80" spans="3:19">
      <c r="C80" s="169">
        <v>52938</v>
      </c>
      <c r="D80" s="170">
        <v>58</v>
      </c>
      <c r="E80" s="140">
        <f>(C80-Curve!$D$6)/365.25</f>
        <v>29.508555783709788</v>
      </c>
      <c r="F80" s="131">
        <f t="array" ref="F80:R80">_xll.qlStrippedOptionletBaseOptionletVolatilities($D$21,D80)</f>
        <v>5.9246142163935141E-3</v>
      </c>
      <c r="G80" s="132">
        <v>5.9836449730827097E-3</v>
      </c>
      <c r="H80" s="132">
        <v>5.9690917851155569E-3</v>
      </c>
      <c r="I80" s="132">
        <v>5.9718517107901553E-3</v>
      </c>
      <c r="J80" s="132">
        <v>5.989561963671809E-3</v>
      </c>
      <c r="K80" s="132">
        <v>6.0309821016995783E-3</v>
      </c>
      <c r="L80" s="132">
        <v>6.1184767198379768E-3</v>
      </c>
      <c r="M80" s="132">
        <v>6.1446653584161385E-3</v>
      </c>
      <c r="N80" s="132">
        <v>6.328368705218885E-3</v>
      </c>
      <c r="O80" s="132">
        <v>6.3977702905564223E-3</v>
      </c>
      <c r="P80" s="132">
        <v>6.8252140179273189E-3</v>
      </c>
      <c r="Q80" s="132">
        <v>7.8720548876992213E-3</v>
      </c>
      <c r="R80" s="133">
        <v>1.0445005546580727E-2</v>
      </c>
      <c r="S80" s="171">
        <f>_xll.qlIndexFixing(Curve!$S$147,C80)</f>
        <v>1.6659664399445488E-2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Curve</vt:lpstr>
      <vt:lpstr>MarketCheck</vt:lpstr>
      <vt:lpstr>CapletCalibration</vt:lpstr>
    </vt:vector>
  </TitlesOfParts>
  <Company>UBS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Schlenkrich</dc:creator>
  <cp:lastModifiedBy>Schlenkrich Sebastian</cp:lastModifiedBy>
  <dcterms:created xsi:type="dcterms:W3CDTF">2012-10-26T09:27:25Z</dcterms:created>
  <dcterms:modified xsi:type="dcterms:W3CDTF">2015-07-14T17:35:26Z</dcterms:modified>
</cp:coreProperties>
</file>